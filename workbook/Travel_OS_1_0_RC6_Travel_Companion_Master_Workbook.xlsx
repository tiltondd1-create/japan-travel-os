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1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ables/table2.xml" ContentType="application/vnd.openxmlformats-officedocument.spreadsheetml.table+xml"/>
  <Override PartName="/xl/worksheets/sheet102.xml" ContentType="application/vnd.openxmlformats-officedocument.spreadsheetml.worksheet+xml"/>
  <Override PartName="/xl/tables/table3.xml" ContentType="application/vnd.openxmlformats-officedocument.spreadsheetml.table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a15e202fc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b1869919a894994"/>
    <x:sheet xmlns:r="http://schemas.openxmlformats.org/officeDocument/2006/relationships" name="⚙️ Control" sheetId="2" r:id="R1a732a4964224f8c"/>
    <x:sheet xmlns:r="http://schemas.openxmlformats.org/officeDocument/2006/relationships" name="📅 Master Itinerary" sheetId="3" r:id="R4d2261d6cec9498f"/>
    <x:sheet xmlns:r="http://schemas.openxmlformats.org/officeDocument/2006/relationships" name="🏠 Home" sheetId="4" r:id="R79057dabc038471e"/>
    <x:sheet xmlns:r="http://schemas.openxmlformats.org/officeDocument/2006/relationships" name="📱 Today" sheetId="5" r:id="R7cc4026f0c2a4abb"/>
    <x:sheet xmlns:r="http://schemas.openxmlformats.org/officeDocument/2006/relationships" name="👩 Hilda" sheetId="6" r:id="R6f908459f1824773"/>
    <x:sheet xmlns:r="http://schemas.openxmlformats.org/officeDocument/2006/relationships" name="👨👩 David + Noelle" sheetId="7" r:id="R05fda752912e4705"/>
    <x:sheet xmlns:r="http://schemas.openxmlformats.org/officeDocument/2006/relationships" name="👦 Nick" sheetId="8" r:id="R33ff63893b624de4"/>
    <x:sheet xmlns:r="http://schemas.openxmlformats.org/officeDocument/2006/relationships" name="🗓 Timeline" sheetId="9" r:id="Radb09e2d447d447e"/>
    <x:sheet xmlns:r="http://schemas.openxmlformats.org/officeDocument/2006/relationships" name="🎟 Reservations" sheetId="10" r:id="Re21d5cf6fe0c4b5c"/>
    <x:sheet xmlns:r="http://schemas.openxmlformats.org/officeDocument/2006/relationships" name="✈️ Flights" sheetId="11" r:id="R70179a733fbb46ea"/>
    <x:sheet xmlns:r="http://schemas.openxmlformats.org/officeDocument/2006/relationships" name="🏨 Hotels" sheetId="12" r:id="R5ac6db188cb24786"/>
    <x:sheet xmlns:r="http://schemas.openxmlformats.org/officeDocument/2006/relationships" name="🚆 Transit" sheetId="13" r:id="R2e55015682984a6f"/>
    <x:sheet xmlns:r="http://schemas.openxmlformats.org/officeDocument/2006/relationships" name="🧳 Packing" sheetId="14" r:id="Rcb605a7c5b694bcb"/>
    <x:sheet xmlns:r="http://schemas.openxmlformats.org/officeDocument/2006/relationships" name="🧳 Luggage" sheetId="15" r:id="R074fb7f651d94684"/>
    <x:sheet xmlns:r="http://schemas.openxmlformats.org/officeDocument/2006/relationships" name="💴 Budget" sheetId="16" r:id="Ra58be5ae1f0a4e20"/>
    <x:sheet xmlns:r="http://schemas.openxmlformats.org/officeDocument/2006/relationships" name="💳 Money" sheetId="17" r:id="R78922ed488ca4986"/>
    <x:sheet xmlns:r="http://schemas.openxmlformats.org/officeDocument/2006/relationships" name="🍜 Food Guide" sheetId="18" r:id="Rca9e70ce8be4496b"/>
    <x:sheet xmlns:r="http://schemas.openxmlformats.org/officeDocument/2006/relationships" name="🏪 Konbini" sheetId="19" r:id="Rb0248051b45e4cdb"/>
    <x:sheet xmlns:r="http://schemas.openxmlformats.org/officeDocument/2006/relationships" name="🙏 Etiquette" sheetId="20" r:id="Rc60811e8e6844bc4"/>
    <x:sheet xmlns:r="http://schemas.openxmlformats.org/officeDocument/2006/relationships" name="✅ Pre-Trip" sheetId="21" r:id="R0e09cf3468eb4dfc"/>
    <x:sheet xmlns:r="http://schemas.openxmlformats.org/officeDocument/2006/relationships" name="🗾 Tokyo Guide" sheetId="22" r:id="R4ca8f5ab8df44d67"/>
    <x:sheet xmlns:r="http://schemas.openxmlformats.org/officeDocument/2006/relationships" name="⛩ Kyoto Guide" sheetId="23" r:id="R85d26b00a58d46a1"/>
    <x:sheet xmlns:r="http://schemas.openxmlformats.org/officeDocument/2006/relationships" name="♨ Hakone + Nara" sheetId="24" r:id="R7b44878c36434f94"/>
    <x:sheet xmlns:r="http://schemas.openxmlformats.org/officeDocument/2006/relationships" name="🇯🇵 Phrases" sheetId="25" r:id="Rcbaf75246abb4bd2"/>
    <x:sheet xmlns:r="http://schemas.openxmlformats.org/officeDocument/2006/relationships" name="🚨 Emergency" sheetId="26" r:id="R0fdfc40222a54307"/>
    <x:sheet xmlns:r="http://schemas.openxmlformats.org/officeDocument/2006/relationships" name="🗺 Meetups" sheetId="27" r:id="Ra349f5200ca6401f"/>
    <x:sheet xmlns:r="http://schemas.openxmlformats.org/officeDocument/2006/relationships" name="📚 Sources" sheetId="28" r:id="Rb096284f91de4dc9"/>
    <x:sheet xmlns:r="http://schemas.openxmlformats.org/officeDocument/2006/relationships" name="📍 Maps" sheetId="29" r:id="R444fb60631f04e4f"/>
    <x:sheet xmlns:r="http://schemas.openxmlformats.org/officeDocument/2006/relationships" name="🍽 Restaurants" sheetId="30" r:id="Rac0277f1b5444253"/>
    <x:sheet xmlns:r="http://schemas.openxmlformats.org/officeDocument/2006/relationships" name="☔ Rain Mode" sheetId="31" r:id="R8fde89c66c5f4822"/>
    <x:sheet xmlns:r="http://schemas.openxmlformats.org/officeDocument/2006/relationships" name="🚶 Walking" sheetId="32" r:id="R19fe5a4bf21047ab"/>
    <x:sheet xmlns:r="http://schemas.openxmlformats.org/officeDocument/2006/relationships" name="🚉 Transit Cards" sheetId="33" r:id="R37a32e4f80bd4e3e"/>
    <x:sheet xmlns:r="http://schemas.openxmlformats.org/officeDocument/2006/relationships" name="📷 Journal" sheetId="34" r:id="R4a0be8e2e54049fd"/>
    <x:sheet xmlns:r="http://schemas.openxmlformats.org/officeDocument/2006/relationships" name="🎌 Etiquette Cards" sheetId="35" r:id="R72265227d4f243fe"/>
    <x:sheet xmlns:r="http://schemas.openxmlformats.org/officeDocument/2006/relationships" name="🍱 Food Challenge" sheetId="36" r:id="R2a39d32df0c54eac"/>
    <x:sheet xmlns:r="http://schemas.openxmlformats.org/officeDocument/2006/relationships" name="🏯 Goshuin" sheetId="37" r:id="Rfc1a9b725ca34858"/>
    <x:sheet xmlns:r="http://schemas.openxmlformats.org/officeDocument/2006/relationships" name="🛍 Shopping" sheetId="38" r:id="R46b611352e514ab5"/>
    <x:sheet xmlns:r="http://schemas.openxmlformats.org/officeDocument/2006/relationships" name="🆘 Lost Mode" sheetId="39" r:id="Rece2547a78464703"/>
    <x:sheet xmlns:r="http://schemas.openxmlformats.org/officeDocument/2006/relationships" name="⏳ Countdown" sheetId="40" r:id="R9085243b64844afa"/>
    <x:sheet xmlns:r="http://schemas.openxmlformats.org/officeDocument/2006/relationships" name="⭐ Phrase Favorites" sheetId="41" r:id="R0d4e0e998dcc4689"/>
    <x:sheet xmlns:r="http://schemas.openxmlformats.org/officeDocument/2006/relationships" name="🍱 Konbini Guide" sheetId="42" r:id="R3a2fe3f496ad48c8"/>
    <x:sheet xmlns:r="http://schemas.openxmlformats.org/officeDocument/2006/relationships" name="🚽 Bathroom" sheetId="43" r:id="R4bc7812a695c4cea"/>
    <x:sheet xmlns:r="http://schemas.openxmlformats.org/officeDocument/2006/relationships" name="🌸 Seasonal" sheetId="44" r:id="R986071add83b4c8c"/>
    <x:sheet xmlns:r="http://schemas.openxmlformats.org/officeDocument/2006/relationships" name="📅 Res Timeline" sheetId="45" r:id="Re2fd9d3f45ef4f12"/>
    <x:sheet xmlns:r="http://schemas.openxmlformats.org/officeDocument/2006/relationships" name="🤖 Daily Brief" sheetId="46" r:id="Rf24d19459ac04617"/>
    <x:sheet xmlns:r="http://schemas.openxmlformats.org/officeDocument/2006/relationships" name="👩 Relax Mode" sheetId="47" r:id="Rf775fd8ebd054cee"/>
    <x:sheet xmlns:r="http://schemas.openxmlformats.org/officeDocument/2006/relationships" name="🧩 App Config" sheetId="48" r:id="R1e6357e96ea54c91"/>
    <x:sheet xmlns:r="http://schemas.openxmlformats.org/officeDocument/2006/relationships" name="🎓 First-Time Japan" sheetId="49" r:id="R62602fa7df7b4edc"/>
    <x:sheet xmlns:r="http://schemas.openxmlformats.org/officeDocument/2006/relationships" name="🔔 Smart Alerts" sheetId="50" r:id="R3569408b723b49c3"/>
    <x:sheet xmlns:r="http://schemas.openxmlformats.org/officeDocument/2006/relationships" name="🔐 Privacy" sheetId="51" r:id="R54afa717de8a4d65"/>
    <x:sheet xmlns:r="http://schemas.openxmlformats.org/officeDocument/2006/relationships" name="🧭 Data Model" sheetId="52" r:id="R8c562660e9094a08"/>
    <x:sheet xmlns:r="http://schemas.openxmlformats.org/officeDocument/2006/relationships" name="🧳 Trip Data Index" sheetId="53" r:id="Rdc04793fcb934635"/>
    <x:sheet xmlns:r="http://schemas.openxmlformats.org/officeDocument/2006/relationships" name="📚 Reference Data Index" sheetId="54" r:id="R0f70aaa07f0f4eb9"/>
    <x:sheet xmlns:r="http://schemas.openxmlformats.org/officeDocument/2006/relationships" name="🔌 App Routes" sheetId="55" r:id="Rcdf06c581c4e40ba"/>
    <x:sheet xmlns:r="http://schemas.openxmlformats.org/officeDocument/2006/relationships" name="📖 Data Dictionary" sheetId="56" r:id="R13cfeb3183e446da"/>
    <x:sheet xmlns:r="http://schemas.openxmlformats.org/officeDocument/2006/relationships" name="📱 Apple Wallet Suica" sheetId="57" r:id="R7d490153c5a74d98"/>
    <x:sheet xmlns:r="http://schemas.openxmlformats.org/officeDocument/2006/relationships" name="🧭 Context Modes" sheetId="58" r:id="R2cba3ee2dbb24afd"/>
    <x:sheet xmlns:r="http://schemas.openxmlformats.org/officeDocument/2006/relationships" name="🛠 Admin Plan" sheetId="59" r:id="Ra2e7cbcae1ca4332"/>
    <x:sheet xmlns:r="http://schemas.openxmlformats.org/officeDocument/2006/relationships" name="📴 Offline Essentials" sheetId="60" r:id="R7435147990b342b7"/>
    <x:sheet xmlns:r="http://schemas.openxmlformats.org/officeDocument/2006/relationships" name="✅ Confidence Rules" sheetId="61" r:id="R67c150e0dfe6447c"/>
    <x:sheet xmlns:r="http://schemas.openxmlformats.org/officeDocument/2006/relationships" name="☀ Daily Brief Rules" sheetId="62" r:id="Reec301ebef3e4fea"/>
    <x:sheet xmlns:r="http://schemas.openxmlformats.org/officeDocument/2006/relationships" name="👥 Family Status" sheetId="63" r:id="R968ce856f7194e17"/>
    <x:sheet xmlns:r="http://schemas.openxmlformats.org/officeDocument/2006/relationships" name="🎨 City Art Direction" sheetId="64" r:id="Rd9615685366d4833"/>
    <x:sheet xmlns:r="http://schemas.openxmlformats.org/officeDocument/2006/relationships" name="📖 Memory Book Plan" sheetId="65" r:id="R87ef91b71ad84fed"/>
    <x:sheet xmlns:r="http://schemas.openxmlformats.org/officeDocument/2006/relationships" name="🎨 Design System" sheetId="66" r:id="Rb07e2871f46b4737"/>
    <x:sheet xmlns:r="http://schemas.openxmlformats.org/officeDocument/2006/relationships" name="📱 Native App Plan" sheetId="67" r:id="R4a16ebe92d8c4cdc"/>
    <x:sheet xmlns:r="http://schemas.openxmlformats.org/officeDocument/2006/relationships" name="🧪 QA Checklist" sheetId="68" r:id="R71b1e29755034d4b"/>
    <x:sheet xmlns:r="http://schemas.openxmlformats.org/officeDocument/2006/relationships" name="🧱 Module Roadmap" sheetId="69" r:id="R10cf9d19d71d429b"/>
    <x:sheet xmlns:r="http://schemas.openxmlformats.org/officeDocument/2006/relationships" name="📱 PWA Roadmap" sheetId="70" r:id="R0d06e03cf71444ca"/>
    <x:sheet xmlns:r="http://schemas.openxmlformats.org/officeDocument/2006/relationships" name="🚀 Release RC1" sheetId="71" r:id="Re8290939a2844192"/>
    <x:sheet xmlns:r="http://schemas.openxmlformats.org/officeDocument/2006/relationships" name="👨‍👩‍👦 Family Test Script" sheetId="72" r:id="R49f099dc95f9409c"/>
    <x:sheet xmlns:r="http://schemas.openxmlformats.org/officeDocument/2006/relationships" name="🧾 Content Completion" sheetId="73" r:id="R306a983b37114ec5"/>
    <x:sheet xmlns:r="http://schemas.openxmlformats.org/officeDocument/2006/relationships" name="💴 Money Hub" sheetId="74" r:id="R46122c1fa5bf44c8"/>
    <x:sheet xmlns:r="http://schemas.openxmlformats.org/officeDocument/2006/relationships" name="💱 Price Guide" sheetId="75" r:id="R1da90b66f4534fda"/>
    <x:sheet xmlns:r="http://schemas.openxmlformats.org/officeDocument/2006/relationships" name="🚀 RC2 Launch Checklist" sheetId="76" r:id="R7d74821430f74763"/>
    <x:sheet xmlns:r="http://schemas.openxmlformats.org/officeDocument/2006/relationships" name="🧾 Content Entry Guide" sheetId="77" r:id="Rff0e5ba0a8074e27"/>
    <x:sheet xmlns:r="http://schemas.openxmlformats.org/officeDocument/2006/relationships" name="✅ START HERE RC2" sheetId="78" r:id="Rc930185a272f4a3a"/>
    <x:sheet xmlns:r="http://schemas.openxmlformats.org/officeDocument/2006/relationships" name="🔍 Data Quality" sheetId="79" r:id="R1fae056fdb8b4d33"/>
    <x:sheet xmlns:r="http://schemas.openxmlformats.org/officeDocument/2006/relationships" name="✅ START HERE RC2.1" sheetId="80" r:id="R482e08d709524556"/>
    <x:sheet xmlns:r="http://schemas.openxmlformats.org/officeDocument/2006/relationships" name="🧪 RC2.1 QA" sheetId="81" r:id="R2196c7b6a34d4e13"/>
    <x:sheet xmlns:r="http://schemas.openxmlformats.org/officeDocument/2006/relationships" name="🚩 Missing Data Tracker" sheetId="82" r:id="Rdca5c5a4562c47cd"/>
    <x:sheet xmlns:r="http://schemas.openxmlformats.org/officeDocument/2006/relationships" name="❤️ Peace of Mind" sheetId="83" r:id="R7893307b7947429d"/>
    <x:sheet xmlns:r="http://schemas.openxmlformats.org/officeDocument/2006/relationships" name="🌾 GF Restaurants" sheetId="84" r:id="R087257f5b86b46b0"/>
    <x:sheet xmlns:r="http://schemas.openxmlformats.org/officeDocument/2006/relationships" name="🏪 GF Konbini" sheetId="85" r:id="R66d424167b834815"/>
    <x:sheet xmlns:r="http://schemas.openxmlformats.org/officeDocument/2006/relationships" name="♨ GF Ryokan" sheetId="86" r:id="R2d108e3c134a4743"/>
    <x:sheet xmlns:r="http://schemas.openxmlformats.org/officeDocument/2006/relationships" name="💊 Health Checklist" sheetId="87" r:id="Re7e465a47fff465e"/>
    <x:sheet xmlns:r="http://schemas.openxmlformats.org/officeDocument/2006/relationships" name="🧭 Navigation RC3" sheetId="88" r:id="R577772e53fc74207"/>
    <x:sheet xmlns:r="http://schemas.openxmlformats.org/officeDocument/2006/relationships" name="🌃 Osaka Guide" sheetId="89" r:id="R86654f7689174481"/>
    <x:sheet xmlns:r="http://schemas.openxmlformats.org/officeDocument/2006/relationships" name="👥 Travelers" sheetId="90" r:id="R462b8afb153944c4"/>
    <x:sheet xmlns:r="http://schemas.openxmlformats.org/officeDocument/2006/relationships" name="☰ Menu Structure" sheetId="91" r:id="R5d20b17cfb08416c"/>
    <x:sheet xmlns:r="http://schemas.openxmlformats.org/officeDocument/2006/relationships" name="🧪 RC3 Navigation QA" sheetId="92" r:id="R53781a9d9d5240b8"/>
    <x:sheet xmlns:r="http://schemas.openxmlformats.org/officeDocument/2006/relationships" name="🗓 14-Day Route" sheetId="93" r:id="R66d9753557644d16"/>
    <x:sheet xmlns:r="http://schemas.openxmlformats.org/officeDocument/2006/relationships" name="✦ Smart Mode Rules" sheetId="94" r:id="R9e57793ba0a9499b"/>
    <x:sheet xmlns:r="http://schemas.openxmlformats.org/officeDocument/2006/relationships" name="📸 Photo Quest" sheetId="95" r:id="Redcb0c6c2f304419"/>
    <x:sheet xmlns:r="http://schemas.openxmlformats.org/officeDocument/2006/relationships" name="🍁 Seasonal Events" sheetId="96" r:id="R60e4086f92764435"/>
    <x:sheet xmlns:r="http://schemas.openxmlformats.org/officeDocument/2006/relationships" name="👤 Traveler Preferences" sheetId="97" r:id="R75e95f46fe88430c"/>
    <x:sheet xmlns:r="http://schemas.openxmlformats.org/officeDocument/2006/relationships" name="🧪 RC4 QA" sheetId="98" r:id="Rd98cf11bddf347a4"/>
    <x:sheet xmlns:r="http://schemas.openxmlformats.org/officeDocument/2006/relationships" name="🍣 Food Explorer RC5" sheetId="99" r:id="R698be99ddcc64f69"/>
    <x:sheet xmlns:r="http://schemas.openxmlformats.org/officeDocument/2006/relationships" name="🧭 Travel Companion RC6" sheetId="100" r:id="Rdd6eff86b8754981"/>
    <x:sheet xmlns:r="http://schemas.openxmlformats.org/officeDocument/2006/relationships" name="🎟 Reservation Assistant RC6" sheetId="101" r:id="R3d3b226b30874219"/>
    <x:sheet xmlns:r="http://schemas.openxmlformats.org/officeDocument/2006/relationships" name="🕒 Daily Timeline RC6" sheetId="102" r:id="R36ee1f0aa3c64eeb"/>
    <x:sheet xmlns:r="http://schemas.openxmlformats.org/officeDocument/2006/relationships" name="🎒 Packing Intelligence RC6" sheetId="103" r:id="R03c51ec09e5a4ebc"/>
    <x:sheet xmlns:r="http://schemas.openxmlformats.org/officeDocument/2006/relationships" name="💹 Budget Dashboard RC6" sheetId="104" r:id="R635159a5bd19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ddd mmm d"/>
    <x:numFmt numFmtId="166" formatCode="$#,##0"/>
    <x:numFmt numFmtId="200" formatCode="$0.00"/>
    <x:numFmt numFmtId="201" formatCode="0"/>
    <x:numFmt numFmtId="202" formatCode="0%"/>
  </x:numFmts>
  <x:fonts count="30">
    <x:font>
      <x:sz val="11"/>
      <x:name val="Carlito"/>
    </x:font>
    <x:font>
      <x:sz val="11"/>
      <x:color rgb="FF2D2A26"/>
      <x:name val="Arial"/>
    </x:font>
    <x:font>
      <x:b/>
      <x:sz val="20"/>
      <x:color rgb="FFFFFFFF"/>
      <x:name val="Arial"/>
    </x:font>
    <x:font>
      <x:sz val="12"/>
      <x:color rgb="FF2D2A26"/>
      <x:name val="Arial"/>
    </x:font>
    <x:font>
      <x:b/>
      <x:sz val="12"/>
      <x:color rgb="FFFFFFFF"/>
      <x:name val="Arial"/>
    </x:font>
    <x:font>
      <x:b/>
      <x:sz val="20"/>
      <x:color rgb="FF2D2A26"/>
      <x:name val="Arial"/>
    </x:font>
    <x:font>
      <x:b/>
      <x:sz val="14"/>
      <x:color rgb="FF2D2A26"/>
      <x:name val="Arial"/>
    </x:font>
    <x:font>
      <x:b/>
      <x:sz val="13"/>
      <x:color rgb="FF2D2A26"/>
      <x:name val="Arial"/>
    </x:font>
    <x:font>
      <x:b/>
      <x:sz val="11"/>
      <x:color rgb="FF6B6259"/>
      <x:name val="Arial"/>
    </x:font>
    <x:font>
      <x:b/>
      <x:sz val="16"/>
      <x:color rgb="FF2D2A26"/>
      <x:name val="Arial"/>
    </x:font>
    <x:font>
      <x:b/>
      <x:sz val="15"/>
      <x:color rgb="FF2D2A26"/>
      <x:name val="Arial"/>
    </x:font>
    <x:font>
      <x:b/>
      <x:sz val="11"/>
      <x:color rgb="FF2D2A26"/>
      <x:name val="Arial"/>
    </x:font>
    <x:font>
      <x:b/>
      <x:sz val="13"/>
      <x:color rgb="FFFFFFFF"/>
      <x:name val="Arial"/>
    </x:font>
    <x:font>
      <x:b/>
      <x:sz val="18"/>
      <x:color rgb="FFFFFFFF"/>
      <x:name val="Arial"/>
    </x:font>
    <x:font>
      <x:b/>
      <x:sz val="18"/>
      <x:color rgb="FFFFFFFF"/>
      <x:name val="Carlito"/>
    </x:font>
    <x:font>
      <x:sz val="11"/>
      <x:color rgb="FF2D2A26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b/>
      <x:sz val="12"/>
      <x:color rgb="FFFFFFFF"/>
      <x:name val="Carlito"/>
    </x:font>
    <x:font>
      <x:b/>
      <x:sz val="16"/>
      <x:color rgb="FFFFFFFF"/>
      <x:name val="Arial"/>
    </x:font>
    <x:font>
      <x:b/>
      <x:sz val="16"/>
      <x:color rgb="FFFFFFFF"/>
      <x:name val="Carlito"/>
    </x:font>
    <x:font>
      <x:b/>
      <x:i/>
      <x:sz val="18"/>
      <x:color rgb="FF30463A"/>
      <x:name val="Arial"/>
    </x:font>
    <x:font>
      <x:i/>
      <x:sz val="11"/>
      <x:color rgb="FF30463A"/>
      <x:name val="Carlito"/>
    </x:font>
    <x:font>
      <x:b/>
      <x:sz val="20"/>
      <x:color rgb="FFFFFFFF"/>
      <x:name val="Carlito"/>
    </x:font>
    <x:font>
      <x:b/>
      <x:sz val="11"/>
      <x:color rgb="FF30463A"/>
      <x:name val="Carlito"/>
    </x:font>
    <x:font>
      <x:b/>
      <x:sz val="20"/>
      <x:color rgb="FF111827"/>
      <x:name val="Carlito"/>
    </x:font>
    <x:font>
      <x:b/>
      <x:sz val="11"/>
      <x:name val="Carlito"/>
    </x:font>
    <x:font>
      <x:b/>
      <x:sz val="11"/>
      <x:color rgb="FF7F1D1D"/>
      <x:name val="Carlito"/>
    </x:font>
    <x:font>
      <x:b/>
      <x:sz val="19"/>
      <x:name val="Carlito"/>
    </x:font>
    <x:font>
      <x:b/>
      <x:sz val="11"/>
      <x:color rgb="FF854D0E"/>
      <x:name val="Carlito"/>
    </x:font>
  </x:fonts>
  <x:fills count="115">
    <x:fill>
      <x:patternFill patternType="none"/>
    </x:fill>
    <x:fill>
      <x:patternFill patternType="gray125"/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FFFFFF"/>
      </x:patternFill>
    </x:fill>
    <x:fill>
      <x:patternFill patternType="solid">
        <x:fgColor rgb="FFA63A3A"/>
      </x:patternFill>
    </x:fill>
    <x:fill>
      <x:patternFill patternType="solid">
        <x:fgColor rgb="FF47624A"/>
      </x:patternFill>
    </x:fill>
    <x:fill>
      <x:patternFill patternType="solid">
        <x:fgColor rgb="FFDDE7D4"/>
      </x:patternFill>
    </x:fill>
    <x:fill>
      <x:patternFill patternType="solid">
        <x:fgColor rgb="FF517EA8"/>
      </x:patternFill>
    </x:fill>
    <x:fill>
      <x:patternFill patternType="solid">
        <x:fgColor rgb="FFDCEAF7"/>
      </x:patternFill>
    </x:fill>
    <x:fill>
      <x:patternFill patternType="solid">
        <x:fgColor rgb="FF7B5FA2"/>
      </x:patternFill>
    </x:fill>
    <x:fill>
      <x:patternFill patternType="solid">
        <x:fgColor rgb="FFE8E2F3"/>
      </x:patternFill>
    </x:fill>
    <x:fill>
      <x:patternFill patternType="solid">
        <x:fgColor rgb="FFFFFDF8"/>
      </x:patternFill>
    </x:fill>
    <x:fill>
      <x:patternFill patternType="solid">
        <x:fgColor rgb="FF7E2E2E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6F1D1B"/>
      </x:patternFill>
    </x:fill>
    <x:fill>
      <x:patternFill patternType="solid">
        <x:fgColor rgb="FFF6EFE3"/>
      </x:patternFill>
    </x:fill>
    <x:fill>
      <x:patternFill patternType="solid">
        <x:fgColor rgb="FFA63A3A"/>
      </x:patternFill>
    </x:fill>
    <x:fill>
      <x:patternFill patternType="solid">
        <x:fgColor rgb="FFFFFDF8"/>
      </x:patternFill>
    </x:fill>
    <x:fill>
      <x:patternFill patternType="solid">
        <x:fgColor rgb="FF47624A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E8F0EA"/>
      </x:patternFill>
    </x:fill>
    <x:fill>
      <x:patternFill patternType="solid">
        <x:fgColor rgb="FF355E4B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355E4B"/>
      </x:patternFill>
    </x:fill>
    <x:fill>
      <x:patternFill patternType="solid">
        <x:fgColor rgb="FFE8F0E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1"/>
  </x:cellStyleXfs>
  <x:cellXfs count="65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vertical="center" wrapText="1"/>
    </x:xf>
    <x:xf numFmtId="0" fontId="1" fillId="3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2" fillId="3" borderId="0" xfId="0" applyAlignment="1">
      <x:alignment horizontal="center" vertical="center" wrapText="1"/>
    </x:xf>
    <x:xf numFmtId="0" fontId="1" fillId="3" borderId="1" xfId="0" applyAlignment="1">
      <x:alignment vertical="center" wrapText="1"/>
    </x:xf>
    <x:xf numFmtId="0" fontId="2" fillId="3" borderId="1" xfId="0" applyAlignment="1">
      <x:alignment vertical="center" wrapText="1"/>
    </x:xf>
    <x:xf numFmtId="0" fontId="2" fillId="3" borderId="1" xfId="0" applyAlignment="1">
      <x:alignment horizontal="center" vertical="center" wrapText="1"/>
    </x:xf>
    <x:xf numFmtId="0" fontId="1" fillId="4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1" fillId="4" borderId="1" xfId="0" applyAlignment="1">
      <x:alignment vertical="center" wrapText="1"/>
    </x:xf>
    <x:xf numFmtId="0" fontId="3" fillId="4" borderId="1" xfId="0" applyAlignment="1">
      <x:alignment vertical="center" wrapText="1"/>
    </x:xf>
    <x:xf numFmtId="0" fontId="3" fillId="5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5" borderId="0" xfId="0" applyAlignment="1">
      <x:alignment horizontal="center" vertical="center" wrapText="1"/>
    </x:xf>
    <x:xf numFmtId="0" fontId="3" fillId="5" borderId="1" xfId="0" applyAlignment="1">
      <x:alignment vertical="center" wrapText="1"/>
    </x:xf>
    <x:xf numFmtId="0" fontId="4" fillId="5" borderId="1" xfId="0" applyAlignment="1">
      <x:alignment vertical="center" wrapText="1"/>
    </x:xf>
    <x:xf numFmtId="0" fontId="4" fillId="5" borderId="1" xfId="0" applyAlignment="1">
      <x:alignment horizontal="center" vertical="center" wrapText="1"/>
    </x:xf>
    <x:xf numFmtId="0" fontId="1" fillId="5" borderId="0" xfId="0" applyAlignment="1">
      <x:alignment vertical="center" wrapText="1"/>
    </x:xf>
    <x:xf numFmtId="0" fontId="1" fillId="5" borderId="1" xfId="0" applyAlignment="1">
      <x:alignment vertical="center" wrapText="1"/>
    </x:xf>
    <x:xf numFmtId="164" fontId="3" fillId="4" borderId="0" xfId="0" applyAlignment="1">
      <x:alignment vertical="center" wrapText="1"/>
    </x:xf>
    <x:xf numFmtId="164" fontId="3" fillId="4" borderId="1" xfId="0" applyAlignment="1">
      <x:alignment vertical="center" wrapText="1"/>
    </x:xf>
    <x:xf numFmtId="165" fontId="3" fillId="4" borderId="0" xfId="0" applyAlignment="1">
      <x:alignment vertical="center" wrapText="1"/>
    </x:xf>
    <x:xf numFmtId="165" fontId="3" fillId="4" borderId="1" xfId="0" applyAlignment="1">
      <x:alignment vertical="center" wrapText="1"/>
    </x:xf>
    <x:xf numFmtId="0" fontId="1" fillId="6" borderId="0" xfId="0" applyAlignment="1">
      <x:alignment vertical="center" wrapText="1"/>
    </x:xf>
    <x:xf numFmtId="0" fontId="4" fillId="6" borderId="0" xfId="0" applyAlignment="1">
      <x:alignment vertical="center" wrapText="1"/>
    </x:xf>
    <x:xf numFmtId="0" fontId="4" fillId="6" borderId="0" xfId="0" applyAlignment="1">
      <x:alignment horizontal="center" vertical="center" wrapText="1"/>
    </x:xf>
    <x:xf numFmtId="0" fontId="1" fillId="6" borderId="1" xfId="0" applyAlignment="1">
      <x:alignment vertical="center" wrapText="1"/>
    </x:xf>
    <x:xf numFmtId="0" fontId="4" fillId="6" borderId="1" xfId="0" applyAlignment="1">
      <x:alignment vertical="center" wrapText="1"/>
    </x:xf>
    <x:xf numFmtId="0" fontId="4" fillId="6" borderId="1" xfId="0" applyAlignment="1">
      <x:alignment horizontal="center" vertical="center" wrapText="1"/>
    </x:xf>
    <x:xf numFmtId="0" fontId="1" fillId="7" borderId="0" xfId="0" applyAlignment="1">
      <x:alignment vertical="center" wrapText="1"/>
    </x:xf>
    <x:xf numFmtId="0" fontId="3" fillId="7" borderId="0" xfId="0" applyAlignment="1">
      <x:alignment vertical="center" wrapText="1"/>
    </x:xf>
    <x:xf numFmtId="0" fontId="1" fillId="7" borderId="1" xfId="0" applyAlignment="1">
      <x:alignment vertical="center" wrapText="1"/>
    </x:xf>
    <x:xf numFmtId="0" fontId="3" fillId="7" borderId="1" xfId="0" applyAlignment="1">
      <x:alignment vertical="center" wrapText="1"/>
    </x:xf>
    <x:xf numFmtId="0" fontId="5" fillId="7" borderId="0" xfId="0" applyAlignment="1">
      <x:alignment vertical="center" wrapText="1"/>
    </x:xf>
    <x:xf numFmtId="0" fontId="5" fillId="7" borderId="0" xfId="0" applyAlignment="1">
      <x:alignment horizontal="center" vertical="center" wrapText="1"/>
    </x:xf>
    <x:xf numFmtId="0" fontId="5" fillId="7" borderId="1" xfId="0" applyAlignment="1">
      <x:alignment vertical="center" wrapText="1"/>
    </x:xf>
    <x:xf numFmtId="0" fontId="5" fillId="7" borderId="1" xfId="0" applyAlignment="1">
      <x:alignment horizontal="center" vertical="center" wrapText="1"/>
    </x:xf>
    <x:xf numFmtId="0" fontId="6" fillId="7" borderId="0" xfId="0" applyAlignment="1">
      <x:alignment vertical="center" wrapText="1"/>
    </x:xf>
    <x:xf numFmtId="0" fontId="6" fillId="7" borderId="0" xfId="0" applyAlignment="1">
      <x:alignment horizontal="center" vertical="center" wrapText="1"/>
    </x:xf>
    <x:xf numFmtId="0" fontId="6" fillId="7" borderId="1" xfId="0" applyAlignment="1">
      <x:alignment vertical="center" wrapText="1"/>
    </x:xf>
    <x:xf numFmtId="0" fontId="6" fillId="7" borderId="1" xfId="0" applyAlignment="1">
      <x:alignment horizontal="center" vertical="center" wrapText="1"/>
    </x:xf>
    <x:xf numFmtId="165" fontId="5" fillId="7" borderId="0" xfId="0" applyAlignment="1">
      <x:alignment horizontal="center" vertical="center" wrapText="1"/>
    </x:xf>
    <x:xf numFmtId="165" fontId="5" fillId="7" borderId="1" xfId="0" applyAlignment="1">
      <x:alignment horizontal="center" vertical="center" wrapText="1"/>
    </x:xf>
    <x:xf numFmtId="0" fontId="1" fillId="8" borderId="0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8" borderId="0" xfId="0" applyAlignment="1">
      <x:alignment horizontal="center" vertical="center" wrapText="1"/>
    </x:xf>
    <x:xf numFmtId="0" fontId="1" fillId="8" borderId="1" xfId="0" applyAlignment="1">
      <x:alignment vertical="center" wrapText="1"/>
    </x:xf>
    <x:xf numFmtId="0" fontId="4" fillId="8" borderId="1" xfId="0" applyAlignment="1">
      <x:alignment vertical="center" wrapText="1"/>
    </x:xf>
    <x:xf numFmtId="0" fontId="4" fillId="8" borderId="1" xfId="0" applyAlignment="1">
      <x:alignment horizontal="center" vertical="center" wrapText="1"/>
    </x:xf>
    <x:xf numFmtId="0" fontId="1" fillId="9" borderId="0" xfId="0" applyAlignment="1">
      <x:alignment vertical="center" wrapText="1"/>
    </x:xf>
    <x:xf numFmtId="0" fontId="3" fillId="9" borderId="0" xfId="0" applyAlignment="1">
      <x:alignment vertical="center" wrapText="1"/>
    </x:xf>
    <x:xf numFmtId="0" fontId="1" fillId="9" borderId="1" xfId="0" applyAlignment="1">
      <x:alignment vertical="center" wrapText="1"/>
    </x:xf>
    <x:xf numFmtId="0" fontId="3" fillId="9" borderId="1" xfId="0" applyAlignment="1">
      <x:alignment vertical="center" wrapText="1"/>
    </x:xf>
    <x:xf numFmtId="0" fontId="6" fillId="9" borderId="0" xfId="0" applyAlignment="1">
      <x:alignment vertical="center" wrapText="1"/>
    </x:xf>
    <x:xf numFmtId="0" fontId="6" fillId="9" borderId="0" xfId="0" applyAlignment="1">
      <x:alignment horizontal="center" vertical="center" wrapText="1"/>
    </x:xf>
    <x:xf numFmtId="0" fontId="6" fillId="9" borderId="1" xfId="0" applyAlignment="1">
      <x:alignment vertical="center" wrapText="1"/>
    </x:xf>
    <x:xf numFmtId="0" fontId="6" fillId="9" borderId="1" xfId="0" applyAlignment="1">
      <x:alignment horizontal="center" vertical="center" wrapText="1"/>
    </x:xf>
    <x:xf numFmtId="0" fontId="1" fillId="10" borderId="0" xfId="0" applyAlignment="1">
      <x:alignment vertical="center" wrapText="1"/>
    </x:xf>
    <x:xf numFmtId="0" fontId="4" fillId="10" borderId="0" xfId="0" applyAlignment="1">
      <x:alignment vertical="center" wrapText="1"/>
    </x:xf>
    <x:xf numFmtId="0" fontId="4" fillId="10" borderId="0" xfId="0" applyAlignment="1">
      <x:alignment horizontal="center" vertical="center" wrapText="1"/>
    </x:xf>
    <x:xf numFmtId="0" fontId="1" fillId="10" borderId="1" xfId="0" applyAlignment="1">
      <x:alignment vertical="center" wrapText="1"/>
    </x:xf>
    <x:xf numFmtId="0" fontId="4" fillId="10" borderId="1" xfId="0" applyAlignment="1">
      <x:alignment vertical="center" wrapText="1"/>
    </x:xf>
    <x:xf numFmtId="0" fontId="4" fillId="10" borderId="1" xfId="0" applyAlignment="1">
      <x:alignment horizontal="center" vertical="center" wrapText="1"/>
    </x:xf>
    <x:xf numFmtId="0" fontId="1" fillId="11" borderId="0" xfId="0" applyAlignment="1">
      <x:alignment vertical="center" wrapText="1"/>
    </x:xf>
    <x:xf numFmtId="0" fontId="3" fillId="11" borderId="0" xfId="0" applyAlignment="1">
      <x:alignment vertical="center" wrapText="1"/>
    </x:xf>
    <x:xf numFmtId="0" fontId="1" fillId="11" borderId="1" xfId="0" applyAlignment="1">
      <x:alignment vertical="center" wrapText="1"/>
    </x:xf>
    <x:xf numFmtId="0" fontId="3" fillId="11" borderId="1" xfId="0" applyAlignment="1">
      <x:alignment vertical="center" wrapText="1"/>
    </x:xf>
    <x:xf numFmtId="0" fontId="6" fillId="11" borderId="0" xfId="0" applyAlignment="1">
      <x:alignment vertical="center" wrapText="1"/>
    </x:xf>
    <x:xf numFmtId="0" fontId="6" fillId="11" borderId="0" xfId="0" applyAlignment="1">
      <x:alignment horizontal="center" vertical="center" wrapText="1"/>
    </x:xf>
    <x:xf numFmtId="0" fontId="6" fillId="11" borderId="1" xfId="0" applyAlignment="1">
      <x:alignment vertical="center" wrapText="1"/>
    </x:xf>
    <x:xf numFmtId="0" fontId="6" fillId="11" borderId="1" xfId="0" applyAlignment="1">
      <x:alignment horizontal="center" vertical="center" wrapText="1"/>
    </x:xf>
    <x:xf numFmtId="0" fontId="7" fillId="4" borderId="0" xfId="0" applyAlignment="1">
      <x:alignment vertical="center" wrapText="1"/>
    </x:xf>
    <x:xf numFmtId="0" fontId="7" fillId="4" borderId="0" xfId="0" applyAlignment="1">
      <x:alignment horizontal="center" vertical="center" wrapText="1"/>
    </x:xf>
    <x:xf numFmtId="0" fontId="7" fillId="4" borderId="1" xfId="0" applyAlignment="1">
      <x:alignment vertical="center" wrapText="1"/>
    </x:xf>
    <x:xf numFmtId="0" fontId="7" fillId="4" borderId="1" xfId="0" applyAlignment="1">
      <x:alignment horizontal="center" vertical="center" wrapText="1"/>
    </x:xf>
    <x:xf numFmtId="0" fontId="8" fillId="4" borderId="0" xfId="0" applyAlignment="1">
      <x:alignment vertical="center" wrapText="1"/>
    </x:xf>
    <x:xf numFmtId="0" fontId="8" fillId="4" borderId="0" xfId="0" applyAlignment="1">
      <x:alignment horizontal="right" vertical="center" wrapText="1"/>
    </x:xf>
    <x:xf numFmtId="0" fontId="8" fillId="4" borderId="1" xfId="0" applyAlignment="1">
      <x:alignment vertical="center" wrapText="1"/>
    </x:xf>
    <x:xf numFmtId="0" fontId="8" fillId="4" borderId="1" xfId="0" applyAlignment="1">
      <x:alignment horizontal="right" vertical="center" wrapText="1"/>
    </x:xf>
    <x:xf numFmtId="0" fontId="6" fillId="4" borderId="0" xfId="0" applyAlignment="1">
      <x:alignment vertical="center" wrapText="1"/>
    </x:xf>
    <x:xf numFmtId="0" fontId="6" fillId="4" borderId="0" xfId="0" applyAlignment="1">
      <x:alignment horizontal="left" vertical="center" wrapText="1"/>
    </x:xf>
    <x:xf numFmtId="0" fontId="6" fillId="4" borderId="1" xfId="0" applyAlignment="1">
      <x:alignment vertical="center" wrapText="1"/>
    </x:xf>
    <x:xf numFmtId="0" fontId="6" fillId="4" borderId="1" xfId="0" applyAlignment="1">
      <x:alignment horizontal="left" vertical="center" wrapText="1"/>
    </x:xf>
    <x:xf numFmtId="165" fontId="6" fillId="4" borderId="0" xfId="0" applyAlignment="1">
      <x:alignment horizontal="left" vertical="center" wrapText="1"/>
    </x:xf>
    <x:xf numFmtId="165" fontId="6" fillId="4" borderId="1" xfId="0" applyAlignment="1">
      <x:alignment horizontal="left" vertical="center" wrapText="1"/>
    </x:xf>
    <x:xf numFmtId="0" fontId="6" fillId="7" borderId="0" xfId="0" applyAlignment="1">
      <x:alignment horizontal="left" vertical="center" wrapText="1"/>
    </x:xf>
    <x:xf numFmtId="0" fontId="6" fillId="7" borderId="1" xfId="0" applyAlignment="1">
      <x:alignment horizontal="left" vertical="center" wrapText="1"/>
    </x:xf>
    <x:xf numFmtId="0" fontId="6" fillId="9" borderId="0" xfId="0" applyAlignment="1">
      <x:alignment horizontal="left" vertical="center" wrapText="1"/>
    </x:xf>
    <x:xf numFmtId="0" fontId="6" fillId="9" borderId="1" xfId="0" applyAlignment="1">
      <x:alignment horizontal="left" vertical="center" wrapText="1"/>
    </x:xf>
    <x:xf numFmtId="0" fontId="6" fillId="11" borderId="0" xfId="0" applyAlignment="1">
      <x:alignment horizontal="left" vertical="center" wrapText="1"/>
    </x:xf>
    <x:xf numFmtId="0" fontId="6" fillId="11" borderId="1" xfId="0" applyAlignment="1">
      <x:alignment horizontal="left" vertical="center" wrapText="1"/>
    </x:xf>
    <x:xf numFmtId="0" fontId="1" fillId="12" borderId="0" xfId="0" applyAlignment="1">
      <x:alignment vertical="center" wrapText="1"/>
    </x:xf>
    <x:xf numFmtId="0" fontId="3" fillId="12" borderId="0" xfId="0" applyAlignment="1">
      <x:alignment vertical="center" wrapText="1"/>
    </x:xf>
    <x:xf numFmtId="0" fontId="1" fillId="12" borderId="1" xfId="0" applyAlignment="1">
      <x:alignment vertical="center" wrapText="1"/>
    </x:xf>
    <x:xf numFmtId="0" fontId="3" fillId="12" borderId="1" xfId="0" applyAlignment="1">
      <x:alignment vertical="center" wrapText="1"/>
    </x:xf>
    <x:xf numFmtId="0" fontId="1" fillId="13" borderId="0" xfId="0" applyAlignment="1">
      <x:alignment vertical="center" wrapText="1"/>
    </x:xf>
    <x:xf numFmtId="0" fontId="2" fillId="13" borderId="0" xfId="0" applyAlignment="1">
      <x:alignment vertical="center" wrapText="1"/>
    </x:xf>
    <x:xf numFmtId="0" fontId="2" fillId="13" borderId="0" xfId="0" applyAlignment="1">
      <x:alignment horizontal="center" vertical="center" wrapText="1"/>
    </x:xf>
    <x:xf numFmtId="0" fontId="1" fillId="13" borderId="1" xfId="0" applyAlignment="1">
      <x:alignment vertical="center" wrapText="1"/>
    </x:xf>
    <x:xf numFmtId="0" fontId="2" fillId="13" borderId="1" xfId="0" applyAlignment="1">
      <x:alignment vertical="center" wrapText="1"/>
    </x:xf>
    <x:xf numFmtId="0" fontId="2" fillId="13" borderId="1" xfId="0" applyAlignment="1">
      <x:alignment horizontal="center" vertical="center" wrapText="1"/>
    </x:xf>
    <x:xf numFmtId="0" fontId="9" fillId="4" borderId="0" xfId="0" applyAlignment="1">
      <x:alignment vertical="center" wrapText="1"/>
    </x:xf>
    <x:xf numFmtId="0" fontId="9" fillId="4" borderId="0" xfId="0" applyAlignment="1">
      <x:alignment horizontal="left" vertical="center" wrapText="1"/>
    </x:xf>
    <x:xf numFmtId="0" fontId="9" fillId="4" borderId="1" xfId="0" applyAlignment="1">
      <x:alignment vertical="center" wrapText="1"/>
    </x:xf>
    <x:xf numFmtId="0" fontId="9" fillId="4" borderId="1" xfId="0" applyAlignment="1">
      <x:alignment horizontal="left" vertical="center" wrapText="1"/>
    </x:xf>
    <x:xf numFmtId="165" fontId="9" fillId="4" borderId="0" xfId="0" applyAlignment="1">
      <x:alignment horizontal="left" vertical="center" wrapText="1"/>
    </x:xf>
    <x:xf numFmtId="165" fontId="9" fillId="4" borderId="1" xfId="0" applyAlignment="1">
      <x:alignment horizontal="left" vertical="center" wrapText="1"/>
    </x:xf>
    <x:xf numFmtId="0" fontId="10" fillId="7" borderId="0" xfId="0" applyAlignment="1">
      <x:alignment vertical="center" wrapText="1"/>
    </x:xf>
    <x:xf numFmtId="0" fontId="10" fillId="7" borderId="0" xfId="0" applyAlignment="1">
      <x:alignment horizontal="left" vertical="center" wrapText="1"/>
    </x:xf>
    <x:xf numFmtId="0" fontId="10" fillId="7" borderId="1" xfId="0" applyAlignment="1">
      <x:alignment vertical="center" wrapText="1"/>
    </x:xf>
    <x:xf numFmtId="0" fontId="10" fillId="7" borderId="1" xfId="0" applyAlignment="1">
      <x:alignment horizontal="left" vertical="center" wrapText="1"/>
    </x:xf>
    <x:xf numFmtId="0" fontId="10" fillId="9" borderId="0" xfId="0" applyAlignment="1">
      <x:alignment vertical="center" wrapText="1"/>
    </x:xf>
    <x:xf numFmtId="0" fontId="10" fillId="9" borderId="0" xfId="0" applyAlignment="1">
      <x:alignment horizontal="left" vertical="center" wrapText="1"/>
    </x:xf>
    <x:xf numFmtId="0" fontId="10" fillId="9" borderId="1" xfId="0" applyAlignment="1">
      <x:alignment vertical="center" wrapText="1"/>
    </x:xf>
    <x:xf numFmtId="0" fontId="10" fillId="9" borderId="1" xfId="0" applyAlignment="1">
      <x:alignment horizontal="left" vertical="center" wrapText="1"/>
    </x:xf>
    <x:xf numFmtId="0" fontId="10" fillId="11" borderId="0" xfId="0" applyAlignment="1">
      <x:alignment vertical="center" wrapText="1"/>
    </x:xf>
    <x:xf numFmtId="0" fontId="10" fillId="11" borderId="0" xfId="0" applyAlignment="1">
      <x:alignment horizontal="left" vertical="center" wrapText="1"/>
    </x:xf>
    <x:xf numFmtId="0" fontId="10" fillId="11" borderId="1" xfId="0" applyAlignment="1">
      <x:alignment vertical="center" wrapText="1"/>
    </x:xf>
    <x:xf numFmtId="0" fontId="10" fillId="11" borderId="1" xfId="0" applyAlignment="1">
      <x:alignment horizontal="left" vertical="center" wrapText="1"/>
    </x:xf>
    <x:xf numFmtId="0" fontId="4" fillId="3" borderId="0" xfId="0" applyAlignment="1">
      <x:alignment vertical="center" wrapText="1"/>
    </x:xf>
    <x:xf numFmtId="0" fontId="4" fillId="3" borderId="0" xfId="0" applyAlignment="1">
      <x:alignment horizontal="center" vertical="center" wrapText="1"/>
    </x:xf>
    <x:xf numFmtId="0" fontId="4" fillId="3" borderId="1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7" fillId="4" borderId="0" xfId="0" applyAlignment="1">
      <x:alignment horizontal="left" vertical="center" wrapText="1"/>
    </x:xf>
    <x:xf numFmtId="0" fontId="7" fillId="4" borderId="1" xfId="0" applyAlignment="1">
      <x:alignment horizontal="left" vertical="center" wrapText="1"/>
    </x:xf>
    <x:xf numFmtId="0" fontId="2" fillId="8" borderId="0" xfId="0" applyAlignment="1">
      <x:alignment vertical="center" wrapText="1"/>
    </x:xf>
    <x:xf numFmtId="0" fontId="2" fillId="8" borderId="0" xfId="0" applyAlignment="1">
      <x:alignment horizontal="center" vertical="center" wrapText="1"/>
    </x:xf>
    <x:xf numFmtId="0" fontId="2" fillId="8" borderId="1" xfId="0" applyAlignment="1">
      <x:alignment vertical="center" wrapText="1"/>
    </x:xf>
    <x:xf numFmtId="0" fontId="2" fillId="8" borderId="1" xfId="0" applyAlignment="1">
      <x:alignment horizontal="center" vertical="center" wrapText="1"/>
    </x:xf>
    <x:xf numFmtId="0" fontId="11" fillId="4" borderId="0" xfId="0" applyAlignment="1">
      <x:alignment vertical="center" wrapText="1"/>
    </x:xf>
    <x:xf numFmtId="0" fontId="11" fillId="4" borderId="0" xfId="0" applyAlignment="1">
      <x:alignment horizontal="center" vertical="center" wrapText="1"/>
    </x:xf>
    <x:xf numFmtId="0" fontId="11" fillId="4" borderId="1" xfId="0" applyAlignment="1">
      <x:alignment vertical="center" wrapText="1"/>
    </x:xf>
    <x:xf numFmtId="0" fontId="11" fillId="4" borderId="1" xfId="0" applyAlignment="1">
      <x:alignment horizontal="center" vertical="center" wrapText="1"/>
    </x:xf>
    <x:xf numFmtId="1" fontId="3" fillId="4" borderId="0" xfId="0" applyAlignment="1">
      <x:alignment vertical="center" wrapText="1"/>
    </x:xf>
    <x:xf numFmtId="1" fontId="3" fillId="4" borderId="1" xfId="0" applyAlignment="1">
      <x:alignment vertical="center" wrapText="1"/>
    </x:xf>
    <x:xf numFmtId="166" fontId="3" fillId="4" borderId="0" xfId="0" applyAlignment="1">
      <x:alignment vertical="center" wrapText="1"/>
    </x:xf>
    <x:xf numFmtId="166" fontId="3" fillId="4" borderId="1" xfId="0" applyAlignment="1">
      <x:alignment vertical="center" wrapText="1"/>
    </x:xf>
    <x:xf numFmtId="0" fontId="0" fillId="0" borderId="0" xfId="0"/>
    <x:xf numFmtId="0" fontId="4" fillId="14" borderId="0" xfId="0" applyAlignment="1">
      <x:alignment horizontal="center" vertical="center" wrapText="1"/>
    </x:xf>
    <x:xf numFmtId="0" fontId="12" fillId="14" borderId="0" xfId="0" applyAlignment="1">
      <x:alignment horizontal="center" vertical="center" wrapText="1"/>
    </x:xf>
    <x:xf numFmtId="0" fontId="3" fillId="15" borderId="0" xfId="0" applyAlignment="1">
      <x:alignment vertical="center" wrapText="1"/>
    </x:xf>
    <x:xf numFmtId="0" fontId="12" fillId="15" borderId="0" xfId="0" applyAlignment="1">
      <x:alignment vertical="center" wrapText="1"/>
    </x:xf>
    <x:xf numFmtId="0" fontId="12" fillId="15" borderId="0" xfId="0" applyAlignment="1">
      <x:alignment horizontal="center" vertical="center" wrapText="1"/>
    </x:xf>
    <x:xf numFmtId="0" fontId="3" fillId="16" borderId="0" xfId="0" applyAlignment="1">
      <x:alignment vertical="center" wrapText="1"/>
    </x:xf>
    <x:xf numFmtId="0" fontId="1" fillId="16" borderId="0" xfId="0" applyAlignment="1">
      <x:alignment vertical="center" wrapText="1"/>
    </x:xf>
    <x:xf numFmtId="0" fontId="3" fillId="16" borderId="0" xfId="0" applyAlignment="1">
      <x:alignment horizontal="left" vertical="center" wrapText="1"/>
    </x:xf>
    <x:xf numFmtId="0" fontId="3" fillId="17" borderId="0" xfId="0" applyAlignment="1">
      <x:alignment vertical="center" wrapText="1"/>
    </x:xf>
    <x:xf numFmtId="0" fontId="12" fillId="17" borderId="0" xfId="0" applyAlignment="1">
      <x:alignment vertical="center" wrapText="1"/>
    </x:xf>
    <x:xf numFmtId="0" fontId="12" fillId="17" borderId="0" xfId="0" applyAlignment="1">
      <x:alignment horizontal="center" vertical="center" wrapText="1"/>
    </x:xf>
    <x:xf numFmtId="0" fontId="3" fillId="18" borderId="0" xfId="0" applyAlignment="1">
      <x:alignment vertical="center" wrapText="1"/>
    </x:xf>
    <x:xf numFmtId="0" fontId="1" fillId="18" borderId="0" xfId="0" applyAlignment="1">
      <x:alignment vertical="center" wrapText="1"/>
    </x:xf>
    <x:xf numFmtId="0" fontId="3" fillId="18" borderId="0" xfId="0" applyAlignment="1">
      <x:alignment horizontal="left" vertical="center" wrapText="1"/>
    </x:xf>
    <x:xf numFmtId="0" fontId="4" fillId="17" borderId="0" xfId="0" applyAlignment="1">
      <x:alignment horizontal="center" vertical="center" wrapText="1"/>
    </x:xf>
    <x:xf numFmtId="0" fontId="12" fillId="3" borderId="0" xfId="0" applyAlignment="1">
      <x:alignment horizontal="center" vertical="center" wrapText="1"/>
    </x:xf>
    <x:xf numFmtId="0" fontId="12" fillId="5" borderId="0" xfId="0" applyAlignment="1">
      <x:alignment vertical="center" wrapText="1"/>
    </x:xf>
    <x:xf numFmtId="0" fontId="12" fillId="5" borderId="0" xfId="0" applyAlignment="1">
      <x:alignment horizontal="center" vertical="center" wrapText="1"/>
    </x:xf>
    <x:xf numFmtId="0" fontId="3" fillId="4" borderId="0" xfId="0" applyAlignment="1">
      <x:alignment horizontal="left" vertical="center" wrapText="1"/>
    </x:xf>
    <x:xf numFmtId="0" fontId="3" fillId="6" borderId="0" xfId="0" applyAlignment="1">
      <x:alignment vertical="center" wrapText="1"/>
    </x:xf>
    <x:xf numFmtId="0" fontId="12" fillId="6" borderId="0" xfId="0" applyAlignment="1">
      <x:alignment vertical="center" wrapText="1"/>
    </x:xf>
    <x:xf numFmtId="0" fontId="12" fillId="6" borderId="0" xfId="0" applyAlignment="1">
      <x:alignment horizontal="center" vertical="center" wrapText="1"/>
    </x:xf>
    <x:xf numFmtId="0" fontId="3" fillId="12" borderId="0" xfId="0" applyAlignment="1">
      <x:alignment horizontal="left" vertical="center" wrapText="1"/>
    </x:xf>
    <x:xf numFmtId="0" fontId="2" fillId="19" borderId="0" xfId="0" applyAlignment="1">
      <x:alignment horizontal="center" vertical="center" wrapText="1"/>
    </x:xf>
    <x:xf numFmtId="0" fontId="0" fillId="19" borderId="0" xfId="0"/>
    <x:xf numFmtId="0" fontId="13" fillId="19" borderId="0" xfId="0" applyAlignment="1">
      <x:alignment horizontal="center" vertical="center" wrapText="1"/>
    </x:xf>
    <x:xf numFmtId="0" fontId="14" fillId="19" borderId="0" xfId="0"/>
    <x:xf numFmtId="0" fontId="14" fillId="19" borderId="0" xfId="0" applyAlignment="1">
      <x:alignment wrapText="1"/>
    </x:xf>
    <x:xf numFmtId="0" fontId="14" fillId="19" borderId="0" xfId="0" applyAlignment="1">
      <x:alignment horizontal="center" wrapText="1"/>
    </x:xf>
    <x:xf numFmtId="0" fontId="14" fillId="19" borderId="0" xfId="0" applyAlignment="1">
      <x:alignment horizontal="center" vertical="center" wrapText="1"/>
    </x:xf>
    <x:xf numFmtId="0" fontId="2" fillId="20" borderId="0" xfId="0" applyAlignment="1">
      <x:alignment horizontal="center" vertical="center" wrapText="1"/>
    </x:xf>
    <x:xf numFmtId="0" fontId="0" fillId="20" borderId="0" xfId="0"/>
    <x:xf numFmtId="0" fontId="11" fillId="20" borderId="0" xfId="0" applyAlignment="1">
      <x:alignment horizontal="center" vertical="center" wrapText="1"/>
    </x:xf>
    <x:xf numFmtId="0" fontId="15" fillId="20" borderId="0" xfId="0"/>
    <x:xf numFmtId="0" fontId="15" fillId="20" borderId="0" xfId="0" applyAlignment="1">
      <x:alignment wrapText="1"/>
    </x:xf>
    <x:xf numFmtId="0" fontId="15" fillId="20" borderId="0" xfId="0" applyAlignment="1">
      <x:alignment horizontal="center" wrapText="1"/>
    </x:xf>
    <x:xf numFmtId="0" fontId="15" fillId="20" borderId="0" xfId="0" applyAlignment="1">
      <x:alignment horizontal="center" vertical="center" wrapText="1"/>
    </x:xf>
    <x:xf numFmtId="0" fontId="4" fillId="21" borderId="0" xfId="0" applyAlignment="1">
      <x:alignment horizontal="center" vertical="center" wrapText="1"/>
    </x:xf>
    <x:xf numFmtId="0" fontId="0" fillId="21" borderId="0" xfId="0"/>
    <x:xf numFmtId="0" fontId="16" fillId="21" borderId="0" xfId="0"/>
    <x:xf numFmtId="0" fontId="16" fillId="21" borderId="0" xfId="0" applyAlignment="1">
      <x:alignment wrapText="1"/>
    </x:xf>
    <x:xf numFmtId="0" fontId="16" fillId="21" borderId="0" xfId="0" applyAlignment="1">
      <x:alignment horizontal="center" wrapText="1"/>
    </x:xf>
    <x:xf numFmtId="0" fontId="16" fillId="21" borderId="0" xfId="0" applyAlignment="1">
      <x:alignment horizontal="center" vertical="center" wrapText="1"/>
    </x:xf>
    <x:xf numFmtId="0" fontId="3" fillId="22" borderId="0" xfId="0" applyAlignment="1">
      <x:alignment vertical="center" wrapText="1"/>
    </x:xf>
    <x:xf numFmtId="0" fontId="0" fillId="22" borderId="0" xfId="0"/>
    <x:xf numFmtId="0" fontId="1" fillId="22" borderId="0" xfId="0" applyAlignment="1">
      <x:alignment vertical="center" wrapText="1"/>
    </x:xf>
    <x:xf numFmtId="0" fontId="15" fillId="22" borderId="0" xfId="0"/>
    <x:xf numFmtId="0" fontId="15" fillId="22" borderId="0" xfId="0" applyAlignment="1">
      <x:alignment wrapText="1"/>
    </x:xf>
    <x:xf numFmtId="0" fontId="15" fillId="22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3" borderId="0" xfId="0" applyAlignment="1">
      <x:alignment vertical="center" wrapText="1"/>
    </x:xf>
    <x:xf numFmtId="0" fontId="17" fillId="23" borderId="0" xfId="0" applyAlignment="1">
      <x:alignment vertical="center" wrapText="1"/>
    </x:xf>
    <x:xf numFmtId="0" fontId="17" fillId="23" borderId="0" xfId="0" applyAlignment="1">
      <x:alignment horizontal="center" vertical="center" wrapText="1"/>
    </x:xf>
    <x:xf numFmtId="0" fontId="0" fillId="3" borderId="0" xfId="0"/>
    <x:xf numFmtId="0" fontId="13" fillId="3" borderId="0" xfId="0" applyAlignment="1">
      <x:alignment horizontal="center" vertical="center" wrapText="1"/>
    </x:xf>
    <x:xf numFmtId="0" fontId="14" fillId="3" borderId="0" xfId="0"/>
    <x:xf numFmtId="0" fontId="14" fillId="3" borderId="0" xfId="0" applyAlignment="1">
      <x:alignment wrapText="1"/>
    </x:xf>
    <x:xf numFmtId="0" fontId="14" fillId="3" borderId="0" xfId="0" applyAlignment="1">
      <x:alignment horizontal="center" wrapText="1"/>
    </x:xf>
    <x:xf numFmtId="0" fontId="14" fillId="3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11" fillId="2" borderId="0" xfId="0" applyAlignment="1">
      <x:alignment horizontal="center" vertical="center" wrapText="1"/>
    </x:xf>
    <x:xf numFmtId="0" fontId="15" fillId="2" borderId="0" xfId="0"/>
    <x:xf numFmtId="0" fontId="15" fillId="2" borderId="0" xfId="0" applyAlignment="1">
      <x:alignment wrapText="1"/>
    </x:xf>
    <x:xf numFmtId="0" fontId="15" fillId="2" borderId="0" xfId="0" applyAlignment="1">
      <x:alignment horizontal="center" wrapText="1"/>
    </x:xf>
    <x:xf numFmtId="0" fontId="15" fillId="2" borderId="0" xfId="0" applyAlignment="1">
      <x:alignment horizontal="center" vertical="center" wrapText="1"/>
    </x:xf>
    <x:xf numFmtId="0" fontId="0" fillId="5" borderId="0" xfId="0"/>
    <x:xf numFmtId="0" fontId="16" fillId="5" borderId="0" xfId="0"/>
    <x:xf numFmtId="0" fontId="16" fillId="5" borderId="0" xfId="0" applyAlignment="1">
      <x:alignment wrapText="1"/>
    </x:xf>
    <x:xf numFmtId="0" fontId="16" fillId="5" borderId="0" xfId="0" applyAlignment="1">
      <x:alignment horizontal="center" wrapText="1"/>
    </x:xf>
    <x:xf numFmtId="0" fontId="16" fillId="5" borderId="0" xfId="0" applyAlignment="1">
      <x:alignment horizontal="center" vertical="center" wrapText="1"/>
    </x:xf>
    <x:xf numFmtId="0" fontId="0" fillId="12" borderId="0" xfId="0"/>
    <x:xf numFmtId="0" fontId="15" fillId="12" borderId="0" xfId="0"/>
    <x:xf numFmtId="0" fontId="15" fillId="12" borderId="0" xfId="0" applyAlignment="1">
      <x:alignment wrapText="1"/>
    </x:xf>
    <x:xf numFmtId="0" fontId="15" fillId="12" borderId="0" xfId="0" applyAlignment="1">
      <x:alignment vertical="center" wrapText="1"/>
    </x:xf>
    <x:xf numFmtId="0" fontId="17" fillId="6" borderId="0" xfId="0" applyAlignment="1">
      <x:alignment vertical="center" wrapText="1"/>
    </x:xf>
    <x:xf numFmtId="0" fontId="17" fillId="6" borderId="0" xfId="0" applyAlignment="1">
      <x:alignment horizontal="center" vertical="center" wrapText="1"/>
    </x:xf>
    <x:xf numFmtId="0" fontId="1" fillId="24" borderId="0" xfId="0" applyAlignment="1">
      <x:alignment vertical="center" wrapText="1"/>
    </x:xf>
    <x:xf numFmtId="0" fontId="4" fillId="24" borderId="0" xfId="0" applyAlignment="1">
      <x:alignment vertical="center" wrapText="1"/>
    </x:xf>
    <x:xf numFmtId="0" fontId="4" fillId="24" borderId="0" xfId="0" applyAlignment="1">
      <x:alignment horizontal="center" vertical="center" wrapText="1"/>
    </x:xf>
    <x:xf numFmtId="0" fontId="1" fillId="25" borderId="0" xfId="0" applyAlignment="1">
      <x:alignment vertical="center" wrapText="1"/>
    </x:xf>
    <x:xf numFmtId="0" fontId="0" fillId="26" borderId="0" xfId="0"/>
    <x:xf numFmtId="0" fontId="1" fillId="26" borderId="0" xfId="0"/>
    <x:xf numFmtId="0" fontId="1" fillId="26" borderId="0" xfId="0" applyAlignment="1">
      <x:alignment wrapText="1"/>
    </x:xf>
    <x:xf numFmtId="0" fontId="1" fillId="26" borderId="0" xfId="0" applyAlignment="1">
      <x:alignment vertical="center" wrapText="1"/>
    </x:xf>
    <x:xf numFmtId="0" fontId="1" fillId="27" borderId="0" xfId="0" applyAlignment="1">
      <x:alignment vertical="center" wrapText="1"/>
    </x:xf>
    <x:xf numFmtId="0" fontId="13" fillId="27" borderId="0" xfId="0" applyAlignment="1">
      <x:alignment vertical="center" wrapText="1"/>
    </x:xf>
    <x:xf numFmtId="0" fontId="13" fillId="27" borderId="0" xfId="0" applyAlignment="1">
      <x:alignment horizontal="center" vertical="center" wrapText="1"/>
    </x:xf>
    <x:xf numFmtId="0" fontId="1" fillId="28" borderId="0" xfId="0" applyAlignment="1">
      <x:alignment vertical="center" wrapText="1"/>
    </x:xf>
    <x:xf numFmtId="0" fontId="4" fillId="28" borderId="0" xfId="0" applyAlignment="1">
      <x:alignment vertical="center" wrapText="1"/>
    </x:xf>
    <x:xf numFmtId="0" fontId="4" fillId="28" borderId="0" xfId="0" applyAlignment="1">
      <x:alignment horizontal="center" vertical="center" wrapText="1"/>
    </x:xf>
    <x:xf numFmtId="0" fontId="1" fillId="29" borderId="0" xfId="0" applyAlignment="1">
      <x:alignment vertical="center" wrapText="1"/>
    </x:xf>
    <x:xf numFmtId="164" fontId="1" fillId="29" borderId="0" xfId="0" applyAlignment="1">
      <x:alignment vertical="center" wrapText="1"/>
    </x:xf>
    <x:xf numFmtId="164" fontId="1" fillId="26" borderId="0" xfId="0" applyAlignment="1">
      <x:alignment vertical="center" wrapText="1"/>
    </x:xf>
    <x:xf numFmtId="164" fontId="0" fillId="0" borderId="0" xfId="0"/>
    <x:xf numFmtId="0" fontId="13" fillId="3" borderId="0" xfId="0" applyAlignment="1">
      <x:alignment vertical="center" wrapText="1"/>
    </x:xf>
    <x:xf numFmtId="164" fontId="1" fillId="4" borderId="0" xfId="0" applyAlignment="1">
      <x:alignment vertical="center" wrapText="1"/>
    </x:xf>
    <x:xf numFmtId="164" fontId="1" fillId="2" borderId="0" xfId="0" applyAlignment="1">
      <x:alignment vertical="center" wrapText="1"/>
    </x:xf>
    <x:xf numFmtId="0" fontId="0" fillId="30" borderId="0" xfId="0"/>
    <x:xf numFmtId="0" fontId="1" fillId="30" borderId="0" xfId="0"/>
    <x:xf numFmtId="0" fontId="1" fillId="30" borderId="0" xfId="0" applyAlignment="1">
      <x:alignment wrapText="1"/>
    </x:xf>
    <x:xf numFmtId="0" fontId="1" fillId="30" borderId="0" xfId="0" applyAlignment="1">
      <x:alignment vertical="center" wrapText="1"/>
    </x:xf>
    <x:xf numFmtId="0" fontId="1" fillId="31" borderId="0" xfId="0" applyAlignment="1">
      <x:alignment vertical="center" wrapText="1"/>
    </x:xf>
    <x:xf numFmtId="0" fontId="13" fillId="31" borderId="0" xfId="0" applyAlignment="1">
      <x:alignment vertical="center" wrapText="1"/>
    </x:xf>
    <x:xf numFmtId="0" fontId="13" fillId="31" borderId="0" xfId="0" applyAlignment="1">
      <x:alignment horizontal="center" vertical="center" wrapText="1"/>
    </x:xf>
    <x:xf numFmtId="0" fontId="1" fillId="32" borderId="0" xfId="0" applyAlignment="1">
      <x:alignment vertical="center" wrapText="1"/>
    </x:xf>
    <x:xf numFmtId="0" fontId="4" fillId="32" borderId="0" xfId="0" applyAlignment="1">
      <x:alignment vertical="center" wrapText="1"/>
    </x:xf>
    <x:xf numFmtId="0" fontId="4" fillId="32" borderId="0" xfId="0" applyAlignment="1">
      <x:alignment horizontal="center" vertical="center" wrapText="1"/>
    </x:xf>
    <x:xf numFmtId="0" fontId="1" fillId="33" borderId="0" xfId="0" applyAlignment="1">
      <x:alignment vertical="center" wrapText="1"/>
    </x:xf>
    <x:xf numFmtId="0" fontId="0" fillId="32" borderId="0" xfId="0"/>
    <x:xf numFmtId="0" fontId="18" fillId="32" borderId="0" xfId="0"/>
    <x:xf numFmtId="0" fontId="18" fillId="32" borderId="0" xfId="0" applyAlignment="1">
      <x:alignment wrapText="1"/>
    </x:xf>
    <x:xf numFmtId="0" fontId="18" fillId="32" borderId="0" xfId="0" applyAlignment="1">
      <x:alignment horizontal="center" wrapText="1"/>
    </x:xf>
    <x:xf numFmtId="0" fontId="18" fillId="32" borderId="0" xfId="0" applyAlignment="1">
      <x:alignment horizontal="center" vertical="center" wrapText="1"/>
    </x:xf>
    <x:xf numFmtId="0" fontId="0" fillId="33" borderId="0" xfId="0"/>
    <x:xf numFmtId="0" fontId="15" fillId="33" borderId="0" xfId="0"/>
    <x:xf numFmtId="0" fontId="15" fillId="33" borderId="0" xfId="0" applyAlignment="1">
      <x:alignment wrapText="1"/>
    </x:xf>
    <x:xf numFmtId="0" fontId="15" fillId="33" borderId="0" xfId="0" applyAlignment="1">
      <x:alignment vertical="center" wrapText="1"/>
    </x:xf>
    <x:xf numFmtId="164" fontId="3" fillId="4" borderId="0" xfId="0" applyAlignment="1">
      <x:alignment vertical="center" wrapText="1"/>
    </x:xf>
    <x:xf numFmtId="165" fontId="3" fillId="4" borderId="0" xfId="0" applyAlignment="1">
      <x:alignment vertical="center" wrapText="1"/>
    </x:xf>
    <x:xf numFmtId="165" fontId="5" fillId="7" borderId="0" xfId="0" applyAlignment="1">
      <x:alignment horizontal="center" vertical="center" wrapText="1"/>
    </x:xf>
    <x:xf numFmtId="165" fontId="6" fillId="4" borderId="0" xfId="0" applyAlignment="1">
      <x:alignment horizontal="left" vertical="center" wrapText="1"/>
    </x:xf>
    <x:xf numFmtId="165" fontId="9" fillId="4" borderId="0" xfId="0" applyAlignment="1">
      <x:alignment horizontal="left" vertical="center" wrapText="1"/>
    </x:xf>
    <x:xf numFmtId="1" fontId="3" fillId="4" borderId="0" xfId="0" applyAlignment="1">
      <x:alignment vertical="center" wrapText="1"/>
    </x:xf>
    <x:xf numFmtId="166" fontId="3" fillId="4" borderId="0" xfId="0" applyAlignment="1">
      <x:alignment vertical="center" wrapText="1"/>
    </x:xf>
    <x:xf numFmtId="164" fontId="1" fillId="29" borderId="0" xfId="0" applyAlignment="1">
      <x:alignment vertical="center" wrapText="1"/>
    </x:xf>
    <x:xf numFmtId="164" fontId="1" fillId="26" borderId="0" xfId="0" applyAlignment="1">
      <x:alignment vertical="center" wrapText="1"/>
    </x:xf>
    <x:xf numFmtId="164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vertical="center" wrapText="1"/>
    </x:xf>
    <x:xf numFmtId="165" fontId="3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165" fontId="5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right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165" fontId="6" fillId="4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165" fontId="9" fillId="4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1" fontId="3" fillId="4" borderId="0" xfId="0" applyNumberFormat="1" applyFont="1" applyFill="1" applyBorder="1" applyAlignment="1">
      <x:alignment vertical="center" wrapText="1"/>
    </x:xf>
    <x:xf numFmtId="166" fontId="3" fillId="4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164" fontId="1" fillId="4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horizont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13" fillId="35" borderId="0" xfId="0" applyNumberFormat="1" applyFont="1" applyFill="1" applyBorder="1" applyAlignment="1">
      <x:alignment vertical="center" wrapText="1"/>
    </x:xf>
    <x:xf numFmtId="0" fontId="13" fillId="35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8" fillId="39" borderId="0" xfId="0" applyNumberFormat="1" applyFont="1" applyFill="1" applyBorder="1"/>
    <x:xf numFmtId="0" fontId="18" fillId="39" borderId="0" xfId="0" applyNumberFormat="1" applyFont="1" applyFill="1" applyBorder="1" applyAlignment="1">
      <x:alignment wrapText="1"/>
    </x:xf>
    <x:xf numFmtId="0" fontId="18" fillId="39" borderId="0" xfId="0" applyNumberFormat="1" applyFont="1" applyFill="1" applyBorder="1" applyAlignment="1">
      <x:alignment horizontal="center" wrapText="1"/>
    </x:xf>
    <x:xf numFmtId="0" fontId="18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15" fillId="40" borderId="0" xfId="0" applyNumberFormat="1" applyFont="1" applyFill="1" applyBorder="1"/>
    <x:xf numFmtId="0" fontId="15" fillId="40" borderId="0" xfId="0" applyNumberFormat="1" applyFont="1" applyFill="1" applyBorder="1" applyAlignment="1">
      <x:alignment wrapText="1"/>
    </x:xf>
    <x:xf numFmtId="0" fontId="15" fillId="4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horizont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1" fillId="41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13" fillId="42" borderId="0" xfId="0" applyNumberFormat="1" applyFont="1" applyFill="1" applyBorder="1" applyAlignment="1">
      <x:alignment vertical="center" wrapText="1"/>
    </x:xf>
    <x:xf numFmtId="0" fontId="13" fillId="42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4" fillId="44" borderId="0" xfId="0" applyNumberFormat="1" applyFont="1" applyFill="1" applyBorder="1" applyAlignment="1">
      <x:alignment vertical="center" wrapText="1"/>
    </x:xf>
    <x:xf numFmtId="0" fontId="4" fillId="44" borderId="0" xfId="0" applyNumberFormat="1" applyFont="1" applyFill="1" applyBorder="1" applyAlignment="1">
      <x:alignment horizontal="center"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wrapText="1"/>
    </x:xf>
    <x:xf numFmtId="0" fontId="1" fillId="46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13" fillId="47" borderId="0" xfId="0" applyNumberFormat="1" applyFont="1" applyFill="1" applyBorder="1" applyAlignment="1">
      <x:alignment vertical="center" wrapText="1"/>
    </x:xf>
    <x:xf numFmtId="0" fontId="13" fillId="47" borderId="0" xfId="0" applyNumberFormat="1" applyFont="1" applyFill="1" applyBorder="1" applyAlignment="1">
      <x:alignment horizontal="center"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4" fillId="49" borderId="0" xfId="0" applyNumberFormat="1" applyFont="1" applyFill="1" applyBorder="1" applyAlignment="1">
      <x:alignment vertical="center" wrapText="1"/>
    </x:xf>
    <x:xf numFmtId="0" fontId="4" fillId="49" borderId="0" xfId="0" applyNumberFormat="1" applyFont="1" applyFill="1" applyBorder="1" applyAlignment="1">
      <x:alignment horizontal="center"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18" fillId="49" borderId="0" xfId="0" applyNumberFormat="1" applyFont="1" applyFill="1" applyBorder="1"/>
    <x:xf numFmtId="0" fontId="18" fillId="49" borderId="0" xfId="0" applyNumberFormat="1" applyFont="1" applyFill="1" applyBorder="1" applyAlignment="1">
      <x:alignment wrapText="1"/>
    </x:xf>
    <x:xf numFmtId="0" fontId="18" fillId="49" borderId="0" xfId="0" applyNumberFormat="1" applyFont="1" applyFill="1" applyBorder="1" applyAlignment="1">
      <x:alignment horizontal="center" wrapText="1"/>
    </x:xf>
    <x:xf numFmtId="0" fontId="18" fillId="49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/>
    <x:xf numFmtId="0" fontId="15" fillId="51" borderId="0" xfId="0" applyNumberFormat="1" applyFont="1" applyFill="1" applyBorder="1"/>
    <x:xf numFmtId="0" fontId="15" fillId="51" borderId="0" xfId="0" applyNumberFormat="1" applyFont="1" applyFill="1" applyBorder="1" applyAlignment="1">
      <x:alignment wrapText="1"/>
    </x:xf>
    <x:xf numFmtId="0" fontId="15" fillId="51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wrapText="1"/>
    </x:xf>
    <x:xf numFmtId="0" fontId="1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horizontal="center"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horizontal="center" vertical="center" wrapText="1"/>
    </x:xf>
    <x:xf numFmtId="0" fontId="1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1" fillId="57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3" fillId="58" borderId="0" xfId="0" applyNumberFormat="1" applyFont="1" applyFill="1" applyBorder="1" applyAlignment="1">
      <x:alignment vertical="center" wrapText="1"/>
    </x:xf>
    <x:xf numFmtId="0" fontId="13" fillId="58" borderId="0" xfId="0" applyNumberFormat="1" applyFont="1" applyFill="1" applyBorder="1" applyAlignment="1">
      <x:alignment horizontal="center"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4" fillId="60" borderId="0" xfId="0" applyNumberFormat="1" applyFont="1" applyFill="1" applyBorder="1" applyAlignment="1">
      <x:alignment vertical="center" wrapText="1"/>
    </x:xf>
    <x:xf numFmtId="0" fontId="4" fillId="60" borderId="0" xfId="0" applyNumberFormat="1" applyFont="1" applyFill="1" applyBorder="1" applyAlignment="1">
      <x:alignment horizontal="center"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1" fillId="63" borderId="0" xfId="0" applyNumberFormat="1" applyFont="1" applyFill="1" applyBorder="1" applyAlignment="1">
      <x:alignment vertical="center" wrapText="1"/>
    </x:xf>
    <x:xf numFmtId="0" fontId="13" fillId="63" borderId="0" xfId="0" applyNumberFormat="1" applyFont="1" applyFill="1" applyBorder="1" applyAlignment="1">
      <x:alignment vertical="center" wrapText="1"/>
    </x:xf>
    <x:xf numFmtId="0" fontId="1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4" fillId="65" borderId="0" xfId="0" applyNumberFormat="1" applyFont="1" applyFill="1" applyBorder="1" applyAlignment="1">
      <x:alignment vertical="center" wrapText="1"/>
    </x:xf>
    <x:xf numFmtId="0" fontId="4" fillId="65" borderId="0" xfId="0" applyNumberFormat="1" applyFont="1" applyFill="1" applyBorder="1" applyAlignment="1">
      <x:alignment horizontal="center"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3" fillId="62" borderId="0" xfId="0" applyNumberFormat="1" applyFont="1" applyFill="1" applyBorder="1" applyAlignment="1">
      <x:alignment horizontal="center" vertical="center" wrapText="1"/>
    </x:xf>
    <x:xf numFmtId="0" fontId="4" fillId="62" borderId="0" xfId="0" applyNumberFormat="1" applyFont="1" applyFill="1" applyBorder="1" applyAlignment="1">
      <x:alignment horizontal="center" vertical="center" wrapText="1"/>
    </x:xf>
    <x:xf numFmtId="0" fontId="11" fillId="62" borderId="0" xfId="0" applyNumberFormat="1" applyFont="1" applyFill="1" applyBorder="1" applyAlignment="1">
      <x:alignment horizontal="center" vertical="center" wrapText="1"/>
    </x:xf>
    <x:xf numFmtId="0" fontId="11" fillId="63" borderId="0" xfId="0" applyNumberFormat="1" applyFont="1" applyFill="1" applyBorder="1" applyAlignment="1">
      <x:alignment horizontal="center" vertical="center" wrapText="1"/>
    </x:xf>
    <x:xf numFmtId="0" fontId="11" fillId="65" borderId="0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1" fillId="67" borderId="0" xfId="0" applyNumberFormat="1" applyFont="1" applyFill="1" applyBorder="1"/>
    <x:xf numFmtId="0" fontId="1" fillId="67" borderId="0" xfId="0" applyNumberFormat="1" applyFont="1" applyFill="1" applyBorder="1" applyAlignment="1">
      <x:alignment wrapText="1"/>
    </x:xf>
    <x:xf numFmtId="0" fontId="1" fillId="67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3" fillId="68" borderId="0" xfId="0" applyNumberFormat="1" applyFont="1" applyFill="1" applyBorder="1" applyAlignment="1">
      <x:alignment vertical="center" wrapText="1"/>
    </x:xf>
    <x:xf numFmtId="0" fontId="13" fillId="68" borderId="0" xfId="0" applyNumberFormat="1" applyFont="1" applyFill="1" applyBorder="1" applyAlignment="1">
      <x:alignment horizontal="center"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 applyAlignment="1">
      <x:alignment horizontal="center"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1" fillId="72" borderId="0" xfId="0" applyNumberFormat="1" applyFont="1" applyFill="1" applyBorder="1"/>
    <x:xf numFmtId="0" fontId="1" fillId="72" borderId="0" xfId="0" applyNumberFormat="1" applyFont="1" applyFill="1" applyBorder="1" applyAlignment="1">
      <x:alignment wrapText="1"/>
    </x:xf>
    <x:xf numFmtId="0" fontId="1" fillId="72" borderId="0" xfId="0" applyNumberFormat="1" applyFont="1" applyFill="1" applyBorder="1" applyAlignment="1">
      <x:alignment vertical="center" wrapText="1"/>
    </x:xf>
    <x:xf numFmtId="0" fontId="1" fillId="73" borderId="0" xfId="0" applyNumberFormat="1" applyFont="1" applyFill="1" applyBorder="1" applyAlignment="1">
      <x:alignment vertical="center" wrapText="1"/>
    </x:xf>
    <x:xf numFmtId="0" fontId="13" fillId="73" borderId="0" xfId="0" applyNumberFormat="1" applyFont="1" applyFill="1" applyBorder="1" applyAlignment="1">
      <x:alignment vertical="center" wrapText="1"/>
    </x:xf>
    <x:xf numFmtId="0" fontId="13" fillId="73" borderId="0" xfId="0" applyNumberFormat="1" applyFont="1" applyFill="1" applyBorder="1" applyAlignment="1">
      <x:alignment horizontal="center" vertical="center" wrapText="1"/>
    </x:xf>
    <x:xf numFmtId="0" fontId="1" fillId="74" borderId="0" xfId="0" applyNumberFormat="1" applyFont="1" applyFill="1" applyBorder="1" applyAlignment="1">
      <x:alignment vertical="center" wrapText="1"/>
    </x:xf>
    <x:xf numFmtId="0" fontId="1" fillId="75" borderId="0" xfId="0" applyNumberFormat="1" applyFont="1" applyFill="1" applyBorder="1" applyAlignment="1">
      <x:alignment vertical="center" wrapText="1"/>
    </x:xf>
    <x:xf numFmtId="0" fontId="4" fillId="75" borderId="0" xfId="0" applyNumberFormat="1" applyFont="1" applyFill="1" applyBorder="1" applyAlignment="1">
      <x:alignment vertical="center" wrapText="1"/>
    </x:xf>
    <x:xf numFmtId="0" fontId="4" fillId="75" borderId="0" xfId="0" applyNumberFormat="1" applyFont="1" applyFill="1" applyBorder="1" applyAlignment="1">
      <x:alignment horizontal="center"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200" fontId="1" fillId="76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1" fillId="77" borderId="0" xfId="0" applyNumberFormat="1" applyFont="1" applyFill="1" applyBorder="1"/>
    <x:xf numFmtId="0" fontId="1" fillId="77" borderId="0" xfId="0" applyNumberFormat="1" applyFont="1" applyFill="1" applyBorder="1" applyAlignment="1">
      <x:alignment wrapText="1"/>
    </x:xf>
    <x:xf numFmtId="0" fontId="1" fillId="77" borderId="0" xfId="0" applyNumberFormat="1" applyFont="1" applyFill="1" applyBorder="1" applyAlignment="1">
      <x:alignment vertical="center" wrapText="1"/>
    </x:xf>
    <x:xf numFmtId="0" fontId="1" fillId="78" borderId="0" xfId="0" applyNumberFormat="1" applyFont="1" applyFill="1" applyBorder="1" applyAlignment="1">
      <x:alignment vertical="center" wrapText="1"/>
    </x:xf>
    <x:xf numFmtId="0" fontId="13" fillId="78" borderId="0" xfId="0" applyNumberFormat="1" applyFont="1" applyFill="1" applyBorder="1" applyAlignment="1">
      <x:alignment vertical="center" wrapText="1"/>
    </x:xf>
    <x:xf numFmtId="0" fontId="13" fillId="78" borderId="0" xfId="0" applyNumberFormat="1" applyFont="1" applyFill="1" applyBorder="1" applyAlignment="1">
      <x:alignment horizontal="center" vertical="center" wrapText="1"/>
    </x:xf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4" fillId="80" borderId="0" xfId="0" applyNumberFormat="1" applyFont="1" applyFill="1" applyBorder="1" applyAlignment="1">
      <x:alignment vertical="center" wrapText="1"/>
    </x:xf>
    <x:xf numFmtId="0" fontId="4" fillId="80" borderId="0" xfId="0" applyNumberFormat="1" applyFont="1" applyFill="1" applyBorder="1" applyAlignment="1">
      <x:alignment horizontal="center"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1" fillId="82" borderId="0" xfId="0" applyNumberFormat="1" applyFont="1" applyFill="1" applyBorder="1" applyAlignment="1">
      <x:alignment wrapText="1"/>
    </x:xf>
    <x:xf numFmtId="0" fontId="1" fillId="82" borderId="0" xfId="0" applyNumberFormat="1" applyFont="1" applyFill="1" applyBorder="1" applyAlignment="1">
      <x:alignment vertical="center" wrapText="1"/>
    </x:xf>
    <x:xf numFmtId="0" fontId="1" fillId="83" borderId="0" xfId="0" applyNumberFormat="1" applyFont="1" applyFill="1" applyBorder="1" applyAlignment="1">
      <x:alignment vertical="center" wrapText="1"/>
    </x:xf>
    <x:xf numFmtId="0" fontId="13" fillId="83" borderId="0" xfId="0" applyNumberFormat="1" applyFont="1" applyFill="1" applyBorder="1" applyAlignment="1">
      <x:alignment vertical="center" wrapText="1"/>
    </x:xf>
    <x:xf numFmtId="0" fontId="13" fillId="83" borderId="0" xfId="0" applyNumberFormat="1" applyFont="1" applyFill="1" applyBorder="1" applyAlignment="1">
      <x:alignment horizontal="center" vertical="center" wrapText="1"/>
    </x:xf>
    <x:xf numFmtId="0" fontId="1" fillId="84" borderId="0" xfId="0" applyNumberFormat="1" applyFont="1" applyFill="1" applyBorder="1" applyAlignment="1">
      <x:alignment vertical="center" wrapText="1"/>
    </x:xf>
    <x:xf numFmtId="0" fontId="1" fillId="85" borderId="0" xfId="0" applyNumberFormat="1" applyFont="1" applyFill="1" applyBorder="1" applyAlignment="1">
      <x:alignment vertical="center" wrapText="1"/>
    </x:xf>
    <x:xf numFmtId="0" fontId="4" fillId="85" borderId="0" xfId="0" applyNumberFormat="1" applyFont="1" applyFill="1" applyBorder="1" applyAlignment="1">
      <x:alignment vertical="center" wrapText="1"/>
    </x:xf>
    <x:xf numFmtId="0" fontId="4" fillId="85" borderId="0" xfId="0" applyNumberFormat="1" applyFont="1" applyFill="1" applyBorder="1" applyAlignment="1">
      <x:alignment horizontal="center" vertical="center" wrapText="1"/>
    </x:xf>
    <x:xf numFmtId="0" fontId="1" fillId="86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1" fillId="87" borderId="0" xfId="0" applyNumberFormat="1" applyFont="1" applyFill="1" applyBorder="1" applyAlignment="1">
      <x:alignment wrapText="1"/>
    </x:xf>
    <x:xf numFmtId="0" fontId="1" fillId="87" borderId="0" xfId="0" applyNumberFormat="1" applyFont="1" applyFill="1" applyBorder="1" applyAlignment="1">
      <x:alignment vertical="center" wrapText="1"/>
    </x:xf>
    <x:xf numFmtId="0" fontId="1" fillId="88" borderId="0" xfId="0" applyNumberFormat="1" applyFont="1" applyFill="1" applyBorder="1" applyAlignment="1">
      <x:alignment vertical="center" wrapText="1"/>
    </x:xf>
    <x:xf numFmtId="0" fontId="13" fillId="88" borderId="0" xfId="0" applyNumberFormat="1" applyFont="1" applyFill="1" applyBorder="1" applyAlignment="1">
      <x:alignment vertical="center" wrapText="1"/>
    </x:xf>
    <x:xf numFmtId="0" fontId="13" fillId="88" borderId="0" xfId="0" applyNumberFormat="1" applyFont="1" applyFill="1" applyBorder="1" applyAlignment="1">
      <x:alignment horizontal="center" vertical="center" wrapText="1"/>
    </x:xf>
    <x:xf numFmtId="0" fontId="1" fillId="89" borderId="0" xfId="0" applyNumberFormat="1" applyFont="1" applyFill="1" applyBorder="1" applyAlignment="1">
      <x:alignment vertical="center" wrapText="1"/>
    </x:xf>
    <x:xf numFmtId="0" fontId="1" fillId="90" borderId="0" xfId="0" applyNumberFormat="1" applyFont="1" applyFill="1" applyBorder="1" applyAlignment="1">
      <x:alignment vertical="center" wrapText="1"/>
    </x:xf>
    <x:xf numFmtId="0" fontId="4" fillId="90" borderId="0" xfId="0" applyNumberFormat="1" applyFont="1" applyFill="1" applyBorder="1" applyAlignment="1">
      <x:alignment vertical="center" wrapText="1"/>
    </x:xf>
    <x:xf numFmtId="0" fontId="4" fillId="90" borderId="0" xfId="0" applyNumberFormat="1" applyFont="1" applyFill="1" applyBorder="1" applyAlignment="1">
      <x:alignment horizontal="center" vertical="center" wrapText="1"/>
    </x:xf>
    <x:xf numFmtId="0" fontId="1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1" fillId="92" borderId="0" xfId="0" applyNumberFormat="1" applyFont="1" applyFill="1" applyBorder="1"/>
    <x:xf numFmtId="0" fontId="1" fillId="92" borderId="0" xfId="0" applyNumberFormat="1" applyFont="1" applyFill="1" applyBorder="1" applyAlignment="1">
      <x:alignment wrapText="1"/>
    </x:xf>
    <x:xf numFmtId="0" fontId="1" fillId="92" borderId="0" xfId="0" applyNumberFormat="1" applyFont="1" applyFill="1" applyBorder="1" applyAlignment="1">
      <x:alignment vertical="center" wrapText="1"/>
    </x:xf>
    <x:xf numFmtId="0" fontId="1" fillId="93" borderId="0" xfId="0" applyNumberFormat="1" applyFont="1" applyFill="1" applyBorder="1" applyAlignment="1">
      <x:alignment vertical="center" wrapText="1"/>
    </x:xf>
    <x:xf numFmtId="0" fontId="13" fillId="93" borderId="0" xfId="0" applyNumberFormat="1" applyFont="1" applyFill="1" applyBorder="1" applyAlignment="1">
      <x:alignment vertical="center" wrapText="1"/>
    </x:xf>
    <x:xf numFmtId="0" fontId="13" fillId="93" borderId="0" xfId="0" applyNumberFormat="1" applyFont="1" applyFill="1" applyBorder="1" applyAlignment="1">
      <x:alignment horizontal="center" vertical="center" wrapText="1"/>
    </x:xf>
    <x:xf numFmtId="0" fontId="1" fillId="94" borderId="0" xfId="0" applyNumberFormat="1" applyFont="1" applyFill="1" applyBorder="1" applyAlignment="1">
      <x:alignment vertical="center" wrapText="1"/>
    </x:xf>
    <x:xf numFmtId="0" fontId="1" fillId="95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 applyAlignment="1">
      <x:alignment horizontal="center" vertical="center" wrapText="1"/>
    </x:xf>
    <x:xf numFmtId="0" fontId="1" fillId="96" borderId="0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1" fillId="97" borderId="0" xfId="0" applyNumberFormat="1" applyFont="1" applyFill="1" applyBorder="1"/>
    <x:xf numFmtId="0" fontId="1" fillId="97" borderId="0" xfId="0" applyNumberFormat="1" applyFont="1" applyFill="1" applyBorder="1" applyAlignment="1">
      <x:alignment wrapText="1"/>
    </x:xf>
    <x:xf numFmtId="0" fontId="1" fillId="97" borderId="0" xfId="0" applyNumberFormat="1" applyFont="1" applyFill="1" applyBorder="1" applyAlignment="1">
      <x:alignment vertical="center" wrapText="1"/>
    </x:xf>
    <x:xf numFmtId="0" fontId="1" fillId="98" borderId="0" xfId="0" applyNumberFormat="1" applyFont="1" applyFill="1" applyBorder="1" applyAlignment="1">
      <x:alignment vertical="center" wrapText="1"/>
    </x:xf>
    <x:xf numFmtId="0" fontId="13" fillId="98" borderId="0" xfId="0" applyNumberFormat="1" applyFont="1" applyFill="1" applyBorder="1" applyAlignment="1">
      <x:alignment vertical="center" wrapText="1"/>
    </x:xf>
    <x:xf numFmtId="0" fontId="13" fillId="98" borderId="0" xfId="0" applyNumberFormat="1" applyFont="1" applyFill="1" applyBorder="1" applyAlignment="1">
      <x:alignment horizontal="center" vertical="center" wrapText="1"/>
    </x:xf>
    <x:xf numFmtId="0" fontId="1" fillId="99" borderId="0" xfId="0" applyNumberFormat="1" applyFont="1" applyFill="1" applyBorder="1" applyAlignment="1">
      <x:alignment vertical="center" wrapText="1"/>
    </x:xf>
    <x:xf numFmtId="0" fontId="1" fillId="100" borderId="0" xfId="0" applyNumberFormat="1" applyFont="1" applyFill="1" applyBorder="1" applyAlignment="1">
      <x:alignment vertical="center" wrapText="1"/>
    </x:xf>
    <x:xf numFmtId="0" fontId="4" fillId="100" borderId="0" xfId="0" applyNumberFormat="1" applyFont="1" applyFill="1" applyBorder="1" applyAlignment="1">
      <x:alignment vertical="center" wrapText="1"/>
    </x:xf>
    <x:xf numFmtId="0" fontId="4" fillId="100" borderId="0" xfId="0" applyNumberFormat="1" applyFont="1" applyFill="1" applyBorder="1" applyAlignment="1">
      <x:alignment horizontal="center" vertical="center" wrapText="1"/>
    </x:xf>
    <x:xf numFmtId="0" fontId="1" fillId="101" borderId="0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1" fillId="102" borderId="0" xfId="0" applyNumberFormat="1" applyFont="1" applyFill="1" applyBorder="1"/>
    <x:xf numFmtId="0" fontId="1" fillId="102" borderId="0" xfId="0" applyNumberFormat="1" applyFont="1" applyFill="1" applyBorder="1" applyAlignment="1">
      <x:alignment wrapText="1"/>
    </x:xf>
    <x:xf numFmtId="0" fontId="1" fillId="102" borderId="0" xfId="0" applyNumberFormat="1" applyFont="1" applyFill="1" applyBorder="1" applyAlignment="1">
      <x:alignment vertical="center" wrapText="1"/>
    </x:xf>
    <x:xf numFmtId="0" fontId="1" fillId="103" borderId="0" xfId="0" applyNumberFormat="1" applyFont="1" applyFill="1" applyBorder="1" applyAlignment="1">
      <x:alignment vertical="center" wrapText="1"/>
    </x:xf>
    <x:xf numFmtId="0" fontId="13" fillId="103" borderId="0" xfId="0" applyNumberFormat="1" applyFont="1" applyFill="1" applyBorder="1" applyAlignment="1">
      <x:alignment vertical="center" wrapText="1"/>
    </x:xf>
    <x:xf numFmtId="0" fontId="13" fillId="103" borderId="0" xfId="0" applyNumberFormat="1" applyFont="1" applyFill="1" applyBorder="1" applyAlignment="1">
      <x:alignment horizontal="center" vertical="center" wrapText="1"/>
    </x:xf>
    <x:xf numFmtId="0" fontId="1" fillId="104" borderId="0" xfId="0" applyNumberFormat="1" applyFont="1" applyFill="1" applyBorder="1" applyAlignment="1">
      <x:alignment vertical="center" wrapText="1"/>
    </x:xf>
    <x:xf numFmtId="0" fontId="1" fillId="105" borderId="0" xfId="0" applyNumberFormat="1" applyFont="1" applyFill="1" applyBorder="1" applyAlignment="1">
      <x:alignment vertical="center" wrapText="1"/>
    </x:xf>
    <x:xf numFmtId="0" fontId="4" fillId="105" borderId="0" xfId="0" applyNumberFormat="1" applyFont="1" applyFill="1" applyBorder="1" applyAlignment="1">
      <x:alignment vertical="center" wrapText="1"/>
    </x:xf>
    <x:xf numFmtId="0" fontId="4" fillId="105" borderId="0" xfId="0" applyNumberFormat="1" applyFont="1" applyFill="1" applyBorder="1" applyAlignment="1">
      <x:alignment horizontal="center" vertical="center" wrapText="1"/>
    </x:xf>
    <x:xf numFmtId="0" fontId="1" fillId="106" borderId="0" xfId="0" applyNumberFormat="1" applyFont="1" applyFill="1" applyBorder="1" applyAlignment="1">
      <x:alignment vertical="center" wrapText="1"/>
    </x:xf>
    <x:xf numFmtId="0" fontId="13" fillId="107" borderId="0" xfId="0" applyNumberFormat="1" applyFont="1" applyFill="1" applyBorder="1" applyAlignment="1">
      <x:alignment horizontal="center" vertical="center" wrapText="1"/>
    </x:xf>
    <x:xf numFmtId="0" fontId="0" fillId="107" borderId="0" xfId="0" applyNumberFormat="1" applyFont="1" applyFill="1" applyBorder="1"/>
    <x:xf numFmtId="0" fontId="19" fillId="107" borderId="0" xfId="0" applyNumberFormat="1" applyFont="1" applyFill="1" applyBorder="1" applyAlignment="1">
      <x:alignment horizontal="center" vertical="center" wrapText="1"/>
    </x:xf>
    <x:xf numFmtId="0" fontId="20" fillId="107" borderId="0" xfId="0" applyNumberFormat="1" applyFont="1" applyFill="1" applyBorder="1"/>
    <x:xf numFmtId="0" fontId="19" fillId="107" borderId="0" xfId="0" applyNumberFormat="1" applyFont="1" applyFill="1" applyBorder="1" applyAlignment="1">
      <x:alignment horizontal="left" vertical="center" wrapText="1"/>
    </x:xf>
    <x:xf numFmtId="0" fontId="20" fillId="107" borderId="0" xfId="0" applyNumberFormat="1" applyFont="1" applyFill="1" applyBorder="1" applyAlignment="1">
      <x:alignment horizontal="left"/>
    </x:xf>
    <x:xf numFmtId="0" fontId="20" fillId="107" borderId="0" xfId="0" applyNumberFormat="1" applyFont="1" applyFill="1" applyBorder="1" applyAlignment="1">
      <x:alignment horizontal="left" vertical="center"/>
    </x:xf>
    <x:xf numFmtId="0" fontId="13" fillId="108" borderId="0" xfId="0" applyNumberFormat="1" applyFont="1" applyFill="1" applyBorder="1" applyAlignment="1">
      <x:alignment horizontal="center" vertical="center" wrapText="1"/>
    </x:xf>
    <x:xf numFmtId="0" fontId="0" fillId="108" borderId="0" xfId="0" applyNumberFormat="1" applyFont="1" applyFill="1" applyBorder="1"/>
    <x:xf numFmtId="0" fontId="21" fillId="108" borderId="0" xfId="0" applyNumberFormat="1" applyFont="1" applyFill="1" applyBorder="1" applyAlignment="1">
      <x:alignment horizontal="center" vertical="center" wrapText="1"/>
    </x:xf>
    <x:xf numFmtId="0" fontId="22" fillId="108" borderId="0" xfId="0" applyNumberFormat="1" applyFont="1" applyFill="1" applyBorder="1"/>
    <x:xf numFmtId="0" fontId="22" fillId="108" borderId="0" xfId="0" applyNumberFormat="1" applyFont="1" applyFill="1" applyBorder="1" applyAlignment="1">
      <x:alignment wrapText="1"/>
    </x:xf>
    <x:xf numFmtId="0" fontId="4" fillId="109" borderId="0" xfId="0" applyNumberFormat="1" applyFont="1" applyFill="1" applyBorder="1" applyAlignment="1">
      <x:alignment horizontal="center" vertical="center" wrapText="1"/>
    </x:xf>
    <x:xf numFmtId="0" fontId="0" fillId="109" borderId="0" xfId="0" applyNumberFormat="1" applyFont="1" applyFill="1" applyBorder="1"/>
    <x:xf numFmtId="0" fontId="16" fillId="109" borderId="0" xfId="0" applyNumberFormat="1" applyFont="1" applyFill="1" applyBorder="1"/>
    <x:xf numFmtId="0" fontId="16" fillId="109" borderId="0" xfId="0" applyNumberFormat="1" applyFont="1" applyFill="1" applyBorder="1" applyAlignment="1">
      <x:alignment wrapText="1"/>
    </x:xf>
    <x:xf numFmtId="0" fontId="16" fillId="109" borderId="0" xfId="0" applyNumberFormat="1" applyFont="1" applyFill="1" applyBorder="1" applyAlignment="1">
      <x:alignment horizontal="center" wrapText="1"/>
    </x:xf>
    <x:xf numFmtId="0" fontId="16" fillId="109" borderId="0" xfId="0" applyNumberFormat="1" applyFont="1" applyFill="1" applyBorder="1" applyAlignment="1">
      <x:alignment horizontal="center" vertical="center" wrapText="1"/>
    </x:xf>
    <x:xf numFmtId="0" fontId="23" fillId="107" borderId="0" xfId="0" applyNumberFormat="1" applyFont="1" applyFill="1" applyBorder="1"/>
    <x:xf numFmtId="0" fontId="23" fillId="107" borderId="0" xfId="0" applyNumberFormat="1" applyFont="1" applyFill="1" applyBorder="1" applyAlignment="1">
      <x:alignment horizontal="left"/>
    </x:xf>
    <x:xf numFmtId="0" fontId="23" fillId="107" borderId="0" xfId="0" applyNumberFormat="1" applyFont="1" applyFill="1" applyBorder="1" applyAlignment="1">
      <x:alignment horizontal="left" vertical="center"/>
    </x:xf>
    <x:xf numFmtId="0" fontId="24" fillId="108" borderId="0" xfId="0" applyNumberFormat="1" applyFont="1" applyFill="1" applyBorder="1"/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center"/>
    </x:xf>
    <x:xf numFmtId="0" fontId="25" fillId="0" borderId="0" xfId="0" applyNumberFormat="1" applyFont="1" applyFill="1" applyBorder="1" applyAlignment="1">
      <x:alignment horizontal="center" vertical="center"/>
    </x:xf>
    <x:xf numFmtId="0" fontId="16" fillId="107" borderId="0" xfId="0" applyNumberFormat="1" applyFont="1" applyFill="1" applyBorder="1"/>
    <x:xf numFmtId="0" fontId="16" fillId="107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/>
    <x:xf numFmtId="0" fontId="16" fillId="107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wrapText="1"/>
    </x:xf>
    <x:xf numFmtId="0" fontId="0" fillId="110" borderId="0" xfId="0" applyNumberFormat="1" applyFont="1" applyFill="1" applyBorder="1"/>
    <x:xf numFmtId="0" fontId="27" fillId="110" borderId="0" xfId="0" applyNumberFormat="1" applyFont="1" applyFill="1" applyBorder="1"/>
    <x:xf numFmtId="0" fontId="27" fillId="110" borderId="0" xfId="0" applyNumberFormat="1" applyFont="1" applyFill="1" applyBorder="1" applyAlignment="1">
      <x:alignment wrapText="1"/>
    </x:xf>
    <x:xf numFmtId="0" fontId="27" fillId="110" borderId="0" xfId="0" applyNumberFormat="1" applyFont="1" applyFill="1" applyBorder="1" applyAlignment="1">
      <x:alignment vertical="center" wrapText="1"/>
    </x:xf>
    <x:xf numFmtId="0" fontId="15" fillId="109" borderId="0" xfId="0" applyNumberFormat="1" applyFont="1" applyFill="1" applyBorder="1" applyAlignment="1">
      <x:alignment vertical="center" wrapText="1"/>
    </x:xf>
    <x:xf numFmtId="0" fontId="16" fillId="109" borderId="0" xfId="0" applyNumberFormat="1" applyFont="1" applyFill="1" applyBorder="1" applyAlignment="1">
      <x:alignment vertical="center" wrapText="1"/>
    </x:xf>
    <x:xf numFmtId="0" fontId="1" fillId="109" borderId="0" xfId="0" applyNumberFormat="1" applyFont="1" applyFill="1" applyBorder="1" applyAlignment="1">
      <x:alignment vertical="center" wrapText="1"/>
    </x:xf>
    <x:xf numFmtId="0" fontId="17" fillId="109" borderId="0" xfId="0" applyNumberFormat="1" applyFont="1" applyFill="1" applyBorder="1" applyAlignment="1">
      <x:alignment vertical="center" wrapText="1"/>
    </x:xf>
    <x:xf numFmtId="164" fontId="4" fillId="5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0" fillId="111" borderId="0" xfId="0" applyNumberFormat="1" applyFont="1" applyFill="1" applyBorder="1"/>
    <x:xf numFmtId="0" fontId="23" fillId="111" borderId="0" xfId="0" applyNumberFormat="1" applyFont="1" applyFill="1" applyBorder="1"/>
    <x:xf numFmtId="0" fontId="23" fillId="111" borderId="0" xfId="0" applyNumberFormat="1" applyFont="1" applyFill="1" applyBorder="1" applyAlignment="1">
      <x:alignment horizontal="left"/>
    </x:xf>
    <x:xf numFmtId="0" fontId="23" fillId="111" borderId="0" xfId="0" applyNumberFormat="1" applyFont="1" applyFill="1" applyBorder="1" applyAlignment="1">
      <x:alignment horizontal="left" vertical="center"/>
    </x:xf>
    <x:xf numFmtId="0" fontId="0" fillId="112" borderId="0" xfId="0" applyNumberFormat="1" applyFont="1" applyFill="1" applyBorder="1"/>
    <x:xf numFmtId="0" fontId="16" fillId="112" borderId="0" xfId="0" applyNumberFormat="1" applyFont="1" applyFill="1" applyBorder="1"/>
    <x:xf numFmtId="0" fontId="0" fillId="113" borderId="0" xfId="0" applyNumberFormat="1" applyFont="1" applyFill="1" applyBorder="1"/>
    <x:xf numFmtId="0" fontId="24" fillId="113" borderId="0" xfId="0" applyNumberFormat="1" applyFont="1" applyFill="1" applyBorder="1"/>
    <x:xf numFmtId="0" fontId="28" fillId="0" borderId="0" xfId="0" applyNumberFormat="1" applyFont="1" applyFill="1" applyBorder="1"/>
    <x:xf numFmtId="0" fontId="28" fillId="0" borderId="0" xfId="0" applyNumberFormat="1" applyFont="1" applyFill="1" applyBorder="1" applyAlignment="1">
      <x:alignment horizontal="center"/>
    </x:xf>
    <x:xf numFmtId="0" fontId="28" fillId="0" borderId="0" xfId="0" applyNumberFormat="1" applyFont="1" applyFill="1" applyBorder="1" applyAlignment="1">
      <x:alignment horizontal="center" vertical="center"/>
    </x:xf>
    <x:xf numFmtId="0" fontId="16" fillId="111" borderId="0" xfId="0" applyNumberFormat="1" applyFont="1" applyFill="1" applyBorder="1"/>
    <x:xf numFmtId="0" fontId="16" fillId="111" borderId="0" xfId="0" applyNumberFormat="1" applyFont="1" applyFill="1" applyBorder="1" applyAlignment="1">
      <x:alignment horizontal="center"/>
    </x:xf>
    <x:xf numFmtId="0" fontId="16" fillId="111" borderId="0" xfId="0" applyNumberFormat="1" applyFont="1" applyFill="1" applyBorder="1" applyAlignment="1">
      <x:alignment horizontal="center" wrapText="1"/>
    </x:xf>
    <x:xf numFmtId="0" fontId="0" fillId="114" borderId="0" xfId="0" applyNumberFormat="1" applyFont="1" applyFill="1" applyBorder="1"/>
    <x:xf numFmtId="0" fontId="29" fillId="114" borderId="0" xfId="0" applyNumberFormat="1" applyFont="1" applyFill="1" applyBorder="1"/>
    <x:xf numFmtId="0" fontId="29" fillId="114" borderId="0" xfId="0" applyNumberFormat="1" applyFont="1" applyFill="1" applyBorder="1" applyAlignment="1">
      <x:alignment wrapText="1"/>
    </x:xf>
    <x:xf numFmtId="0" fontId="29" fillId="114" borderId="0" xfId="0" applyNumberFormat="1" applyFont="1" applyFill="1" applyBorder="1" applyAlignment="1">
      <x:alignment vertical="center" wrapText="1"/>
    </x:xf>
    <x:xf numFmtId="0" fontId="14" fillId="111" borderId="0" xfId="0" applyNumberFormat="1" applyFont="1" applyFill="1" applyBorder="1"/>
    <x:xf numFmtId="0" fontId="16" fillId="112" borderId="0" xfId="0" applyNumberFormat="1" applyFont="1" applyFill="1" applyBorder="1" applyAlignment="1">
      <x:alignment wrapText="1"/>
    </x:xf>
    <x:xf numFmtId="0" fontId="26" fillId="113" borderId="0" xfId="0" applyNumberFormat="1" applyFont="1" applyFill="1" applyBorder="1"/>
    <x:xf numFmtId="166" fontId="0" fillId="0" borderId="0" xfId="0" applyNumberFormat="1" applyFont="1" applyFill="1" applyBorder="1"/>
    <x:xf numFmtId="166" fontId="26" fillId="113" borderId="0" xfId="0" applyNumberFormat="1" applyFont="1" applyFill="1" applyBorder="1"/>
    <x:xf numFmtId="202" fontId="0" fillId="0" borderId="0" xfId="0" applyNumberFormat="1" applyFont="1" applyFill="1" applyBorder="1"/>
    <x:xf numFmtId="202" fontId="26" fillId="113" borderId="0" xfId="0" applyNumberFormat="1" applyFont="1" applyFill="1" applyBorder="1"/>
    <x:xf numFmtId="0" fontId="15" fillId="111" borderId="0" xfId="0" applyNumberFormat="1" applyFont="1" applyFill="1" applyBorder="1" applyAlignment="1">
      <x:alignment vertical="center" wrapText="1"/>
    </x:xf>
    <x:xf numFmtId="0" fontId="16" fillId="111" borderId="0" xfId="0" applyNumberFormat="1" applyFont="1" applyFill="1" applyBorder="1" applyAlignment="1">
      <x:alignment vertical="center" wrapText="1"/>
    </x:xf>
    <x:xf numFmtId="0" fontId="16" fillId="111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d802562204037" /><Relationship Type="http://schemas.openxmlformats.org/officeDocument/2006/relationships/theme" Target="/xl/theme/theme1.xml" Id="R6138c04c34844f41" /><Relationship Type="http://schemas.openxmlformats.org/officeDocument/2006/relationships/sharedStrings" Target="/xl/sharedStrings.xml" Id="Raa7fa54ce54a4bbb" /><Relationship Type="http://schemas.openxmlformats.org/officeDocument/2006/relationships/worksheet" Target="/xl/worksheets/sheet1.xml" Id="R5b1869919a894994" /><Relationship Type="http://schemas.openxmlformats.org/officeDocument/2006/relationships/worksheet" Target="/xl/worksheets/sheet2.xml" Id="R1a732a4964224f8c" /><Relationship Type="http://schemas.openxmlformats.org/officeDocument/2006/relationships/worksheet" Target="/xl/worksheets/sheet3.xml" Id="R4d2261d6cec9498f" /><Relationship Type="http://schemas.openxmlformats.org/officeDocument/2006/relationships/worksheet" Target="/xl/worksheets/sheet4.xml" Id="R79057dabc038471e" /><Relationship Type="http://schemas.openxmlformats.org/officeDocument/2006/relationships/worksheet" Target="/xl/worksheets/sheet5.xml" Id="R7cc4026f0c2a4abb" /><Relationship Type="http://schemas.openxmlformats.org/officeDocument/2006/relationships/worksheet" Target="/xl/worksheets/sheet6.xml" Id="R6f908459f1824773" /><Relationship Type="http://schemas.openxmlformats.org/officeDocument/2006/relationships/worksheet" Target="/xl/worksheets/sheet7.xml" Id="R05fda752912e4705" /><Relationship Type="http://schemas.openxmlformats.org/officeDocument/2006/relationships/worksheet" Target="/xl/worksheets/sheet8.xml" Id="R33ff63893b624de4" /><Relationship Type="http://schemas.openxmlformats.org/officeDocument/2006/relationships/worksheet" Target="/xl/worksheets/sheet9.xml" Id="Radb09e2d447d447e" /><Relationship Type="http://schemas.openxmlformats.org/officeDocument/2006/relationships/worksheet" Target="/xl/worksheets/sheet10.xml" Id="Re21d5cf6fe0c4b5c" /><Relationship Type="http://schemas.openxmlformats.org/officeDocument/2006/relationships/worksheet" Target="/xl/worksheets/sheet11.xml" Id="R70179a733fbb46ea" /><Relationship Type="http://schemas.openxmlformats.org/officeDocument/2006/relationships/worksheet" Target="/xl/worksheets/sheet12.xml" Id="R5ac6db188cb24786" /><Relationship Type="http://schemas.openxmlformats.org/officeDocument/2006/relationships/worksheet" Target="/xl/worksheets/sheet13.xml" Id="R2e55015682984a6f" /><Relationship Type="http://schemas.openxmlformats.org/officeDocument/2006/relationships/worksheet" Target="/xl/worksheets/sheet14.xml" Id="Rcb605a7c5b694bcb" /><Relationship Type="http://schemas.openxmlformats.org/officeDocument/2006/relationships/worksheet" Target="/xl/worksheets/sheet15.xml" Id="R074fb7f651d94684" /><Relationship Type="http://schemas.openxmlformats.org/officeDocument/2006/relationships/worksheet" Target="/xl/worksheets/sheet16.xml" Id="Ra58be5ae1f0a4e20" /><Relationship Type="http://schemas.openxmlformats.org/officeDocument/2006/relationships/worksheet" Target="/xl/worksheets/sheet17.xml" Id="R78922ed488ca4986" /><Relationship Type="http://schemas.openxmlformats.org/officeDocument/2006/relationships/worksheet" Target="/xl/worksheets/sheet18.xml" Id="Rca9e70ce8be4496b" /><Relationship Type="http://schemas.openxmlformats.org/officeDocument/2006/relationships/worksheet" Target="/xl/worksheets/sheet19.xml" Id="Rb0248051b45e4cdb" /><Relationship Type="http://schemas.openxmlformats.org/officeDocument/2006/relationships/worksheet" Target="/xl/worksheets/sheet20.xml" Id="Rc60811e8e6844bc4" /><Relationship Type="http://schemas.openxmlformats.org/officeDocument/2006/relationships/worksheet" Target="/xl/worksheets/sheet21.xml" Id="R0e09cf3468eb4dfc" /><Relationship Type="http://schemas.openxmlformats.org/officeDocument/2006/relationships/worksheet" Target="/xl/worksheets/sheet22.xml" Id="R4ca8f5ab8df44d67" /><Relationship Type="http://schemas.openxmlformats.org/officeDocument/2006/relationships/worksheet" Target="/xl/worksheets/sheet23.xml" Id="R85d26b00a58d46a1" /><Relationship Type="http://schemas.openxmlformats.org/officeDocument/2006/relationships/worksheet" Target="/xl/worksheets/sheet24.xml" Id="R7b44878c36434f94" /><Relationship Type="http://schemas.openxmlformats.org/officeDocument/2006/relationships/worksheet" Target="/xl/worksheets/sheet25.xml" Id="Rcbaf75246abb4bd2" /><Relationship Type="http://schemas.openxmlformats.org/officeDocument/2006/relationships/worksheet" Target="/xl/worksheets/sheet26.xml" Id="R0fdfc40222a54307" /><Relationship Type="http://schemas.openxmlformats.org/officeDocument/2006/relationships/worksheet" Target="/xl/worksheets/sheet27.xml" Id="Ra349f5200ca6401f" /><Relationship Type="http://schemas.openxmlformats.org/officeDocument/2006/relationships/worksheet" Target="/xl/worksheets/sheet28.xml" Id="Rb096284f91de4dc9" /><Relationship Type="http://schemas.openxmlformats.org/officeDocument/2006/relationships/worksheet" Target="/xl/worksheets/sheet29.xml" Id="R444fb60631f04e4f" /><Relationship Type="http://schemas.openxmlformats.org/officeDocument/2006/relationships/worksheet" Target="/xl/worksheets/sheet30.xml" Id="Rac0277f1b5444253" /><Relationship Type="http://schemas.openxmlformats.org/officeDocument/2006/relationships/worksheet" Target="/xl/worksheets/sheet31.xml" Id="R8fde89c66c5f4822" /><Relationship Type="http://schemas.openxmlformats.org/officeDocument/2006/relationships/worksheet" Target="/xl/worksheets/sheet32.xml" Id="R19fe5a4bf21047ab" /><Relationship Type="http://schemas.openxmlformats.org/officeDocument/2006/relationships/worksheet" Target="/xl/worksheets/sheet33.xml" Id="R37a32e4f80bd4e3e" /><Relationship Type="http://schemas.openxmlformats.org/officeDocument/2006/relationships/worksheet" Target="/xl/worksheets/sheet34.xml" Id="R4a0be8e2e54049fd" /><Relationship Type="http://schemas.openxmlformats.org/officeDocument/2006/relationships/worksheet" Target="/xl/worksheets/sheet35.xml" Id="R72265227d4f243fe" /><Relationship Type="http://schemas.openxmlformats.org/officeDocument/2006/relationships/worksheet" Target="/xl/worksheets/sheet36.xml" Id="R2a39d32df0c54eac" /><Relationship Type="http://schemas.openxmlformats.org/officeDocument/2006/relationships/worksheet" Target="/xl/worksheets/sheet37.xml" Id="Rfc1a9b725ca34858" /><Relationship Type="http://schemas.openxmlformats.org/officeDocument/2006/relationships/worksheet" Target="/xl/worksheets/sheet38.xml" Id="R46b611352e514ab5" /><Relationship Type="http://schemas.openxmlformats.org/officeDocument/2006/relationships/worksheet" Target="/xl/worksheets/sheet39.xml" Id="Rece2547a78464703" /><Relationship Type="http://schemas.openxmlformats.org/officeDocument/2006/relationships/worksheet" Target="/xl/worksheets/sheet40.xml" Id="R9085243b64844afa" /><Relationship Type="http://schemas.openxmlformats.org/officeDocument/2006/relationships/worksheet" Target="/xl/worksheets/sheet41.xml" Id="R0d4e0e998dcc4689" /><Relationship Type="http://schemas.openxmlformats.org/officeDocument/2006/relationships/worksheet" Target="/xl/worksheets/sheet42.xml" Id="R3a2fe3f496ad48c8" /><Relationship Type="http://schemas.openxmlformats.org/officeDocument/2006/relationships/worksheet" Target="/xl/worksheets/sheet43.xml" Id="R4bc7812a695c4cea" /><Relationship Type="http://schemas.openxmlformats.org/officeDocument/2006/relationships/worksheet" Target="/xl/worksheets/sheet44.xml" Id="R986071add83b4c8c" /><Relationship Type="http://schemas.openxmlformats.org/officeDocument/2006/relationships/worksheet" Target="/xl/worksheets/sheet45.xml" Id="Re2fd9d3f45ef4f12" /><Relationship Type="http://schemas.openxmlformats.org/officeDocument/2006/relationships/worksheet" Target="/xl/worksheets/sheet46.xml" Id="Rf24d19459ac04617" /><Relationship Type="http://schemas.openxmlformats.org/officeDocument/2006/relationships/worksheet" Target="/xl/worksheets/sheet47.xml" Id="Rf775fd8ebd054cee" /><Relationship Type="http://schemas.openxmlformats.org/officeDocument/2006/relationships/worksheet" Target="/xl/worksheets/sheet48.xml" Id="R1e6357e96ea54c91" /><Relationship Type="http://schemas.openxmlformats.org/officeDocument/2006/relationships/worksheet" Target="/xl/worksheets/sheet49.xml" Id="R62602fa7df7b4edc" /><Relationship Type="http://schemas.openxmlformats.org/officeDocument/2006/relationships/worksheet" Target="/xl/worksheets/sheet50.xml" Id="R3569408b723b49c3" /><Relationship Type="http://schemas.openxmlformats.org/officeDocument/2006/relationships/worksheet" Target="/xl/worksheets/sheet51.xml" Id="R54afa717de8a4d65" /><Relationship Type="http://schemas.openxmlformats.org/officeDocument/2006/relationships/worksheet" Target="/xl/worksheets/sheet52.xml" Id="R8c562660e9094a08" /><Relationship Type="http://schemas.openxmlformats.org/officeDocument/2006/relationships/worksheet" Target="/xl/worksheets/sheet53.xml" Id="Rdc04793fcb934635" /><Relationship Type="http://schemas.openxmlformats.org/officeDocument/2006/relationships/worksheet" Target="/xl/worksheets/sheet54.xml" Id="R0f70aaa07f0f4eb9" /><Relationship Type="http://schemas.openxmlformats.org/officeDocument/2006/relationships/worksheet" Target="/xl/worksheets/sheet55.xml" Id="Rcdf06c581c4e40ba" /><Relationship Type="http://schemas.openxmlformats.org/officeDocument/2006/relationships/worksheet" Target="/xl/worksheets/sheet56.xml" Id="R13cfeb3183e446da" /><Relationship Type="http://schemas.openxmlformats.org/officeDocument/2006/relationships/worksheet" Target="/xl/worksheets/sheet57.xml" Id="R7d490153c5a74d98" /><Relationship Type="http://schemas.openxmlformats.org/officeDocument/2006/relationships/worksheet" Target="/xl/worksheets/sheet58.xml" Id="R2cba3ee2dbb24afd" /><Relationship Type="http://schemas.openxmlformats.org/officeDocument/2006/relationships/worksheet" Target="/xl/worksheets/sheet59.xml" Id="Ra2e7cbcae1ca4332" /><Relationship Type="http://schemas.openxmlformats.org/officeDocument/2006/relationships/worksheet" Target="/xl/worksheets/sheet60.xml" Id="R7435147990b342b7" /><Relationship Type="http://schemas.openxmlformats.org/officeDocument/2006/relationships/worksheet" Target="/xl/worksheets/sheet61.xml" Id="R67c150e0dfe6447c" /><Relationship Type="http://schemas.openxmlformats.org/officeDocument/2006/relationships/worksheet" Target="/xl/worksheets/sheet62.xml" Id="Reec301ebef3e4fea" /><Relationship Type="http://schemas.openxmlformats.org/officeDocument/2006/relationships/worksheet" Target="/xl/worksheets/sheet63.xml" Id="R968ce856f7194e17" /><Relationship Type="http://schemas.openxmlformats.org/officeDocument/2006/relationships/worksheet" Target="/xl/worksheets/sheet64.xml" Id="Rd9615685366d4833" /><Relationship Type="http://schemas.openxmlformats.org/officeDocument/2006/relationships/worksheet" Target="/xl/worksheets/sheet65.xml" Id="R87ef91b71ad84fed" /><Relationship Type="http://schemas.openxmlformats.org/officeDocument/2006/relationships/worksheet" Target="/xl/worksheets/sheet66.xml" Id="Rb07e2871f46b4737" /><Relationship Type="http://schemas.openxmlformats.org/officeDocument/2006/relationships/worksheet" Target="/xl/worksheets/sheet67.xml" Id="R4a16ebe92d8c4cdc" /><Relationship Type="http://schemas.openxmlformats.org/officeDocument/2006/relationships/worksheet" Target="/xl/worksheets/sheet68.xml" Id="R71b1e29755034d4b" /><Relationship Type="http://schemas.openxmlformats.org/officeDocument/2006/relationships/worksheet" Target="/xl/worksheets/sheet69.xml" Id="R10cf9d19d71d429b" /><Relationship Type="http://schemas.openxmlformats.org/officeDocument/2006/relationships/worksheet" Target="/xl/worksheets/sheet70.xml" Id="R0d06e03cf71444ca" /><Relationship Type="http://schemas.openxmlformats.org/officeDocument/2006/relationships/worksheet" Target="/xl/worksheets/sheet71.xml" Id="Re8290939a2844192" /><Relationship Type="http://schemas.openxmlformats.org/officeDocument/2006/relationships/worksheet" Target="/xl/worksheets/sheet72.xml" Id="R49f099dc95f9409c" /><Relationship Type="http://schemas.openxmlformats.org/officeDocument/2006/relationships/worksheet" Target="/xl/worksheets/sheet73.xml" Id="R306a983b37114ec5" /><Relationship Type="http://schemas.openxmlformats.org/officeDocument/2006/relationships/worksheet" Target="/xl/worksheets/sheet74.xml" Id="R46122c1fa5bf44c8" /><Relationship Type="http://schemas.openxmlformats.org/officeDocument/2006/relationships/worksheet" Target="/xl/worksheets/sheet75.xml" Id="R1da90b66f4534fda" /><Relationship Type="http://schemas.openxmlformats.org/officeDocument/2006/relationships/worksheet" Target="/xl/worksheets/sheet76.xml" Id="R7d74821430f74763" /><Relationship Type="http://schemas.openxmlformats.org/officeDocument/2006/relationships/worksheet" Target="/xl/worksheets/sheet77.xml" Id="Rff0e5ba0a8074e27" /><Relationship Type="http://schemas.openxmlformats.org/officeDocument/2006/relationships/worksheet" Target="/xl/worksheets/sheet78.xml" Id="Rc930185a272f4a3a" /><Relationship Type="http://schemas.openxmlformats.org/officeDocument/2006/relationships/worksheet" Target="/xl/worksheets/sheet79.xml" Id="R1fae056fdb8b4d33" /><Relationship Type="http://schemas.openxmlformats.org/officeDocument/2006/relationships/worksheet" Target="/xl/worksheets/sheet80.xml" Id="R482e08d709524556" /><Relationship Type="http://schemas.openxmlformats.org/officeDocument/2006/relationships/worksheet" Target="/xl/worksheets/sheet81.xml" Id="R2196c7b6a34d4e13" /><Relationship Type="http://schemas.openxmlformats.org/officeDocument/2006/relationships/worksheet" Target="/xl/worksheets/sheet82.xml" Id="Rdca5c5a4562c47cd" /><Relationship Type="http://schemas.openxmlformats.org/officeDocument/2006/relationships/worksheet" Target="/xl/worksheets/sheet83.xml" Id="R7893307b7947429d" /><Relationship Type="http://schemas.openxmlformats.org/officeDocument/2006/relationships/worksheet" Target="/xl/worksheets/sheet84.xml" Id="R087257f5b86b46b0" /><Relationship Type="http://schemas.openxmlformats.org/officeDocument/2006/relationships/worksheet" Target="/xl/worksheets/sheet85.xml" Id="R66d424167b834815" /><Relationship Type="http://schemas.openxmlformats.org/officeDocument/2006/relationships/worksheet" Target="/xl/worksheets/sheet86.xml" Id="R2d108e3c134a4743" /><Relationship Type="http://schemas.openxmlformats.org/officeDocument/2006/relationships/worksheet" Target="/xl/worksheets/sheet87.xml" Id="Re7e465a47fff465e" /><Relationship Type="http://schemas.openxmlformats.org/officeDocument/2006/relationships/worksheet" Target="/xl/worksheets/sheet88.xml" Id="R577772e53fc74207" /><Relationship Type="http://schemas.openxmlformats.org/officeDocument/2006/relationships/worksheet" Target="/xl/worksheets/sheet89.xml" Id="R86654f7689174481" /><Relationship Type="http://schemas.openxmlformats.org/officeDocument/2006/relationships/worksheet" Target="/xl/worksheets/sheet90.xml" Id="R462b8afb153944c4" /><Relationship Type="http://schemas.openxmlformats.org/officeDocument/2006/relationships/worksheet" Target="/xl/worksheets/sheet91.xml" Id="R5d20b17cfb08416c" /><Relationship Type="http://schemas.openxmlformats.org/officeDocument/2006/relationships/worksheet" Target="/xl/worksheets/sheet92.xml" Id="R53781a9d9d5240b8" /><Relationship Type="http://schemas.openxmlformats.org/officeDocument/2006/relationships/worksheet" Target="/xl/worksheets/sheet93.xml" Id="R66d9753557644d16" /><Relationship Type="http://schemas.openxmlformats.org/officeDocument/2006/relationships/worksheet" Target="/xl/worksheets/sheet94.xml" Id="R9e57793ba0a9499b" /><Relationship Type="http://schemas.openxmlformats.org/officeDocument/2006/relationships/worksheet" Target="/xl/worksheets/sheet95.xml" Id="Redcb0c6c2f304419" /><Relationship Type="http://schemas.openxmlformats.org/officeDocument/2006/relationships/worksheet" Target="/xl/worksheets/sheet96.xml" Id="R60e4086f92764435" /><Relationship Type="http://schemas.openxmlformats.org/officeDocument/2006/relationships/worksheet" Target="/xl/worksheets/sheet97.xml" Id="R75e95f46fe88430c" /><Relationship Type="http://schemas.openxmlformats.org/officeDocument/2006/relationships/worksheet" Target="/xl/worksheets/sheet98.xml" Id="Rd98cf11bddf347a4" /><Relationship Type="http://schemas.openxmlformats.org/officeDocument/2006/relationships/worksheet" Target="/xl/worksheets/sheet99.xml" Id="R698be99ddcc64f69" /><Relationship Type="http://schemas.openxmlformats.org/officeDocument/2006/relationships/worksheet" Target="/xl/worksheets/sheet100.xml" Id="Rdd6eff86b8754981" /><Relationship Type="http://schemas.openxmlformats.org/officeDocument/2006/relationships/worksheet" Target="/xl/worksheets/sheet101.xml" Id="R3d3b226b30874219" /><Relationship Type="http://schemas.openxmlformats.org/officeDocument/2006/relationships/worksheet" Target="/xl/worksheets/sheet102.xml" Id="R36ee1f0aa3c64eeb" /><Relationship Type="http://schemas.openxmlformats.org/officeDocument/2006/relationships/worksheet" Target="/xl/worksheets/sheet103.xml" Id="R03c51ec09e5a4ebc" /><Relationship Type="http://schemas.openxmlformats.org/officeDocument/2006/relationships/worksheet" Target="/xl/worksheets/sheet104.xml" Id="R635159a5bd1942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a6fdb8ac6d44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vs Actual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cat>
            <c:strRef>
              <c:f>'💹 Budget Dashboard RC6'!$A$5:$A$11</c:f>
              <c:strCache>
                <c:ptCount val="0"/>
              </c:strCache>
            </c:strRef>
          </c:cat>
          <c:val>
            <c:numRef>
              <c:f>'💹 Budget Dashboard RC6'!$B$5:$B$11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'💹 Budget Dashboard RC6'!$A$5:$A$11</c:f>
              <c:strCache>
                <c:ptCount val="0"/>
              </c:strCache>
            </c:strRef>
          </c:cat>
          <c:val>
            <c:numRef>
              <c:f>'💹 Budget Dashboard RC6'!$C$5:$C$11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a6fdb8ac6d44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taurantsRC5" displayName="RestaurantsRC5" ref="A4:AE132" headerRowCount="1">
  <x:tableColumns count="31">
    <x:tableColumn id="1" name="ID"/>
    <x:tableColumn id="2" name="City"/>
    <x:tableColumn id="3" name="Area"/>
    <x:tableColumn id="4" name="Name"/>
    <x:tableColumn id="5" name="Cuisine"/>
    <x:tableColumn id="6" name="Category"/>
    <x:tableColumn id="7" name="Meal Tags"/>
    <x:tableColumn id="8" name="Breakfast"/>
    <x:tableColumn id="9" name="Lunch"/>
    <x:tableColumn id="10" name="Dinner"/>
    <x:tableColumn id="11" name="Cafe/Dessert"/>
    <x:tableColumn id="12" name="Michelin"/>
    <x:tableColumn id="13" name="Tabelog Research"/>
    <x:tableColumn id="14" name="GF Confidence"/>
    <x:tableColumn id="15" name="Lactose-Free Confidence"/>
    <x:tableColumn id="16" name="Price"/>
    <x:tableColumn id="17" name="Reservation"/>
    <x:tableColumn id="18" name="Must Order / Experience"/>
    <x:tableColumn id="19" name="Notes"/>
    <x:tableColumn id="20" name="Priority"/>
    <x:tableColumn id="21" name="Status"/>
    <x:tableColumn id="22" name="Favorite"/>
    <x:tableColumn id="23" name="Reservation Status"/>
    <x:tableColumn id="24" name="Opening Hours Check"/>
    <x:tableColumn id="25" name="Open Early"/>
    <x:tableColumn id="26" name="Google Maps Link"/>
    <x:tableColumn id="27" name="Tabelog Link"/>
    <x:tableColumn id="28" name="Michelin Source"/>
    <x:tableColumn id="29" name="Official / Booking Link"/>
    <x:tableColumn id="30" name="Last Checked"/>
    <x:tableColumn id="31" name="Dietary Note"/>
  </x:tableColumns>
  <x:tableStyleInfo name="TableStyleMedium2" showRowStripes="1"/>
</x:table>
</file>

<file path=xl/tables/table2.xml><?xml version="1.0" encoding="utf-8"?>
<x:table xmlns:x="http://schemas.openxmlformats.org/spreadsheetml/2006/main" id="2" name="ReservationAssistantRC6" displayName="ReservationAssistantRC6" ref="A4:Q44" headerRowCount="1">
  <x:tableColumns count="17">
    <x:tableColumn id="1" name="Restaurant"/>
    <x:tableColumn id="2" name="City"/>
    <x:tableColumn id="3" name="Area"/>
    <x:tableColumn id="4" name="Priority"/>
    <x:tableColumn id="5" name="Michelin"/>
    <x:tableColumn id="6" name="Meal"/>
    <x:tableColumn id="7" name="Booking Channel"/>
    <x:tableColumn id="8" name="Opening Rule"/>
    <x:tableColumn id="9" name="Target Booking Date"/>
    <x:tableColumn id="10" name="Cancellation Deadline"/>
    <x:tableColumn id="11" name="Deposit"/>
    <x:tableColumn id="12" name="Dietary Request"/>
    <x:tableColumn id="13" name="Confirmation #"/>
    <x:tableColumn id="14" name="Status"/>
    <x:tableColumn id="15" name="Owner"/>
    <x:tableColumn id="16" name="Contact / Booking URL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ailyTimelineRC6" displayName="DailyTimelineRC6" ref="A4:L106" headerRowCount="1">
  <x:tableColumns count="12">
    <x:tableColumn id="1" name="Date"/>
    <x:tableColumn id="2" name="Day"/>
    <x:tableColumn id="3" name="City"/>
    <x:tableColumn id="4" name="Start"/>
    <x:tableColumn id="5" name="End"/>
    <x:tableColumn id="6" name="Type"/>
    <x:tableColumn id="7" name="Plan"/>
    <x:tableColumn id="8" name="Area / Station"/>
    <x:tableColumn id="9" name="Reservation"/>
    <x:tableColumn id="10" name="Transit / Walking"/>
    <x:tableColumn id="11" name="Buffer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.xml" Id="Rcbb7d0ed2e974c5b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2.xml" Id="Rb006fde3c1b046ca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3.xml" Id="Raa9837ba962d44a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.xml" Id="R72597276284e4bf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0" style="146" customWidth="1"/>
    <x:col min="3" max="3" width="46" style="146" customWidth="1"/>
    <x:col min="4" max="4" width="42" style="146" customWidth="1"/>
    <x:col min="5" max="5" width="12" style="146" customWidth="1"/>
    <x:col min="6" max="6" width="22" style="146" customWidth="1"/>
    <x:col min="7" max="7" width="22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🇯🇵 Japan 2026 Google Sheets Template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148" t="inlineStr">
        <x:is>
          <x:t xml:space="preserve">Setup Flow</x:t>
        </x:is>
      </x:c>
      <x:c r="C5" s="148" t="n"/>
      <x:c r="D5" s="148" t="n"/>
      <x:c r="E5" s="148" t="n"/>
      <x:c r="F5" s="148" t="n"/>
      <x:c r="G5" s="148" t="n"/>
      <x:c r="H5" s="5" t="n"/>
    </x:row>
    <x:row r="6">
      <x:c r="A6" s="5" t="n"/>
      <x:c r="B6" s="151" t="inlineStr">
        <x:is>
          <x:t xml:space="preserve">Step</x:t>
        </x:is>
      </x:c>
      <x:c r="C6" s="151" t="inlineStr">
        <x:is>
          <x:t xml:space="preserve">Action</x:t>
        </x:is>
      </x:c>
      <x:c r="D6" s="151" t="inlineStr">
        <x:is>
          <x:t xml:space="preserve">Why it matters</x:t>
        </x:is>
      </x:c>
      <x:c r="E6" s="151" t="inlineStr">
        <x:is>
          <x:t xml:space="preserve">Done?</x:t>
        </x:is>
      </x:c>
      <x:c r="F6" s="17" t="n"/>
      <x:c r="G6" s="17" t="n"/>
      <x:c r="H6" s="5" t="n"/>
    </x:row>
    <x:row r="7">
      <x:c r="A7" s="5" t="n"/>
      <x:c r="B7" s="154" t="inlineStr">
        <x:is>
          <x:t xml:space="preserve">1</x:t>
        </x:is>
      </x:c>
      <x:c r="C7" s="154" t="inlineStr">
        <x:is>
          <x:t xml:space="preserve">Upload this .xlsx to Google Drive and open with Google Sheets.</x:t>
        </x:is>
      </x:c>
      <x:c r="D7" s="154" t="inlineStr">
        <x:is>
          <x:t xml:space="preserve">Keeps it cloud-based for the family.</x:t>
        </x:is>
      </x:c>
      <x:c r="E7" s="154" t="inlineStr">
        <x:is>
          <x:t xml:space="preserve">☐</x:t>
        </x:is>
      </x:c>
      <x:c r="F7" s="17" t="n"/>
      <x:c r="G7" s="17" t="n"/>
      <x:c r="H7" s="5" t="n"/>
    </x:row>
    <x:row r="8">
      <x:c r="A8" s="5" t="n"/>
      <x:c r="B8" s="154" t="inlineStr">
        <x:is>
          <x:t xml:space="preserve">2</x:t>
        </x:is>
      </x:c>
      <x:c r="C8" s="154" t="inlineStr">
        <x:is>
          <x:t xml:space="preserve">File → Save as Google Sheets.</x:t>
        </x:is>
      </x:c>
      <x:c r="D8" s="154" t="inlineStr">
        <x:is>
          <x:t xml:space="preserve">Prevents Excel compatibility quirks.</x:t>
        </x:is>
      </x:c>
      <x:c r="E8" s="154" t="inlineStr">
        <x:is>
          <x:t xml:space="preserve">☐</x:t>
        </x:is>
      </x:c>
      <x:c r="F8" s="17" t="n"/>
      <x:c r="G8" s="17" t="n"/>
      <x:c r="H8" s="5" t="n"/>
    </x:row>
    <x:row r="9">
      <x:c r="A9" s="5" t="n"/>
      <x:c r="B9" s="154" t="inlineStr">
        <x:is>
          <x:t xml:space="preserve">3</x:t>
        </x:is>
      </x:c>
      <x:c r="C9" s="154" t="inlineStr">
        <x:is>
          <x:t xml:space="preserve">Extensions → Apps Script → paste the JapanPlanner script.</x:t>
        </x:is>
      </x:c>
      <x:c r="D9" s="154" t="inlineStr">
        <x:is>
          <x:t xml:space="preserve">Adds the custom planner menu.</x:t>
        </x:is>
      </x:c>
      <x:c r="E9" s="154" t="inlineStr">
        <x:is>
          <x:t xml:space="preserve">☐</x:t>
        </x:is>
      </x:c>
      <x:c r="F9" s="17" t="n"/>
      <x:c r="G9" s="17" t="n"/>
      <x:c r="H9" s="5" t="n"/>
    </x:row>
    <x:row r="10">
      <x:c r="A10" s="5" t="n"/>
      <x:c r="B10" s="154" t="inlineStr">
        <x:is>
          <x:t xml:space="preserve">4</x:t>
        </x:is>
      </x:c>
      <x:c r="C10" s="154" t="inlineStr">
        <x:is>
          <x:t xml:space="preserve">Reload the Sheet and run 🇯🇵 Japan Planner → Initial Setup / Polish Sheet.</x:t>
        </x:is>
      </x:c>
      <x:c r="D10" s="154" t="inlineStr">
        <x:is>
          <x:t xml:space="preserve">Applies Google Sheets-specific formatting, gridline hiding, links, and validations.</x:t>
        </x:is>
      </x:c>
      <x:c r="E10" s="154" t="inlineStr">
        <x:is>
          <x:t xml:space="preserve">☐</x:t>
        </x:is>
      </x:c>
      <x:c r="F10" s="17" t="n"/>
      <x:c r="G10" s="17" t="n"/>
      <x:c r="H10" s="5" t="n"/>
    </x:row>
    <x:row r="11">
      <x:c r="A11" s="5" t="n"/>
      <x:c r="B11" s="154" t="inlineStr">
        <x:is>
          <x:t xml:space="preserve">5</x:t>
        </x:is>
      </x:c>
      <x:c r="C11" s="154" t="inlineStr">
        <x:is>
          <x:t xml:space="preserve">Update ⚙️ Control first.</x:t>
        </x:is>
      </x:c>
      <x:c r="D11" s="154" t="inlineStr">
        <x:is>
          <x:t xml:space="preserve">Selected date drives Today, Hilda, David + Noelle, and Nick tabs.</x:t>
        </x:is>
      </x:c>
      <x:c r="E11" s="154" t="inlineStr">
        <x:is>
          <x:t xml:space="preserve">☐</x:t>
        </x:is>
      </x:c>
      <x:c r="F11" s="17" t="n"/>
      <x:c r="G11" s="17" t="n"/>
      <x:c r="H11" s="5" t="n"/>
    </x:row>
    <x:row r="12">
      <x:c r="A12" s="5" t="n"/>
      <x:c r="B12" s="154" t="inlineStr">
        <x:is>
          <x:t xml:space="preserve">6</x:t>
        </x:is>
      </x:c>
      <x:c r="C12" s="154" t="inlineStr">
        <x:is>
          <x:t xml:space="preserve">Update Reservations, Flights, Hotels, and Budget.</x:t>
        </x:is>
      </x:c>
      <x:c r="D12" s="154" t="inlineStr">
        <x:is>
          <x:t xml:space="preserve">Keeps the Home dashboard useful.</x:t>
        </x:is>
      </x:c>
      <x:c r="E12" s="154" t="inlineStr">
        <x:is>
          <x:t xml:space="preserve">☐</x:t>
        </x:is>
      </x:c>
      <x:c r="F12" s="5" t="n"/>
      <x:c r="G12" s="5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22" t="n"/>
      <x:c r="C14" s="22" t="n"/>
      <x:c r="D14" s="22" t="n"/>
      <x:c r="E14" s="22" t="n"/>
      <x:c r="F14" s="22" t="n"/>
      <x:c r="G14" s="22" t="n"/>
      <x:c r="H14" s="5" t="n"/>
    </x:row>
    <x:row r="15">
      <x:c r="A15" s="5" t="n"/>
      <x:c r="B15" s="157" t="inlineStr">
        <x:is>
          <x:t xml:space="preserve">What to edit vs. what to view</x:t>
        </x:is>
      </x:c>
      <x:c r="C15" s="157" t="n"/>
      <x:c r="D15" s="157" t="n"/>
      <x:c r="E15" s="157" t="n"/>
      <x:c r="F15" s="157" t="n"/>
      <x:c r="G15" s="157" t="n"/>
      <x:c r="H15" s="5" t="n"/>
    </x:row>
    <x:row r="16">
      <x:c r="A16" s="5" t="n"/>
      <x:c r="B16" s="160" t="inlineStr">
        <x:is>
          <x:t xml:space="preserve">Edit these tabs</x:t>
        </x:is>
      </x:c>
      <x:c r="C16" s="160" t="inlineStr">
        <x:is>
          <x:t xml:space="preserve">⚙️ Control, 📅 Master Itinerary, 🎟 Reservations, ✈️ Flights, 🏨 Hotels, 💴 Budget</x:t>
        </x:is>
      </x:c>
      <x:c r="D16" s="160" t="n"/>
      <x:c r="E16" s="160" t="n"/>
      <x:c r="F16" s="160" t="n"/>
      <x:c r="G16" s="160" t="n"/>
      <x:c r="H16" s="5" t="n"/>
    </x:row>
    <x:row r="17">
      <x:c r="A17" s="5" t="n"/>
      <x:c r="B17" s="160" t="inlineStr">
        <x:is>
          <x:t xml:space="preserve">Use on phones</x:t>
        </x:is>
      </x:c>
      <x:c r="C17" s="160" t="inlineStr">
        <x:is>
          <x:t xml:space="preserve">📱 Today, 👩 Hilda, 👨👩 David + Noelle, 👦 Nick, 🚨 Emergency</x:t>
        </x:is>
      </x:c>
      <x:c r="D17" s="160" t="n"/>
      <x:c r="E17" s="160" t="n"/>
      <x:c r="F17" s="160" t="n"/>
      <x:c r="G17" s="160" t="n"/>
      <x:c r="H17" s="5" t="n"/>
    </x:row>
    <x:row r="18">
      <x:c r="A18" s="5" t="n"/>
      <x:c r="B18" s="160" t="inlineStr">
        <x:is>
          <x:t xml:space="preserve">Reference tabs</x:t>
        </x:is>
      </x:c>
      <x:c r="C18" s="160" t="inlineStr">
        <x:is>
          <x:t xml:space="preserve">💳 Money, 🍜 Food Guide, 🏪 Konbini, 🙏 Etiquette, 🗾 Tokyo Guide, ⛩ Kyoto Guide, ♨ Hakone + Nara, 🇯🇵 Phrases</x:t>
        </x:is>
      </x:c>
      <x:c r="D18" s="160" t="n"/>
      <x:c r="E18" s="160" t="n"/>
      <x:c r="F18" s="160" t="n"/>
      <x:c r="G18" s="160" t="n"/>
      <x:c r="H18" s="5" t="n"/>
    </x:row>
    <x:row r="19">
      <x:c r="A19" s="5" t="n"/>
      <x:c r="B19" s="160" t="inlineStr">
        <x:is>
          <x:t xml:space="preserve">Important note</x:t>
        </x:is>
      </x:c>
      <x:c r="C19" s="160" t="inlineStr">
        <x:is>
          <x:t xml:space="preserve">Do not duplicate names of the main tabs unless you also update the Apps Script constants.</x:t>
        </x:is>
      </x:c>
      <x:c r="D19" s="160" t="n"/>
      <x:c r="E19" s="160" t="n"/>
      <x:c r="F19" s="160" t="n"/>
      <x:c r="G19" s="160" t="n"/>
      <x:c r="H19" s="5" t="n"/>
    </x:row>
    <x:row r="20">
      <x:c r="A20" s="5" t="n"/>
      <x:c r="B20" s="160" t="inlineStr">
        <x:is>
          <x:t xml:space="preserve">Hilda-friendly tip</x:t>
        </x:is>
      </x:c>
      <x:c r="C20" s="160" t="inlineStr">
        <x:is>
          <x:t xml:space="preserve">Bookmark 👩 Hilda on her phone once the sheet is converted.</x:t>
        </x:is>
      </x:c>
      <x:c r="D20" s="160" t="n"/>
      <x:c r="E20" s="160" t="n"/>
      <x:c r="F20" s="160" t="n"/>
      <x:c r="G20" s="160" t="n"/>
      <x:c r="H20" s="5" t="n"/>
    </x:row>
    <x:row r="21">
      <x:c r="A21" s="5" t="n"/>
      <x:c r="B21" s="160" t="inlineStr">
        <x:is>
          <x:t xml:space="preserve">David + Noelle tip</x:t>
        </x:is>
      </x:c>
      <x:c r="C21" s="160" t="inlineStr">
        <x:is>
          <x:t xml:space="preserve">Use the combined tab for planning decisions and reservation status checks.</x:t>
        </x:is>
      </x:c>
      <x:c r="D21" s="160" t="n"/>
      <x:c r="E21" s="160" t="n"/>
      <x:c r="F21" s="160" t="n"/>
      <x:c r="G21" s="160" t="n"/>
      <x:c r="H21" s="5" t="n"/>
    </x:row>
    <x:row r="22">
      <x:c r="A22" s="5" t="n"/>
      <x:c r="B22" s="160" t="inlineStr">
        <x:is>
          <x:t xml:space="preserve">Nick tip</x:t>
        </x:is>
      </x:c>
      <x:c r="C22" s="160" t="inlineStr">
        <x:is>
          <x:t xml:space="preserve">Use 👦 Nick for the simple daily view and meetup info.</x:t>
        </x:is>
      </x:c>
      <x:c r="D22" s="160" t="n"/>
      <x:c r="E22" s="160" t="n"/>
      <x:c r="F22" s="160" t="n"/>
      <x:c r="G22" s="160" t="n"/>
      <x:c r="H22" s="5" t="n"/>
    </x:row>
    <x:row r="23">
      <x:c r="A23" s="5" t="n"/>
      <x:c r="B23" s="22" t="n"/>
      <x:c r="C23" s="22" t="n"/>
      <x:c r="D23" s="22" t="n"/>
      <x:c r="E23" s="22" t="n"/>
      <x:c r="F23" s="22" t="n"/>
      <x:c r="G23" s="22" t="n"/>
      <x:c r="H23" s="5" t="n"/>
    </x:row>
    <x:row r="24">
      <x:c r="A24" s="5" t="n"/>
      <x:c r="B24" s="17" t="n"/>
      <x:c r="C24" s="17" t="n"/>
      <x:c r="D24" s="17" t="n"/>
      <x:c r="E24" s="17" t="n"/>
      <x:c r="F24" s="17" t="n"/>
      <x:c r="G24" s="17" t="n"/>
      <x:c r="H24" s="5" t="n"/>
    </x:row>
    <x:row r="25">
      <x:c r="A25" s="5" t="n"/>
      <x:c r="B25" s="17" t="n"/>
      <x:c r="C25" s="17" t="n"/>
      <x:c r="D25" s="17" t="n"/>
      <x:c r="E25" s="17" t="n"/>
      <x:c r="F25" s="17" t="n"/>
      <x:c r="G25" s="17" t="n"/>
      <x:c r="H25" s="5" t="n"/>
    </x:row>
    <x:row r="26">
      <x:c r="A26" s="5" t="n"/>
      <x:c r="B26" s="17" t="n"/>
      <x:c r="C26" s="17" t="n"/>
      <x:c r="D26" s="17" t="n"/>
      <x:c r="E26" s="17" t="n"/>
      <x:c r="F26" s="17" t="n"/>
      <x:c r="G26" s="17" t="n"/>
      <x:c r="H26" s="5" t="n"/>
    </x:row>
    <x:row r="27">
      <x:c r="A27" s="5" t="n"/>
      <x:c r="B27" s="17" t="n"/>
      <x:c r="C27" s="17" t="n"/>
      <x:c r="D27" s="17" t="n"/>
      <x:c r="E27" s="17" t="n"/>
      <x:c r="F27" s="17" t="n"/>
      <x:c r="G27" s="17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199" t="inlineStr">
        <x:is>
          <x:t xml:space="preserve">Phrasebook Update</x:t>
        </x:is>
      </x:c>
      <x:c r="C29" s="199" t="n"/>
      <x:c r="D29" s="199" t="n"/>
      <x:c r="E29" s="199" t="n"/>
      <x:c r="F29" s="199" t="n"/>
      <x:c r="G29" s="199" t="n"/>
      <x:c r="H29" s="5" t="n"/>
    </x:row>
    <x:row r="30">
      <x:c r="A30" s="5" t="n"/>
      <x:c r="B30" s="192" t="inlineStr">
        <x:is>
          <x:t xml:space="preserve">The 🇯🇵 Phrases tab now uses a situational structure from the Japan Tips doc: greetings, polite basics, directions, transit, restaurant, konbini, shopping, hotel/luggage, emergency, and family/group phrases.</x:t>
        </x:is>
      </x:c>
      <x:c r="C30" s="192" t="n"/>
      <x:c r="D30" s="192" t="n"/>
      <x:c r="E30" s="192" t="n"/>
      <x:c r="F30" s="192" t="n"/>
      <x:c r="G30" s="192" t="n"/>
      <x:c r="H30" s="5" t="n"/>
    </x:row>
    <x:row r="31">
      <x:c r="A31" s="5" t="n"/>
      <x:c r="B31" s="192" t="inlineStr">
        <x:is>
          <x:t xml:space="preserve">In the web app, the Phrases view has category chips and search across English/Japanese/romaji/phonetics/use case.</x:t>
        </x:is>
      </x:c>
      <x:c r="C31" s="192" t="n"/>
      <x:c r="D31" s="192" t="n"/>
      <x:c r="E31" s="192" t="n"/>
      <x:c r="F31" s="192" t="n"/>
      <x:c r="G31" s="192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B33" s="259" t="inlineStr">
        <x:is>
          <x:t xml:space="preserve">v9 PWA Build</x:t>
        </x:is>
      </x:c>
      <x:c r="C33" s="259" t="n"/>
      <x:c r="D33" s="259" t="n"/>
      <x:c r="E33" s="259" t="n"/>
      <x:c r="F33" s="259" t="n"/>
      <x:c r="G33" s="259" t="n"/>
    </x:row>
    <x:row r="34">
      <x:c r="B34" s="263" t="inlineStr">
        <x:is>
          <x:t xml:space="preserve">Use the PWA package if you want the most app-like iPhone experience: installable icon, offline app shell, local snapshot cache, and Google Sheets backend sync.</x:t>
        </x:is>
      </x:c>
      <x:c r="C34" s="263" t="n"/>
      <x:c r="D34" s="263" t="n"/>
      <x:c r="E34" s="263" t="n"/>
      <x:c r="F34" s="263" t="n"/>
      <x:c r="G34" s="263" t="n"/>
    </x:row>
    <x:row r="35">
      <x:c r="B35" s="263" t="inlineStr">
        <x:is>
          <x:t xml:space="preserve">Google Sheets remains the editing/control center. The PWA is the family-friendly interface.</x:t>
        </x:is>
      </x:c>
      <x:c r="C35" s="263" t="n"/>
      <x:c r="D35" s="263" t="n"/>
      <x:c r="E35" s="263" t="n"/>
      <x:c r="F35" s="263" t="n"/>
      <x:c r="G35" s="263" t="n"/>
    </x:row>
    <x:row r="36">
      <x:c r="B36" s="263" t="inlineStr">
        <x:is>
          <x:t xml:space="preserve">Recommended sharing: David/Noelle edit the spreadsheet; Nick/Hilda use the PWA on iPhone Home Screen.</x:t>
        </x:is>
      </x:c>
      <x:c r="C36" s="263" t="n"/>
      <x:c r="D36" s="263" t="n"/>
      <x:c r="E36" s="263" t="n"/>
      <x:c r="F36" s="263" t="n"/>
      <x:c r="G36" s="263" t="n"/>
    </x:row>
    <x:row r="37">
      <x:c r="B37" s="263" t="inlineStr">
        <x:is>
          <x:t xml:space="preserve">New support tabs: App Config, First-Time Japan Academy, Smart Alerts, and Privacy/Sharing.</x:t>
        </x:is>
      </x:c>
      <x:c r="C37" s="263" t="n"/>
      <x:c r="D37" s="263" t="n"/>
      <x:c r="E37" s="263" t="n"/>
      <x:c r="F37" s="263" t="n"/>
      <x:c r="G37" s="263" t="n"/>
    </x:row>
    <x:row r="39">
      <x:c r="B39" s="403" t="str">
        <x:v>v12 Data Architecture Added</x:v>
      </x:c>
      <x:c r="C39" s="403"/>
      <x:c r="D39" s="403"/>
      <x:c r="E39" s="403"/>
      <x:c r="F39" s="403"/>
      <x:c r="G39" s="403"/>
    </x:row>
    <x:row r="40">
      <x:c r="B40" s="407" t="str">
        <x:v>New architecture tabs explain how the system is split into Trip Data, Reference Data, App Config, Memory Data, and Sensitive/Privacy data.</x:v>
      </x:c>
      <x:c r="C40" s="407"/>
      <x:c r="D40" s="407"/>
      <x:c r="E40" s="407"/>
      <x:c r="F40" s="407"/>
      <x:c r="G40" s="407"/>
    </x:row>
    <x:row r="41">
      <x:c r="B41" s="407" t="str">
        <x:v>Do not rename existing functional tabs yet. The app backend depends on the current names like 📅 Master Itinerary, 🇯🇵 Phrases, 🎟 Reservations, 📍 Maps, etc.</x:v>
      </x:c>
      <x:c r="C41" s="407"/>
      <x:c r="D41" s="407"/>
      <x:c r="E41" s="407"/>
      <x:c r="F41" s="407"/>
      <x:c r="G41" s="407"/>
    </x:row>
    <x:row r="42">
      <x:c r="B42" s="407" t="str">
        <x:v>Use 🧳 Trip Data Index for data you will edit often before/during the trip.</x:v>
      </x:c>
      <x:c r="C42" s="407"/>
      <x:c r="D42" s="407"/>
      <x:c r="E42" s="407"/>
      <x:c r="F42" s="407"/>
      <x:c r="G42" s="407"/>
    </x:row>
    <x:row r="43">
      <x:c r="A43" s="656" t="str">
        <x:v>RC6 Travel Companion</x:v>
      </x:c>
      <x:c r="B43" s="655"/>
      <x:c r="C43" s="655"/>
      <x:c r="D43" s="655"/>
      <x:c r="E43" s="655"/>
      <x:c r="F43" s="407"/>
      <x:c r="G43" s="407"/>
    </x:row>
    <x:row r="44">
      <x:c r="A44" s="376" t="str">
        <x:v>App command center</x:v>
      </x:c>
      <x:c r="B44" s="375" t="str">
        <x:v>Daily timeline, reservations, weather, transit, packing, budget, maps, daily brief and memory book</x:v>
      </x:c>
      <x:c r="C44" s="375"/>
      <x:c r="D44" s="375"/>
      <x:c r="E44" s="375"/>
      <x:c r="F44" s="407"/>
      <x:c r="G44" s="407"/>
    </x:row>
    <x:row r="45">
      <x:c r="A45" s="376" t="str">
        <x:v>Live-data note</x:v>
      </x:c>
      <x:c r="B45" s="376" t="str">
        <x:v>Weather can update live; transit buttons open third-party live services</x:v>
      </x:c>
      <x:c r="C45" s="376" t="str">
        <x:v>Connectivity required</x:v>
      </x:c>
      <x:c r="D45" s="376"/>
      <x:c r="E45" s="376"/>
    </x:row>
    <x:row r="46">
      <x:c r="A46" s="376" t="str">
        <x:v>Workbook modules</x:v>
      </x:c>
      <x:c r="B46" s="386" t="str">
        <x:v>🧭 Companion · 🎟 Reservations · 🕒 Timeline · 🎒 Packing · 💹 Budget</x:v>
      </x:c>
      <x:c r="C46" s="386"/>
      <x:c r="D46" s="386"/>
      <x:c r="E46" s="386"/>
      <x:c r="F46" s="441"/>
      <x:c r="G46" s="441"/>
    </x:row>
    <x:row r="47">
      <x:c r="A47" s="376" t="str">
        <x:v>Release</x:v>
      </x:c>
      <x:c r="B47" s="375" t="str">
        <x:v>Travel OS 1.0 RC6</x:v>
      </x:c>
      <x:c r="C47" s="375" t="str">
        <x:v>Oct 26–Nov 11, 2026</x:v>
      </x:c>
      <x:c r="D47" s="375"/>
      <x:c r="E47" s="375"/>
      <x:c r="F47" s="445"/>
      <x:c r="G47" s="445"/>
    </x:row>
    <x:row r="48">
      <x:c r="A48" s="604" t="str">
        <x:v>RC5 Food Explorer</x:v>
      </x:c>
      <x:c r="B48" s="624"/>
      <x:c r="C48" s="624"/>
      <x:c r="D48" s="624"/>
      <x:c r="E48" s="624"/>
      <x:c r="F48" s="445"/>
      <x:c r="G48" s="445"/>
    </x:row>
    <x:row r="49">
      <x:c r="A49" s="376" t="str">
        <x:v>Trip dates</x:v>
      </x:c>
      <x:c r="B49" s="375" t="str">
        <x:v>Oct 26–Nov 11, 2026</x:v>
      </x:c>
      <x:c r="C49" s="375" t="str">
        <x:v>Tokyo → Hakone → Kyoto → Osaka → Tokyo</x:v>
      </x:c>
      <x:c r="D49" s="375"/>
      <x:c r="E49" s="375"/>
      <x:c r="F49" s="445"/>
      <x:c r="G49" s="445"/>
    </x:row>
    <x:row r="50">
      <x:c r="A50" s="376" t="str">
        <x:v>Restaurant database</x:v>
      </x:c>
      <x:c r="B50" s="375" t="str">
        <x:v>128 candidates</x:v>
      </x:c>
      <x:c r="C50" s="375" t="str">
        <x:v>Use 🍣 Food Explorer RC5 and 🍽 Restaurants</x:v>
      </x:c>
      <x:c r="D50" s="375"/>
      <x:c r="E50" s="375"/>
      <x:c r="F50" s="445"/>
      <x:c r="G50" s="445"/>
    </x:row>
    <x:row r="51">
      <x:c r="A51" s="376" t="str">
        <x:v>Dietary rule</x:v>
      </x:c>
      <x:c r="B51" s="375" t="str">
        <x:v>Gluten-free + lactose-free must be reconfirmed directly</x:v>
      </x:c>
      <x:c r="C51" s="375" t="str">
        <x:v>Do not assume cross-contact safety</x:v>
      </x:c>
      <x:c r="D51" s="375"/>
      <x:c r="E51" s="375"/>
      <x:c r="F51" s="445"/>
      <x:c r="G51" s="4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style="146" customWidth="1"/>
    <x:col min="2" max="2" width="18" style="146" customWidth="1"/>
    <x:col min="3" max="3" width="22" style="146" customWidth="1"/>
    <x:col min="4" max="4" width="28" style="146" customWidth="1"/>
    <x:col min="5" max="5" width="4" style="146" customWidth="1"/>
    <x:col min="6" max="6" width="20" style="146" customWidth="1"/>
    <x:col min="7" max="7" width="24" style="146" customWidth="1"/>
    <x:col min="8" max="8" width="3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⚙️ Control Center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22" t="inlineStr">
        <x:is>
          <x:t xml:space="preserve">Setting</x:t>
        </x:is>
      </x:c>
      <x:c r="C5" s="22" t="inlineStr">
        <x:is>
          <x:t xml:space="preserve">Value</x:t>
        </x:is>
      </x:c>
      <x:c r="D5" s="22" t="inlineStr">
        <x:is>
          <x:t xml:space="preserve">Notes</x:t>
        </x:is>
      </x:c>
      <x:c r="E5" s="5" t="n"/>
      <x:c r="F5" s="22" t="inlineStr">
        <x:is>
          <x:t xml:space="preserve">Blackout Dates</x:t>
        </x:is>
      </x:c>
      <x:c r="G5" s="22" t="n"/>
      <x:c r="H5" s="5" t="n"/>
    </x:row>
    <x:row r="6">
      <x:c r="A6" s="5" t="n"/>
      <x:c r="B6" s="17" t="inlineStr">
        <x:is>
          <x:t xml:space="preserve">Trip Name</x:t>
        </x:is>
      </x:c>
      <x:c r="C6" s="17" t="inlineStr">
        <x:is>
          <x:t xml:space="preserve">Japan Family Trip 2026</x:t>
        </x:is>
      </x:c>
      <x:c r="D6" s="17" t="str"/>
      <x:c r="E6" s="5" t="n"/>
      <x:c r="F6" s="17" t="inlineStr">
        <x:is>
          <x:t xml:space="preserve">Jul 17, Jul 22</x:t>
        </x:is>
      </x:c>
      <x:c r="G6" s="17" t="n"/>
      <x:c r="H6" s="5" t="n"/>
    </x:row>
    <x:row r="7">
      <x:c r="A7" s="5" t="n"/>
      <x:c r="B7" s="17" t="inlineStr">
        <x:is>
          <x:t xml:space="preserve">Depart USA</x:t>
        </x:is>
      </x:c>
      <x:c r="C7" s="288" t="n">
        <x:v>46321</x:v>
      </x:c>
      <x:c r="D7" s="17" t="inlineStr">
        <x:is>
          <x:t xml:space="preserve">Travel day</x:t>
        </x:is>
      </x:c>
      <x:c r="E7" s="5" t="n"/>
      <x:c r="F7" s="17" t="inlineStr">
        <x:is>
          <x:t xml:space="preserve">Aug 28–29</x:t>
        </x:is>
      </x:c>
      <x:c r="G7" s="17" t="n"/>
      <x:c r="H7" s="5" t="n"/>
    </x:row>
    <x:row r="8">
      <x:c r="A8" s="5" t="n"/>
      <x:c r="B8" s="17" t="inlineStr">
        <x:is>
          <x:t xml:space="preserve">Arrive Japan</x:t>
        </x:is>
      </x:c>
      <x:c r="C8" s="288" t="n">
        <x:v>46322</x:v>
      </x:c>
      <x:c r="D8" s="17" t="inlineStr">
        <x:is>
          <x:t xml:space="preserve">Arrival/reset day</x:t>
        </x:is>
      </x:c>
      <x:c r="E8" s="5" t="n"/>
      <x:c r="F8" s="17" t="inlineStr">
        <x:is>
          <x:t xml:space="preserve">Sep 25–27</x:t>
        </x:is>
      </x:c>
      <x:c r="G8" s="17" t="n"/>
      <x:c r="H8" s="5" t="n"/>
    </x:row>
    <x:row r="9">
      <x:c r="A9" s="5" t="n"/>
      <x:c r="B9" s="17" t="inlineStr">
        <x:is>
          <x:t xml:space="preserve">First Full Day</x:t>
        </x:is>
      </x:c>
      <x:c r="C9" s="288" t="n">
        <x:v>46323</x:v>
      </x:c>
      <x:c r="D9" s="17" t="inlineStr">
        <x:is>
          <x:t xml:space="preserve">Day 1</x:t>
        </x:is>
      </x:c>
      <x:c r="E9" s="5" t="n"/>
      <x:c r="F9" s="17" t="inlineStr">
        <x:is>
          <x:t xml:space="preserve">Week of Oct 19</x:t>
        </x:is>
      </x:c>
      <x:c r="G9" s="17" t="n"/>
      <x:c r="H9" s="5" t="n"/>
    </x:row>
    <x:row r="10">
      <x:c r="A10" s="5" t="n"/>
      <x:c r="B10" s="17" t="inlineStr">
        <x:is>
          <x:t xml:space="preserve">Last Full Day</x:t>
        </x:is>
      </x:c>
      <x:c r="C10" s="288" t="n">
        <x:v>46336</x:v>
      </x:c>
      <x:c r="D10" s="17" t="inlineStr">
        <x:is>
          <x:t xml:space="preserve">Day 14</x:t>
        </x:is>
      </x:c>
      <x:c r="E10" s="5" t="n"/>
      <x:c r="F10" s="17" t="inlineStr">
        <x:is>
          <x:t xml:space="preserve">Oct 22–25</x:t>
        </x:is>
      </x:c>
      <x:c r="G10" s="17" t="n"/>
      <x:c r="H10" s="5" t="n"/>
    </x:row>
    <x:row r="11">
      <x:c r="A11" s="5" t="n"/>
      <x:c r="B11" s="17" t="inlineStr">
        <x:is>
          <x:t xml:space="preserve">Fly Home</x:t>
        </x:is>
      </x:c>
      <x:c r="C11" s="288" t="n">
        <x:v>46337</x:v>
      </x:c>
      <x:c r="D11" s="17" t="inlineStr">
        <x:is>
          <x:t xml:space="preserve">Travel day</x:t>
        </x:is>
      </x:c>
      <x:c r="E11" s="5" t="n"/>
      <x:c r="F11" s="17" t="inlineStr">
        <x:is>
          <x:t xml:space="preserve">Nov 8</x:t>
        </x:is>
      </x:c>
      <x:c r="G11" s="17" t="n"/>
      <x:c r="H11" s="5" t="n"/>
    </x:row>
    <x:row r="12">
      <x:c r="A12" s="5" t="n"/>
      <x:c r="B12" s="17" t="inlineStr">
        <x:is>
          <x:t xml:space="preserve">Today Selector</x:t>
        </x:is>
      </x:c>
      <x:c r="C12" s="288" t="n">
        <x:v>46323</x:v>
      </x:c>
      <x:c r="D12" s="17" t="inlineStr">
        <x:is>
          <x:t xml:space="preserve">Change this date; dashboards update</x:t>
        </x:is>
      </x:c>
      <x:c r="E12" s="5" t="n"/>
      <x:c r="F12" s="17" t="n"/>
      <x:c r="G12" s="17" t="n"/>
      <x:c r="H12" s="5" t="n"/>
    </x:row>
    <x:row r="13">
      <x:c r="A13" s="5" t="n"/>
      <x:c r="B13" s="17" t="inlineStr">
        <x:is>
          <x:t xml:space="preserve">Tokyo Base</x:t>
        </x:is>
      </x:c>
      <x:c r="C13" s="17" t="inlineStr">
        <x:is>
          <x:t xml:space="preserve">Akasaka</x:t>
        </x:is>
      </x:c>
      <x:c r="D13" s="17" t="str"/>
      <x:c r="E13" s="5" t="n"/>
      <x:c r="F13" s="5" t="n"/>
      <x:c r="G13" s="5" t="n"/>
      <x:c r="H13" s="5" t="n"/>
    </x:row>
    <x:row r="14">
      <x:c r="A14" s="5" t="n"/>
      <x:c r="B14" s="17" t="inlineStr">
        <x:is>
          <x:t xml:space="preserve">Airport</x:t>
        </x:is>
      </x:c>
      <x:c r="C14" s="17" t="inlineStr">
        <x:is>
          <x:t xml:space="preserve">Narita (NRT)</x:t>
        </x:is>
      </x:c>
      <x:c r="D14" s="17" t="str"/>
      <x:c r="E14" s="5" t="n"/>
      <x:c r="F14" s="5" t="n"/>
      <x:c r="G14" s="5" t="n"/>
      <x:c r="H14" s="5" t="n"/>
    </x:row>
    <x:row r="15">
      <x:c r="A15" s="5" t="n"/>
      <x:c r="B15" s="17" t="inlineStr">
        <x:is>
          <x:t xml:space="preserve">Airline</x:t>
        </x:is>
      </x:c>
      <x:c r="C15" s="17" t="inlineStr">
        <x:is>
          <x:t xml:space="preserve">JAL</x:t>
        </x:is>
      </x:c>
      <x:c r="D15" s="17" t="str"/>
      <x:c r="E15" s="5" t="n"/>
      <x:c r="F15" s="5" t="n"/>
      <x:c r="G15" s="5" t="n"/>
      <x:c r="H15" s="5" t="n"/>
    </x:row>
    <x:row r="16">
      <x:c r="A16" s="5" t="n"/>
      <x:c r="B16" s="17" t="n"/>
      <x:c r="C16" s="17" t="n"/>
      <x:c r="D16" s="17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style="146" customWidth="1"/>
    <x:col min="2" max="2" width="14" style="146" customWidth="1"/>
    <x:col min="3" max="3" width="15" style="146" customWidth="1"/>
    <x:col min="4" max="4" width="22" style="146" customWidth="1"/>
    <x:col min="5" max="5" width="24" style="146" customWidth="1"/>
    <x:col min="6" max="6" width="22" style="146" customWidth="1"/>
    <x:col min="7" max="7" width="16" style="146" customWidth="1"/>
    <x:col min="8" max="8" width="22" style="146" customWidth="1"/>
    <x:col min="9" max="9" width="12" style="146" customWidth="1"/>
    <x:col min="10" max="10" width="12" style="146" customWidth="1"/>
    <x:col min="11" max="11" width="12" style="146" customWidth="1"/>
    <x:col min="12" max="12" width="24" style="146" customWidth="1"/>
    <x:col min="13" max="13" width="26" style="146" customWidth="1"/>
    <x:col min="14" max="14" width="12" style="146" customWidth="1"/>
  </x:cols>
  <x:sheetData>
    <x:row r="1">
      <x:c r="A1" s="12" t="inlineStr">
        <x:is>
          <x:t xml:space="preserve">📅 Master Itinerary — Source of Truth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  <x:c r="L1" s="12" t="n"/>
      <x:c r="M1" s="12" t="n"/>
      <x:c r="N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  <x:c r="N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</x:row>
    <x:row r="4">
      <x:c r="A4" s="286" t="inlineStr">
        <x:is>
          <x:t xml:space="preserve">Day</x:t>
        </x:is>
      </x:c>
      <x:c r="B4" s="286" t="inlineStr">
        <x:is>
          <x:t xml:space="preserve">Date</x:t>
        </x:is>
      </x:c>
      <x:c r="C4" s="286" t="inlineStr">
        <x:is>
          <x:t xml:space="preserve">City</x:t>
        </x:is>
      </x:c>
      <x:c r="D4" s="286" t="inlineStr">
        <x:is>
          <x:t xml:space="preserve">Morning</x:t>
        </x:is>
      </x:c>
      <x:c r="E4" s="286" t="inlineStr">
        <x:is>
          <x:t xml:space="preserve">Afternoon</x:t>
        </x:is>
      </x:c>
      <x:c r="F4" s="286" t="inlineStr">
        <x:is>
          <x:t xml:space="preserve">Evening</x:t>
        </x:is>
      </x:c>
      <x:c r="G4" s="286" t="inlineStr">
        <x:is>
          <x:t xml:space="preserve">Hotel</x:t>
        </x:is>
      </x:c>
      <x:c r="H4" s="286" t="inlineStr">
        <x:is>
          <x:t xml:space="preserve">Theme</x:t>
        </x:is>
      </x:c>
      <x:c r="I4" s="286" t="inlineStr">
        <x:is>
          <x:t xml:space="preserve">Energy</x:t>
        </x:is>
      </x:c>
      <x:c r="J4" s="286" t="inlineStr">
        <x:is>
          <x:t xml:space="preserve">Crowd</x:t>
        </x:is>
      </x:c>
      <x:c r="K4" s="286" t="inlineStr">
        <x:is>
          <x:t xml:space="preserve">Walking</x:t>
        </x:is>
      </x:c>
      <x:c r="L4" s="286" t="inlineStr">
        <x:is>
          <x:t xml:space="preserve">Bring / Hilda Reminder</x:t>
        </x:is>
      </x:c>
      <x:c r="M4" s="286" t="inlineStr">
        <x:is>
          <x:t xml:space="preserve">Notes</x:t>
        </x:is>
      </x:c>
      <x:c r="N4" s="286" t="inlineStr">
        <x:is>
          <x:t xml:space="preserve">Conflict</x:t>
        </x:is>
      </x:c>
    </x:row>
    <x:row r="5">
      <x:c r="A5" s="283" t="str">
        <x:v>Travel</x:v>
      </x:c>
      <x:c r="B5" s="288" t="n">
        <x:v>46321</x:v>
      </x:c>
      <x:c r="C5" s="283" t="str">
        <x:v>USA / Flight</x:v>
      </x:c>
      <x:c r="D5" s="283" t="str">
        <x:v>Depart USA</x:v>
      </x:c>
      <x:c r="E5" s="283" t="str">
        <x:v>JAL flights from LAX + BOS</x:v>
      </x:c>
      <x:c r="F5" s="283" t="str">
        <x:v>In flight</x:v>
      </x:c>
      <x:c r="G5" s="283" t="str">
        <x:v>Flight</x:v>
      </x:c>
      <x:c r="H5" s="283" t="str">
        <x:v>🔵 Travel</x:v>
      </x:c>
      <x:c r="I5" s="283" t="str">
        <x:v>Easy</x:v>
      </x:c>
      <x:c r="J5" s="283" t="str">
        <x:v>Low</x:v>
      </x:c>
      <x:c r="K5" s="283" t="str">
        <x:v>Minimal</x:v>
      </x:c>
      <x:c r="L5" s="283" t="str">
        <x:v>Passports + JAL confirmations</x:v>
      </x:c>
      <x:c r="M5" s="283" t="str">
        <x:v>Travel day; not counted</x:v>
      </x:c>
      <x:c r="N5" s="283" t="str">
        <x:v>OK</x:v>
      </x:c>
    </x:row>
    <x:row r="6">
      <x:c r="A6" s="283" t="str">
        <x:v>Arrival</x:v>
      </x:c>
      <x:c r="B6" s="288" t="n">
        <x:v>46322</x:v>
      </x:c>
      <x:c r="C6" s="283" t="str">
        <x:v>Tokyo</x:v>
      </x:c>
      <x:c r="D6" s="283" t="str">
        <x:v>Arrive Narita</x:v>
      </x:c>
      <x:c r="E6" s="283" t="str">
        <x:v>Narita Express / taxi to Akasaka</x:v>
      </x:c>
      <x:c r="F6" s="283" t="str">
        <x:v>Easy dinner + sleep</x:v>
      </x:c>
      <x:c r="G6" s="283" t="str">
        <x:v>Akasaka</x:v>
      </x:c>
      <x:c r="H6" s="283" t="str">
        <x:v>🟢 Arrival</x:v>
      </x:c>
      <x:c r="I6" s="283" t="str">
        <x:v>Easy</x:v>
      </x:c>
      <x:c r="J6" s="283" t="str">
        <x:v>Low</x:v>
      </x:c>
      <x:c r="K6" s="283" t="str">
        <x:v>2–3 mi</x:v>
      </x:c>
      <x:c r="L6" s="283" t="str">
        <x:v>Keep it relaxed</x:v>
      </x:c>
      <x:c r="M6" s="283" t="str">
        <x:v>Do not schedule major sightseeing</x:v>
      </x:c>
      <x:c r="N6" s="283" t="str">
        <x:v>OK</x:v>
      </x:c>
    </x:row>
    <x:row r="7">
      <x:c r="A7" s="283" t="n">
        <x:v>1</x:v>
      </x:c>
      <x:c r="B7" s="288" t="n">
        <x:v>46323</x:v>
      </x:c>
      <x:c r="C7" s="283" t="str">
        <x:v>Tokyo</x:v>
      </x:c>
      <x:c r="D7" s="283" t="str">
        <x:v>Akasaka orientation</x:v>
      </x:c>
      <x:c r="E7" s="283" t="str">
        <x:v>Hie Shrine + nearby cafés</x:v>
      </x:c>
      <x:c r="F7" s="283" t="str">
        <x:v>Welcome dinner</x:v>
      </x:c>
      <x:c r="G7" s="283" t="str">
        <x:v>Akasaka</x:v>
      </x:c>
      <x:c r="H7" s="283" t="str">
        <x:v>🟢 Soft Start</x:v>
      </x:c>
      <x:c r="I7" s="283" t="str">
        <x:v>Easy</x:v>
      </x:c>
      <x:c r="J7" s="283" t="str">
        <x:v>Low</x:v>
      </x:c>
      <x:c r="K7" s="283" t="str">
        <x:v>3–4 mi</x:v>
      </x:c>
      <x:c r="L7" s="283" t="str">
        <x:v>Comfortable shoes</x:v>
      </x:c>
      <x:c r="M7" s="283" t="str">
        <x:v>Recover from flight</x:v>
      </x:c>
      <x:c r="N7" s="283" t="str">
        <x:v>OK</x:v>
      </x:c>
    </x:row>
    <x:row r="8">
      <x:c r="A8" s="283" t="n">
        <x:v>2</x:v>
      </x:c>
      <x:c r="B8" s="288" t="n">
        <x:v>46324</x:v>
      </x:c>
      <x:c r="C8" s="283" t="str">
        <x:v>Tokyo</x:v>
      </x:c>
      <x:c r="D8" s="283" t="str">
        <x:v>Asakusa + Senso-ji</x:v>
      </x:c>
      <x:c r="E8" s="283" t="str">
        <x:v>Ueno / Ameyoko</x:v>
      </x:c>
      <x:c r="F8" s="283" t="str">
        <x:v>Dinner near hotel</x:v>
      </x:c>
      <x:c r="G8" s="283" t="str">
        <x:v>Akasaka</x:v>
      </x:c>
      <x:c r="H8" s="283" t="str">
        <x:v>🔵 Classic Tokyo</x:v>
      </x:c>
      <x:c r="I8" s="283" t="str">
        <x:v>Moderate</x:v>
      </x:c>
      <x:c r="J8" s="283" t="str">
        <x:v>Medium</x:v>
      </x:c>
      <x:c r="K8" s="283" t="str">
        <x:v>5–6 mi</x:v>
      </x:c>
      <x:c r="L8" s="283" t="str">
        <x:v>Carry a small trash bag</x:v>
      </x:c>
      <x:c r="M8" s="283" t="str">
        <x:v>Traditional Tokyo + markets</x:v>
      </x:c>
      <x:c r="N8" s="283" t="str">
        <x:v>OK</x:v>
      </x:c>
    </x:row>
    <x:row r="9">
      <x:c r="A9" s="283" t="n">
        <x:v>3</x:v>
      </x:c>
      <x:c r="B9" s="288" t="n">
        <x:v>46325</x:v>
      </x:c>
      <x:c r="C9" s="283" t="str">
        <x:v>Tokyo</x:v>
      </x:c>
      <x:c r="D9" s="283" t="str">
        <x:v>Meiji Shrine</x:v>
      </x:c>
      <x:c r="E9" s="283" t="str">
        <x:v>Harajuku / Omotesando</x:v>
      </x:c>
      <x:c r="F9" s="283" t="str">
        <x:v>Shibuya Sky if booked</x:v>
      </x:c>
      <x:c r="G9" s="283" t="str">
        <x:v>Akasaka</x:v>
      </x:c>
      <x:c r="H9" s="283" t="str">
        <x:v>🟡 Modern Tokyo</x:v>
      </x:c>
      <x:c r="I9" s="283" t="str">
        <x:v>Moderate</x:v>
      </x:c>
      <x:c r="J9" s="283" t="str">
        <x:v>Medium</x:v>
      </x:c>
      <x:c r="K9" s="283" t="str">
        <x:v>5–7 mi</x:v>
      </x:c>
      <x:c r="L9" s="283" t="str">
        <x:v>Light jacket</x:v>
      </x:c>
      <x:c r="M9" s="283" t="str">
        <x:v>Sunset reservation if possible</x:v>
      </x:c>
      <x:c r="N9" s="283" t="str">
        <x:v>OK</x:v>
      </x:c>
    </x:row>
    <x:row r="10">
      <x:c r="A10" s="283" t="n">
        <x:v>4</x:v>
      </x:c>
      <x:c r="B10" s="288" t="n">
        <x:v>46326</x:v>
      </x:c>
      <x:c r="C10" s="283" t="str">
        <x:v>Tokyo</x:v>
      </x:c>
      <x:c r="D10" s="283" t="str">
        <x:v>Ginza / Tokyo Station</x:v>
      </x:c>
      <x:c r="E10" s="283" t="str">
        <x:v>teamLab or Odaiba</x:v>
      </x:c>
      <x:c r="F10" s="283" t="str">
        <x:v>Halloween evening kept flexible</x:v>
      </x:c>
      <x:c r="G10" s="283" t="str">
        <x:v>Akasaka</x:v>
      </x:c>
      <x:c r="H10" s="283" t="str">
        <x:v>🟣 Tokyo Highlights</x:v>
      </x:c>
      <x:c r="I10" s="283" t="str">
        <x:v>Moderate</x:v>
      </x:c>
      <x:c r="J10" s="283" t="str">
        <x:v>High</x:v>
      </x:c>
      <x:c r="K10" s="283" t="str">
        <x:v>5–7 mi</x:v>
      </x:c>
      <x:c r="L10" s="283" t="str">
        <x:v>QR tickets</x:v>
      </x:c>
      <x:c r="M10" s="283" t="str">
        <x:v>Expect busy nightlife areas</x:v>
      </x:c>
      <x:c r="N10" s="283" t="str">
        <x:v>OK</x:v>
      </x:c>
    </x:row>
    <x:row r="11">
      <x:c r="A11" s="283" t="n">
        <x:v>5</x:v>
      </x:c>
      <x:c r="B11" s="288" t="n">
        <x:v>46327</x:v>
      </x:c>
      <x:c r="C11" s="283" t="str">
        <x:v>Tokyo</x:v>
      </x:c>
      <x:c r="D11" s="283" t="str">
        <x:v>Ghibli Museum</x:v>
      </x:c>
      <x:c r="E11" s="283" t="str">
        <x:v>Kichijoji / Inokashira Park</x:v>
      </x:c>
      <x:c r="F11" s="283" t="str">
        <x:v>Relaxed Tokyo dinner</x:v>
      </x:c>
      <x:c r="G11" s="283" t="str">
        <x:v>Akasaka</x:v>
      </x:c>
      <x:c r="H11" s="283" t="str">
        <x:v>🎬 Ghibli Day</x:v>
      </x:c>
      <x:c r="I11" s="283" t="str">
        <x:v>Moderate</x:v>
      </x:c>
      <x:c r="J11" s="283" t="str">
        <x:v>High</x:v>
      </x:c>
      <x:c r="K11" s="283" t="str">
        <x:v>4–5 mi</x:v>
      </x:c>
      <x:c r="L11" s="283" t="str">
        <x:v>Tickets + ID</x:v>
      </x:c>
      <x:c r="M11" s="283" t="str">
        <x:v>Build around confirmed ticket time</x:v>
      </x:c>
      <x:c r="N11" s="283" t="str">
        <x:v>OK</x:v>
      </x:c>
    </x:row>
    <x:row r="12">
      <x:c r="A12" s="283" t="n">
        <x:v>6</x:v>
      </x:c>
      <x:c r="B12" s="288" t="n">
        <x:v>46328</x:v>
      </x:c>
      <x:c r="C12" s="283" t="str">
        <x:v>Hakone</x:v>
      </x:c>
      <x:c r="D12" s="283" t="str">
        <x:v>Forward large luggage to Kyoto</x:v>
      </x:c>
      <x:c r="E12" s="283" t="str">
        <x:v>Travel to Hakone + open-air museum/Gora</x:v>
      </x:c>
      <x:c r="F12" s="283" t="str">
        <x:v>Ryokan + onsen + kaiseki</x:v>
      </x:c>
      <x:c r="G12" s="283" t="str">
        <x:v>Hakone Ryokan</x:v>
      </x:c>
      <x:c r="H12" s="283" t="str">
        <x:v>♨️ Ryokan Reset</x:v>
      </x:c>
      <x:c r="I12" s="283" t="str">
        <x:v>Easy</x:v>
      </x:c>
      <x:c r="J12" s="283" t="str">
        <x:v>Medium</x:v>
      </x:c>
      <x:c r="K12" s="283" t="str">
        <x:v>2–4 mi</x:v>
      </x:c>
      <x:c r="L12" s="283" t="str">
        <x:v>Overnight bag</x:v>
      </x:c>
      <x:c r="M12" s="283" t="str">
        <x:v>Confirm GF + lactose-free meal in writing</x:v>
      </x:c>
      <x:c r="N12" s="283" t="str">
        <x:v>OK</x:v>
      </x:c>
    </x:row>
    <x:row r="13">
      <x:c r="A13" s="283" t="n">
        <x:v>7</x:v>
      </x:c>
      <x:c r="B13" s="288" t="n">
        <x:v>46329</x:v>
      </x:c>
      <x:c r="C13" s="283" t="str">
        <x:v>Kyoto</x:v>
      </x:c>
      <x:c r="D13" s="283" t="str">
        <x:v>Hakone morning / travel</x:v>
      </x:c>
      <x:c r="E13" s="283" t="str">
        <x:v>Shinkansen to Kyoto</x:v>
      </x:c>
      <x:c r="F13" s="283" t="str">
        <x:v>Gion evening walk</x:v>
      </x:c>
      <x:c r="G13" s="283" t="str">
        <x:v>Kyoto</x:v>
      </x:c>
      <x:c r="H13" s="283" t="str">
        <x:v>⛩️ Arrive Kyoto</x:v>
      </x:c>
      <x:c r="I13" s="283" t="str">
        <x:v>Moderate</x:v>
      </x:c>
      <x:c r="J13" s="283" t="str">
        <x:v>Medium</x:v>
      </x:c>
      <x:c r="K13" s="283" t="str">
        <x:v>4–5 mi</x:v>
      </x:c>
      <x:c r="L13" s="283" t="str">
        <x:v>Reserved seats</x:v>
      </x:c>
      <x:c r="M13" s="283" t="str">
        <x:v>Gentle evening after transit</x:v>
      </x:c>
      <x:c r="N13" s="283" t="str">
        <x:v>OK</x:v>
      </x:c>
    </x:row>
    <x:row r="14">
      <x:c r="A14" s="283" t="n">
        <x:v>8</x:v>
      </x:c>
      <x:c r="B14" s="288" t="n">
        <x:v>46330</x:v>
      </x:c>
      <x:c r="C14" s="283" t="str">
        <x:v>Kyoto</x:v>
      </x:c>
      <x:c r="D14" s="283" t="str">
        <x:v>Fushimi Inari early</x:v>
      </x:c>
      <x:c r="E14" s="283" t="str">
        <x:v>Nishiki Market</x:v>
      </x:c>
      <x:c r="F14" s="283" t="str">
        <x:v>Pontocho / Kamo River</x:v>
      </x:c>
      <x:c r="G14" s="283" t="str">
        <x:v>Kyoto</x:v>
      </x:c>
      <x:c r="H14" s="283" t="str">
        <x:v>⛩️ Fushimi + Food</x:v>
      </x:c>
      <x:c r="I14" s="283" t="str">
        <x:v>Busy</x:v>
      </x:c>
      <x:c r="J14" s="283" t="str">
        <x:v>High</x:v>
      </x:c>
      <x:c r="K14" s="283" t="str">
        <x:v>7–9 mi</x:v>
      </x:c>
      <x:c r="L14" s="283" t="str">
        <x:v>Cash + comfortable shoes</x:v>
      </x:c>
      <x:c r="M14" s="283" t="str">
        <x:v>Early start to beat crowds</x:v>
      </x:c>
      <x:c r="N14" s="283" t="str">
        <x:v>OK</x:v>
      </x:c>
    </x:row>
    <x:row r="15">
      <x:c r="A15" s="283" t="n">
        <x:v>9</x:v>
      </x:c>
      <x:c r="B15" s="288" t="n">
        <x:v>46331</x:v>
      </x:c>
      <x:c r="C15" s="283" t="str">
        <x:v>Kyoto</x:v>
      </x:c>
      <x:c r="D15" s="283" t="str">
        <x:v>Arashiyama early</x:v>
      </x:c>
      <x:c r="E15" s="283" t="str">
        <x:v>Bamboo Grove / gardens</x:v>
      </x:c>
      <x:c r="F15" s="283" t="str">
        <x:v>Kaiseki or relaxed dinner</x:v>
      </x:c>
      <x:c r="G15" s="283" t="str">
        <x:v>Kyoto</x:v>
      </x:c>
      <x:c r="H15" s="283" t="str">
        <x:v>🎋 Arashiyama</x:v>
      </x:c>
      <x:c r="I15" s="283" t="str">
        <x:v>Busy</x:v>
      </x:c>
      <x:c r="J15" s="283" t="str">
        <x:v>High</x:v>
      </x:c>
      <x:c r="K15" s="283" t="str">
        <x:v>7–9 mi</x:v>
      </x:c>
      <x:c r="L15" s="283" t="str">
        <x:v>Comfortable shoes</x:v>
      </x:c>
      <x:c r="M15" s="283" t="str">
        <x:v>Start before 7:30 if possible</x:v>
      </x:c>
      <x:c r="N15" s="283" t="str">
        <x:v>OK</x:v>
      </x:c>
    </x:row>
    <x:row r="16">
      <x:c r="A16" s="283" t="n">
        <x:v>10</x:v>
      </x:c>
      <x:c r="B16" s="288" t="n">
        <x:v>46332</x:v>
      </x:c>
      <x:c r="C16" s="283" t="str">
        <x:v>Osaka</x:v>
      </x:c>
      <x:c r="D16" s="283" t="str">
        <x:v>Kiyomizu-dera early</x:v>
      </x:c>
      <x:c r="E16" s="283" t="str">
        <x:v>Travel to Osaka + check-in</x:v>
      </x:c>
      <x:c r="F16" s="283" t="str">
        <x:v>Dotonbori / Hozenji Yokocho</x:v>
      </x:c>
      <x:c r="G16" s="283" t="str">
        <x:v>Osaka</x:v>
      </x:c>
      <x:c r="H16" s="283" t="str">
        <x:v>🌃 Osaka Arrival</x:v>
      </x:c>
      <x:c r="I16" s="283" t="str">
        <x:v>Moderate</x:v>
      </x:c>
      <x:c r="J16" s="283" t="str">
        <x:v>High</x:v>
      </x:c>
      <x:c r="K16" s="283" t="str">
        <x:v>5–7 mi</x:v>
      </x:c>
      <x:c r="L16" s="283" t="str">
        <x:v>Temple cash</x:v>
      </x:c>
      <x:c r="M16" s="283" t="str">
        <x:v>Use luggage forwarding if helpful</x:v>
      </x:c>
      <x:c r="N16" s="283" t="str">
        <x:v>OK</x:v>
      </x:c>
    </x:row>
    <x:row r="17">
      <x:c r="A17" s="283" t="n">
        <x:v>11</x:v>
      </x:c>
      <x:c r="B17" s="288" t="n">
        <x:v>46333</x:v>
      </x:c>
      <x:c r="C17" s="283" t="str">
        <x:v>Osaka</x:v>
      </x:c>
      <x:c r="D17" s="283" t="str">
        <x:v>Kuromon Market / Osaka Castle</x:v>
      </x:c>
      <x:c r="E17" s="283" t="str">
        <x:v>Umeda or Shinsaibashi</x:v>
      </x:c>
      <x:c r="F17" s="283" t="str">
        <x:v>Osaka food crawl</x:v>
      </x:c>
      <x:c r="G17" s="283" t="str">
        <x:v>Osaka</x:v>
      </x:c>
      <x:c r="H17" s="283" t="str">
        <x:v>🍜 Osaka Food Day</x:v>
      </x:c>
      <x:c r="I17" s="283" t="str">
        <x:v>Busy</x:v>
      </x:c>
      <x:c r="J17" s="283" t="str">
        <x:v>High</x:v>
      </x:c>
      <x:c r="K17" s="283" t="str">
        <x:v>6–8 mi</x:v>
      </x:c>
      <x:c r="L17" s="283" t="str">
        <x:v>Cash + appetite</x:v>
      </x:c>
      <x:c r="M17" s="283" t="str">
        <x:v>Keep backup GF options saved</x:v>
      </x:c>
      <x:c r="N17" s="283" t="str">
        <x:v>OK</x:v>
      </x:c>
    </x:row>
    <x:row r="18">
      <x:c r="A18" s="283" t="n">
        <x:v>12</x:v>
      </x:c>
      <x:c r="B18" s="288" t="n">
        <x:v>46334</x:v>
      </x:c>
      <x:c r="C18" s="283" t="str">
        <x:v>Tokyo</x:v>
      </x:c>
      <x:c r="D18" s="283" t="str">
        <x:v>Shinkansen to Tokyo</x:v>
      </x:c>
      <x:c r="E18" s="283" t="str">
        <x:v>Check in Akasaka + laundry</x:v>
      </x:c>
      <x:c r="F18" s="283" t="str">
        <x:v>Free evening</x:v>
      </x:c>
      <x:c r="G18" s="283" t="str">
        <x:v>Akasaka</x:v>
      </x:c>
      <x:c r="H18" s="283" t="str">
        <x:v>🚄 Back to Tokyo</x:v>
      </x:c>
      <x:c r="I18" s="283" t="str">
        <x:v>Easy</x:v>
      </x:c>
      <x:c r="J18" s="283" t="str">
        <x:v>Low</x:v>
      </x:c>
      <x:c r="K18" s="283" t="str">
        <x:v>2–4 mi</x:v>
      </x:c>
      <x:c r="L18" s="283" t="str">
        <x:v>Reserved seats</x:v>
      </x:c>
      <x:c r="M18" s="283" t="str">
        <x:v>Good reset day</x:v>
      </x:c>
      <x:c r="N18" s="283" t="str">
        <x:v>OK</x:v>
      </x:c>
    </x:row>
    <x:row r="19">
      <x:c r="A19" s="283" t="n">
        <x:v>13</x:v>
      </x:c>
      <x:c r="B19" s="288" t="n">
        <x:v>46335</x:v>
      </x:c>
      <x:c r="C19" s="283" t="str">
        <x:v>Tokyo</x:v>
      </x:c>
      <x:c r="D19" s="283" t="str">
        <x:v>Free-choice neighborhood</x:v>
      </x:c>
      <x:c r="E19" s="283" t="str">
        <x:v>Shopping / museums</x:v>
      </x:c>
      <x:c r="F19" s="283" t="str">
        <x:v>Michelin dinner candidate</x:v>
      </x:c>
      <x:c r="G19" s="283" t="str">
        <x:v>Akasaka</x:v>
      </x:c>
      <x:c r="H19" s="283" t="str">
        <x:v>🛍 Personal Day</x:v>
      </x:c>
      <x:c r="I19" s="283" t="str">
        <x:v>Easy</x:v>
      </x:c>
      <x:c r="J19" s="283" t="str">
        <x:v>Low</x:v>
      </x:c>
      <x:c r="K19" s="283" t="str">
        <x:v>3–6 mi</x:v>
      </x:c>
      <x:c r="L19" s="283" t="str">
        <x:v>Share meetup point</x:v>
      </x:c>
      <x:c r="M19" s="283" t="str">
        <x:v>Split-up friendly</x:v>
      </x:c>
      <x:c r="N19" s="283" t="str">
        <x:v>OK</x:v>
      </x:c>
    </x:row>
    <x:row r="20">
      <x:c r="A20" s="283" t="n">
        <x:v>14</x:v>
      </x:c>
      <x:c r="B20" s="288" t="n">
        <x:v>46336</x:v>
      </x:c>
      <x:c r="C20" s="283" t="str">
        <x:v>Tokyo</x:v>
      </x:c>
      <x:c r="D20" s="283" t="str">
        <x:v>Slow final morning</x:v>
      </x:c>
      <x:c r="E20" s="283" t="str">
        <x:v>Packing + final shopping</x:v>
      </x:c>
      <x:c r="F20" s="283" t="str">
        <x:v>Farewell dinner</x:v>
      </x:c>
      <x:c r="G20" s="283" t="str">
        <x:v>Akasaka</x:v>
      </x:c>
      <x:c r="H20" s="283" t="str">
        <x:v>🟢 Final Full Day</x:v>
      </x:c>
      <x:c r="I20" s="283" t="str">
        <x:v>Easy</x:v>
      </x:c>
      <x:c r="J20" s="283" t="str">
        <x:v>Low</x:v>
      </x:c>
      <x:c r="K20" s="283" t="str">
        <x:v>2–4 mi</x:v>
      </x:c>
      <x:c r="L20" s="283" t="str">
        <x:v>Pack souvenirs</x:v>
      </x:c>
      <x:c r="M20" s="283" t="str">
        <x:v>Keep relaxed before flights</x:v>
      </x:c>
      <x:c r="N20" s="283" t="str">
        <x:v>OK</x:v>
      </x:c>
    </x:row>
    <x:row r="21">
      <x:c r="A21" s="283" t="str">
        <x:v>Return</x:v>
      </x:c>
      <x:c r="B21" s="288" t="n">
        <x:v>46337</x:v>
      </x:c>
      <x:c r="C21" s="283" t="str">
        <x:v>Tokyo / USA</x:v>
      </x:c>
      <x:c r="D21" s="283" t="str">
        <x:v>Checkout</x:v>
      </x:c>
      <x:c r="E21" s="283" t="str">
        <x:v>Narita Express / airport transfer</x:v>
      </x:c>
      <x:c r="F21" s="283" t="str">
        <x:v>Fly home</x:v>
      </x:c>
      <x:c r="G21" s="283" t="str">
        <x:v>Flight</x:v>
      </x:c>
      <x:c r="H21" s="283" t="str">
        <x:v>🔵 Travel Home</x:v>
      </x:c>
      <x:c r="I21" s="283" t="str">
        <x:v>Moderate</x:v>
      </x:c>
      <x:c r="J21" s="283" t="str">
        <x:v>Medium</x:v>
      </x:c>
      <x:c r="K21" s="283" t="str">
        <x:v>Variable</x:v>
      </x:c>
      <x:c r="L21" s="283" t="str">
        <x:v>Passports + luggage</x:v>
      </x:c>
      <x:c r="M21" s="283" t="str">
        <x:v>Travel day; not counted</x:v>
      </x:c>
      <x:c r="N21" s="283" t="str">
        <x:v>OK</x:v>
      </x:c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</x:sheetData>
  <x:conditionalFormatting sqref="N5:N21">
    <x:cfRule type="expression" dxfId="0" priority="1">
      <x:formula>N5="CONFLICT"</x:formula>
    </x:cfRule>
    <x:cfRule type="expression" dxfId="1" priority="2">
      <x:formula>N5="OK"</x:formula>
    </x:cfRule>
  </x:conditionalFormatting>
  <x:dataValidations count="2">
    <x:dataValidation type="list" allowBlank="0" showDropDown="0" showInputMessage="0" showErrorMessage="0" sqref="I5:I100">
      <x:formula1>"Easy,Moderate,Busy"</x:formula1>
    </x:dataValidation>
    <x:dataValidation type="list" allowBlank="0" showDropDown="0" showInputMessage="0" showErrorMessage="0" sqref="J5:J100">
      <x:formula1>"Low,Medium,High"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8" style="146" customWidth="1"/>
    <x:col min="3" max="3" width="18" style="146" customWidth="1"/>
    <x:col min="4" max="4" width="18" style="146" customWidth="1"/>
    <x:col min="5" max="5" width="18" style="146" customWidth="1"/>
    <x:col min="6" max="6" width="18" style="146" customWidth="1"/>
    <x:col min="7" max="7" width="18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🇯🇵 JAPAN 2026 TRAVEL OS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34" t="inlineStr">
        <x:is>
          <x:t xml:space="preserve">📅 Today</x:t>
        </x:is>
      </x:c>
      <x:c r="C5" s="34" t="n"/>
      <x:c r="D5" s="54" t="inlineStr">
        <x:is>
          <x:t xml:space="preserve">🎯 Plan</x:t>
        </x:is>
      </x:c>
      <x:c r="E5" s="54" t="n"/>
      <x:c r="F5" s="68" t="inlineStr">
        <x:is>
          <x:t xml:space="preserve">🏨 Hotel</x:t>
        </x:is>
      </x:c>
      <x:c r="G5" s="68" t="n"/>
      <x:c r="H5" s="5" t="n"/>
    </x:row>
    <x:row r="6">
      <x:c r="A6" s="5" t="n"/>
      <x:c r="B6" s="266" t="n">
        <x:f>'⚙️ Control'!C12</x:f>
        <x:v>46323</x:v>
      </x:c>
      <x:c r="C6" s="43" t="n"/>
      <x:c r="D6" s="63" t="str">
        <x:f>XLOOKUP('⚙️ Control'!C12,'📅 Master Itinerary'!$B:$B,'📅 Master Itinerary'!$H:$H,"Set date")</x:f>
        <x:v>🟢 Soft Start</x:v>
      </x:c>
      <x:c r="E6" s="63" t="n"/>
      <x:c r="F6" s="77" t="str">
        <x:f>XLOOKUP('⚙️ Control'!C12,'📅 Master Itinerary'!$B:$B,'📅 Master Itinerary'!$G:$G,"Set date")</x:f>
        <x:v>Akasaka</x:v>
      </x:c>
      <x:c r="G6" s="77" t="n"/>
      <x:c r="H6" s="5" t="n"/>
    </x:row>
    <x:row r="7">
      <x:c r="A7" s="5" t="n"/>
      <x:c r="B7" s="47" t="str">
        <x:f>XLOOKUP('⚙️ Control'!C12,'📅 Master Itinerary'!$B:$B,'📅 Master Itinerary'!$C:$C,"Set date")</x:f>
        <x:v>Tokyo</x:v>
      </x:c>
      <x:c r="C7" s="47" t="n"/>
      <x:c r="D7" s="63" t="str">
        <x:f>XLOOKUP('⚙️ Control'!C12,'📅 Master Itinerary'!$B:$B,'📅 Master Itinerary'!$I:$I,"Set date")&amp;" energy"</x:f>
        <x:v>Easy energy</x:v>
      </x:c>
      <x:c r="E7" s="63" t="n"/>
      <x:c r="F7" s="77" t="str">
        <x:f>'⚙️ Control'!C13</x:f>
        <x:v>Akasaka</x:v>
      </x:c>
      <x:c r="G7" s="77" t="n"/>
      <x:c r="H7" s="5" t="n"/>
    </x:row>
    <x:row r="8">
      <x:c r="A8" s="5" t="n"/>
      <x:c r="B8" s="47" t="n"/>
      <x:c r="C8" s="47" t="n"/>
      <x:c r="D8" s="63" t="n"/>
      <x:c r="E8" s="63" t="n"/>
      <x:c r="F8" s="77" t="n"/>
      <x:c r="G8" s="77" t="n"/>
      <x:c r="H8" s="5" t="n"/>
    </x:row>
    <x:row r="9">
      <x:c r="A9" s="5" t="n"/>
      <x:c r="B9" s="47" t="n"/>
      <x:c r="C9" s="47" t="n"/>
      <x:c r="D9" s="63" t="n"/>
      <x:c r="E9" s="63" t="n"/>
      <x:c r="F9" s="77" t="n"/>
      <x:c r="G9" s="77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</x:row>
    <x:row r="12">
      <x:c r="A12" s="5" t="n"/>
      <x:c r="B12" s="22" t="inlineStr">
        <x:is>
          <x:t xml:space="preserve">OPEN ON PHONE</x:t>
        </x:is>
      </x:c>
      <x:c r="C12" s="22" t="n"/>
      <x:c r="D12" s="22" t="n"/>
      <x:c r="E12" s="22" t="n"/>
      <x:c r="F12" s="22" t="n"/>
      <x:c r="G12" s="22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 s="146" customFormat="1" ht="38" customHeight="1">
      <x:c r="A14" s="5" t="n"/>
      <x:c r="B14" s="81" t="inlineStr">
        <x:is>
          <x:t xml:space="preserve">📱 Today</x:t>
        </x:is>
      </x:c>
      <x:c r="C14" s="81" t="inlineStr">
        <x:is>
          <x:t xml:space="preserve">👩 Hilda</x:t>
        </x:is>
      </x:c>
      <x:c r="D14" s="81" t="inlineStr">
        <x:is>
          <x:t xml:space="preserve">👨👩 David + Noelle</x:t>
        </x:is>
      </x:c>
      <x:c r="E14" s="81" t="n"/>
      <x:c r="F14" s="81" t="n"/>
      <x:c r="G14" s="81" t="n"/>
      <x:c r="H14" s="5" t="n"/>
    </x:row>
    <x:row r="15" s="146" customFormat="1" ht="38" customHeight="1">
      <x:c r="A15" s="5" t="n"/>
      <x:c r="B15" s="81" t="inlineStr">
        <x:is>
          <x:t xml:space="preserve">👦 Nick</x:t>
        </x:is>
      </x:c>
      <x:c r="C15" s="81" t="inlineStr">
        <x:is>
          <x:t xml:space="preserve">🗓 Timeline</x:t>
        </x:is>
      </x:c>
      <x:c r="D15" s="81" t="inlineStr">
        <x:is>
          <x:t xml:space="preserve">🎟 Reservations</x:t>
        </x:is>
      </x:c>
      <x:c r="E15" s="81" t="n"/>
      <x:c r="F15" s="81" t="n"/>
      <x:c r="G15" s="81" t="n"/>
      <x:c r="H15" s="5" t="n"/>
    </x:row>
    <x:row r="16" s="146" customFormat="1" ht="38" customHeight="1">
      <x:c r="A16" s="5" t="n"/>
      <x:c r="B16" s="81" t="inlineStr">
        <x:is>
          <x:t xml:space="preserve">✈️ Flights</x:t>
        </x:is>
      </x:c>
      <x:c r="C16" s="81" t="inlineStr">
        <x:is>
          <x:t xml:space="preserve">🏨 Hotels</x:t>
        </x:is>
      </x:c>
      <x:c r="D16" s="81" t="inlineStr">
        <x:is>
          <x:t xml:space="preserve">🚆 Transit</x:t>
        </x:is>
      </x:c>
      <x:c r="E16" s="81" t="n"/>
      <x:c r="F16" s="81" t="n"/>
      <x:c r="G16" s="81" t="n"/>
      <x:c r="H16" s="5" t="n"/>
    </x:row>
    <x:row r="17" s="146" customFormat="1" ht="38" customHeight="1">
      <x:c r="A17" s="5" t="n"/>
      <x:c r="B17" s="81" t="inlineStr">
        <x:is>
          <x:t xml:space="preserve">🧳 Packing</x:t>
        </x:is>
      </x:c>
      <x:c r="C17" s="81" t="inlineStr">
        <x:is>
          <x:t xml:space="preserve">🧳 Luggage</x:t>
        </x:is>
      </x:c>
      <x:c r="D17" s="81" t="inlineStr">
        <x:is>
          <x:t xml:space="preserve">💴 Budget</x:t>
        </x:is>
      </x:c>
      <x:c r="E17" s="81" t="n"/>
      <x:c r="F17" s="81" t="n"/>
      <x:c r="G17" s="81" t="n"/>
      <x:c r="H17" s="5" t="n"/>
    </x:row>
    <x:row r="18" s="146" customFormat="1" ht="38" customHeight="1">
      <x:c r="A18" s="5" t="n"/>
      <x:c r="B18" s="81" t="inlineStr">
        <x:is>
          <x:t xml:space="preserve">💳 Money</x:t>
        </x:is>
      </x:c>
      <x:c r="C18" s="81" t="inlineStr">
        <x:is>
          <x:t xml:space="preserve">🍜 Food</x:t>
        </x:is>
      </x:c>
      <x:c r="D18" s="81" t="inlineStr">
        <x:is>
          <x:t xml:space="preserve">🏪 Konbini</x:t>
        </x:is>
      </x:c>
      <x:c r="E18" s="81" t="n"/>
      <x:c r="F18" s="81" t="n"/>
      <x:c r="G18" s="81" t="n"/>
      <x:c r="H18" s="5" t="n"/>
    </x:row>
    <x:row r="19" s="146" customFormat="1" ht="38" customHeight="1">
      <x:c r="A19" s="5" t="n"/>
      <x:c r="B19" s="81" t="inlineStr">
        <x:is>
          <x:t xml:space="preserve">🗾 Tokyo Guide</x:t>
        </x:is>
      </x:c>
      <x:c r="C19" s="81" t="inlineStr">
        <x:is>
          <x:t xml:space="preserve">⛩ Kyoto Guide</x:t>
        </x:is>
      </x:c>
      <x:c r="D19" s="81" t="inlineStr">
        <x:is>
          <x:t xml:space="preserve">🚨 Emergency</x:t>
        </x:is>
      </x:c>
      <x:c r="E19" s="81" t="n"/>
      <x:c r="F19" s="81" t="n"/>
      <x:c r="G19" s="81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148" t="inlineStr">
        <x:is>
          <x:t xml:space="preserve">Booking Status</x:t>
        </x:is>
      </x:c>
      <x:c r="C32" s="148" t="n"/>
      <x:c r="D32" s="148" t="n"/>
      <x:c r="E32" s="5" t="n"/>
      <x:c r="F32" s="157" t="inlineStr">
        <x:is>
          <x:t xml:space="preserve">Next Actions</x:t>
        </x:is>
      </x:c>
      <x:c r="G32" s="157" t="n"/>
      <x:c r="H32" s="5" t="n"/>
    </x:row>
    <x:row r="33">
      <x:c r="A33" s="5" t="n"/>
      <x:c r="B33" s="154" t="inlineStr">
        <x:is>
          <x:t xml:space="preserve">Booked/Paid</x:t>
        </x:is>
      </x:c>
      <x:c r="C33" s="154" t="n">
        <x:f>COUNTIF('🎟 Reservations'!F:F,"Booked")+COUNTIF('🎟 Reservations'!F:F,"Paid")</x:f>
        <x:v>0</x:v>
      </x:c>
      <x:c r="D33" s="154" t="str"/>
      <x:c r="E33" s="5" t="n"/>
      <x:c r="F33" s="160" t="inlineStr">
        <x:is>
          <x:t xml:space="preserve">1</x:t>
        </x:is>
      </x:c>
      <x:c r="G33" s="160" t="inlineStr">
        <x:is>
          <x:t xml:space="preserve">Book/monitor JAL flights for both groups</x:t>
        </x:is>
      </x:c>
      <x:c r="H33" s="5" t="n"/>
    </x:row>
    <x:row r="34">
      <x:c r="A34" s="5" t="n"/>
      <x:c r="B34" s="154" t="inlineStr">
        <x:is>
          <x:t xml:space="preserve">Watching</x:t>
        </x:is>
      </x:c>
      <x:c r="C34" s="154" t="n">
        <x:f>COUNTIF('🎟 Reservations'!F:F,"Watching")</x:f>
        <x:v>2</x:v>
      </x:c>
      <x:c r="D34" s="154" t="str"/>
      <x:c r="E34" s="5" t="n"/>
      <x:c r="F34" s="160" t="inlineStr">
        <x:is>
          <x:t xml:space="preserve">2</x:t>
        </x:is>
      </x:c>
      <x:c r="G34" s="160" t="inlineStr">
        <x:is>
          <x:t xml:space="preserve">Choose Akasaka hotels</x:t>
        </x:is>
      </x:c>
      <x:c r="H34" s="5" t="n"/>
    </x:row>
    <x:row r="35">
      <x:c r="A35" s="5" t="n"/>
      <x:c r="B35" s="154" t="inlineStr">
        <x:is>
          <x:t xml:space="preserve">Not booked</x:t>
        </x:is>
      </x:c>
      <x:c r="C35" s="154" t="n">
        <x:f>COUNTIF('🎟 Reservations'!F:F,"Not booked")</x:f>
        <x:v>6</x:v>
      </x:c>
      <x:c r="D35" s="154" t="str"/>
      <x:c r="E35" s="5" t="n"/>
      <x:c r="F35" s="160" t="inlineStr">
        <x:is>
          <x:t xml:space="preserve">3</x:t>
        </x:is>
      </x:c>
      <x:c r="G35" s="160" t="inlineStr">
        <x:is>
          <x:t xml:space="preserve">Book Hakone ryokan</x:t>
        </x:is>
      </x:c>
      <x:c r="H35" s="5" t="n"/>
    </x:row>
    <x:row r="36">
      <x:c r="A36" s="5" t="n"/>
      <x:c r="B36" s="154" t="inlineStr">
        <x:is>
          <x:t xml:space="preserve">Critical/High</x:t>
        </x:is>
      </x:c>
      <x:c r="C36" s="154" t="n">
        <x:f>COUNTIF('🎟 Reservations'!K:K,"*Critical*")+COUNTIF('🎟 Reservations'!K:K,"*High*")</x:f>
        <x:v>0</x:v>
      </x:c>
      <x:c r="D36" s="154" t="str"/>
      <x:c r="E36" s="5" t="n"/>
      <x:c r="F36" s="160" t="inlineStr">
        <x:is>
          <x:t xml:space="preserve">4</x:t>
        </x:is>
      </x:c>
      <x:c r="G36" s="160" t="inlineStr">
        <x:is>
          <x:t xml:space="preserve">Track Ghibli Museum ticket window</x:t>
        </x:is>
      </x:c>
      <x:c r="H36" s="5" t="n"/>
    </x:row>
    <x:row r="37">
      <x:c r="A37" s="5" t="n"/>
      <x:c r="B37" s="154" t="inlineStr">
        <x:is>
          <x:t xml:space="preserve">Total items</x:t>
        </x:is>
      </x:c>
      <x:c r="C37" s="154" t="n">
        <x:f>COUNTA('🎟 Reservations'!A5:A100)</x:f>
        <x:v>8</x:v>
      </x:c>
      <x:c r="D37" s="154" t="str"/>
      <x:c r="E37" s="5" t="n"/>
      <x:c r="F37" s="160" t="inlineStr">
        <x:is>
          <x:t xml:space="preserve">5</x:t>
        </x:is>
      </x:c>
      <x:c r="G37" s="160" t="inlineStr">
        <x:is>
          <x:t xml:space="preserve">Add real hotel phone numbers for Hilda</x:t>
        </x:is>
      </x:c>
      <x:c r="H37" s="5" t="n"/>
    </x:row>
    <x:row r="38">
      <x:c r="A38" s="5" t="n"/>
      <x:c r="B38" s="225" t="inlineStr">
        <x:is>
          <x:t xml:space="preserve">v8 App Features Added</x:t>
        </x:is>
      </x:c>
      <x:c r="C38" s="225" t="n"/>
      <x:c r="D38" s="225" t="n"/>
      <x:c r="E38" s="225" t="n"/>
      <x:c r="F38" s="225" t="n"/>
      <x:c r="G38" s="225" t="n"/>
      <x:c r="H38" s="5" t="n"/>
    </x:row>
    <x:row r="39">
      <x:c r="A39" s="5" t="n"/>
      <x:c r="B39" s="226" t="inlineStr">
        <x:is>
          <x:t xml:space="preserve">Use the web app for the cleanest mobile experience: Relax Mode, Lost Mode, phrase favorites, weather, daily brief, guides, and SOS.</x:t>
        </x:is>
      </x:c>
      <x:c r="C39" s="226" t="n"/>
      <x:c r="D39" s="226" t="n"/>
      <x:c r="E39" s="226" t="n"/>
      <x:c r="F39" s="226" t="n"/>
      <x:c r="G39" s="226" t="n"/>
      <x:c r="H39" s="5" t="n"/>
    </x:row>
    <x:row r="40">
      <x:c r="A40" s="5" t="n"/>
      <x:c r="B40" s="226" t="inlineStr">
        <x:is>
          <x:t xml:space="preserve">New planning tabs: Maps, Restaurants, Rain Mode, Walking, Transit Cards, Journal, Food Challenge, Goshuin, Shopping, Countdown, Bathroom, Seasonal, Reservation Timeline.</x:t>
        </x:is>
      </x:c>
      <x:c r="C40" s="226" t="n"/>
      <x:c r="D40" s="226" t="n"/>
      <x:c r="E40" s="226" t="n"/>
      <x:c r="F40" s="226" t="n"/>
      <x:c r="G40" s="226" t="n"/>
      <x:c r="H40" s="5" t="n"/>
    </x:row>
    <x:row r="41">
      <x:c r="A41" s="5" t="n"/>
      <x:c r="B41" s="226" t="inlineStr">
        <x:is>
          <x:t xml:space="preserve">Source tabs remain editable in Google Sheets; family-facing views are best used through the web app.</x:t>
        </x:is>
      </x:c>
      <x:c r="C41" s="226" t="n"/>
      <x:c r="D41" s="226" t="n"/>
      <x:c r="E41" s="226" t="n"/>
      <x:c r="F41" s="226" t="n"/>
      <x:c r="G41" s="226" t="n"/>
      <x:c r="H41" s="5" t="n"/>
    </x:row>
    <x:row r="42">
      <x:c r="A42" s="5" t="n"/>
      <x:c r="B42" s="226" t="inlineStr">
        <x:is>
          <x:t xml:space="preserve">For Hilda, use 👩 Relax Mode / Hilda view. For Nick, use 👦 Nick view. For David + Noelle, use D+N.</x:t>
        </x:is>
      </x:c>
      <x:c r="C42" s="226" t="n"/>
      <x:c r="D42" s="226" t="n"/>
      <x:c r="E42" s="226" t="n"/>
      <x:c r="F42" s="226" t="n"/>
      <x:c r="G42" s="226" t="n"/>
      <x:c r="H42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6" style="146" customWidth="1"/>
    <x:col min="3" max="3" width="18" style="146" customWidth="1"/>
    <x:col min="4" max="4" width="18" style="146" customWidth="1"/>
    <x:col min="5" max="5" width="18" style="146" customWidth="1"/>
    <x:col min="6" max="6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</x:row>
    <x:row r="2">
      <x:c r="A2" s="5" t="n"/>
      <x:c r="B2" s="12" t="inlineStr">
        <x:is>
          <x:t xml:space="preserve">📱 TODAY</x:t>
        </x:is>
      </x:c>
      <x:c r="C2" s="12" t="n"/>
      <x:c r="D2" s="12" t="n"/>
      <x:c r="E2" s="12" t="n"/>
      <x:c r="F2" s="5" t="n"/>
    </x:row>
    <x:row r="3">
      <x:c r="A3" s="5" t="n"/>
      <x:c r="B3" s="12" t="n"/>
      <x:c r="C3" s="12" t="n"/>
      <x:c r="D3" s="12" t="n"/>
      <x:c r="E3" s="12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85" t="inlineStr">
        <x:is>
          <x:t xml:space="preserve">Date</x:t>
        </x:is>
      </x:c>
      <x:c r="C5" s="267" t="n">
        <x:f>'⚙️ Control'!C12</x:f>
        <x:v>46323</x:v>
      </x:c>
      <x:c r="D5" s="89" t="n"/>
      <x:c r="E5" s="89" t="n"/>
      <x:c r="F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</x:row>
    <x:row r="8">
      <x:c r="A8" s="5" t="n"/>
      <x:c r="B8" s="85" t="inlineStr">
        <x:is>
          <x:t xml:space="preserve">Energy</x:t>
        </x:is>
      </x:c>
      <x:c r="C8" s="89" t="str">
        <x:f>XLOOKUP($C$5,'📅 Master Itinerary'!$B:$B,'📅 Master Itinerary'!$I:$I,"Set date")</x:f>
        <x:v>Easy</x:v>
      </x:c>
      <x:c r="D8" s="89" t="n"/>
      <x:c r="E8" s="89" t="n"/>
      <x:c r="F8" s="5" t="n"/>
    </x:row>
    <x:row r="9">
      <x:c r="A9" s="5" t="n"/>
      <x:c r="B9" s="85" t="inlineStr">
        <x:is>
          <x:t xml:space="preserve">Walking</x:t>
        </x:is>
      </x:c>
      <x:c r="C9" s="89" t="str">
        <x:f>XLOOKUP($C$5,'📅 Master Itinerary'!$B:$B,'📅 Master Itinerary'!$K:$K,"Set date")</x:f>
        <x:v>3–4 mi</x:v>
      </x:c>
      <x:c r="D9" s="89" t="n"/>
      <x:c r="E9" s="89" t="n"/>
      <x:c r="F9" s="5" t="n"/>
    </x:row>
    <x:row r="10">
      <x:c r="A10" s="5" t="n"/>
      <x:c r="B10" s="85" t="inlineStr">
        <x:is>
          <x:t xml:space="preserve">Bring</x:t>
        </x:is>
      </x:c>
      <x:c r="C10" s="89" t="str">
        <x:f>XLOOKUP($C$5,'📅 Master Itinerary'!$B:$B,'📅 Master Itinerary'!$L:$L,"Set date")</x:f>
        <x:v>Comfortable shoes</x:v>
      </x:c>
      <x:c r="D10" s="89" t="n"/>
      <x:c r="E10" s="89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34" t="inlineStr">
        <x:is>
          <x:t xml:space="preserve">☀ Morning</x:t>
        </x:is>
      </x:c>
      <x:c r="C14" s="34" t="n"/>
      <x:c r="D14" s="34" t="n"/>
      <x:c r="E14" s="34" t="n"/>
      <x:c r="F14" s="5" t="n"/>
    </x:row>
    <x:row r="15">
      <x:c r="A15" s="5" t="n"/>
      <x:c r="B15" s="94" t="str">
        <x:f>XLOOKUP($C$5,'📅 Master Itinerary'!$B:$B,'📅 Master Itinerary'!$D:$D,"Set date")</x:f>
        <x:v>Akasaka orientation</x:v>
      </x:c>
      <x:c r="C15" s="94" t="n"/>
      <x:c r="D15" s="94" t="n"/>
      <x:c r="E15" s="94" t="n"/>
      <x:c r="F15" s="5" t="n"/>
    </x:row>
    <x:row r="16">
      <x:c r="A16" s="5" t="n"/>
      <x:c r="B16" s="94" t="n"/>
      <x:c r="C16" s="94" t="n"/>
      <x:c r="D16" s="94" t="n"/>
      <x:c r="E16" s="94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4" t="inlineStr">
        <x:is>
          <x:t xml:space="preserve">🌤 Afternoon</x:t>
        </x:is>
      </x:c>
      <x:c r="C18" s="54" t="n"/>
      <x:c r="D18" s="54" t="n"/>
      <x:c r="E18" s="54" t="n"/>
      <x:c r="F18" s="5" t="n"/>
    </x:row>
    <x:row r="19">
      <x:c r="A19" s="5" t="n"/>
      <x:c r="B19" s="96" t="str">
        <x:f>XLOOKUP($C$5,'📅 Master Itinerary'!$B:$B,'📅 Master Itinerary'!$E:$E,"Set date")</x:f>
        <x:v>Hie Shrine + nearby cafés</x:v>
      </x:c>
      <x:c r="C19" s="96" t="n"/>
      <x:c r="D19" s="96" t="n"/>
      <x:c r="E19" s="96" t="n"/>
      <x:c r="F19" s="5" t="n"/>
    </x:row>
    <x:row r="20">
      <x:c r="A20" s="5" t="n"/>
      <x:c r="B20" s="96" t="n"/>
      <x:c r="C20" s="96" t="n"/>
      <x:c r="D20" s="96" t="n"/>
      <x:c r="E20" s="96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22" t="inlineStr">
        <x:is>
          <x:t xml:space="preserve">🌙 Evening</x:t>
        </x:is>
      </x:c>
      <x:c r="C22" s="22" t="n"/>
      <x:c r="D22" s="22" t="n"/>
      <x:c r="E22" s="22" t="n"/>
      <x:c r="F22" s="5" t="n"/>
    </x:row>
    <x:row r="23">
      <x:c r="A23" s="5" t="n"/>
      <x:c r="B23" s="98" t="str">
        <x:f>XLOOKUP($C$5,'📅 Master Itinerary'!$B:$B,'📅 Master Itinerary'!$F:$F,"Set date")</x:f>
        <x:v>Welcome dinner</x:v>
      </x:c>
      <x:c r="C23" s="98" t="n"/>
      <x:c r="D23" s="98" t="n"/>
      <x:c r="E23" s="98" t="n"/>
      <x:c r="F23" s="5" t="n"/>
    </x:row>
    <x:row r="24">
      <x:c r="A24" s="5" t="n"/>
      <x:c r="B24" s="98" t="n"/>
      <x:c r="C24" s="98" t="n"/>
      <x:c r="D24" s="98" t="n"/>
      <x:c r="E24" s="98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22" t="inlineStr">
        <x:is>
          <x:t xml:space="preserve">Quick toggles</x:t>
        </x:is>
      </x:c>
      <x:c r="C27" s="22" t="n"/>
      <x:c r="D27" s="22" t="n"/>
      <x:c r="E27" s="22" t="n"/>
      <x:c r="F27" s="5" t="n"/>
    </x:row>
    <x:row r="28">
      <x:c r="A28" s="5" t="n"/>
      <x:c r="B28" s="101" t="inlineStr">
        <x:is>
          <x:t xml:space="preserve">☐ Rain mode    ☐ Taxi?    ☐ Need cash?</x:t>
        </x:is>
      </x:c>
      <x:c r="C28" s="101" t="n"/>
      <x:c r="D28" s="101" t="n"/>
      <x:c r="E28" s="101" t="n"/>
      <x:c r="F28" s="5" t="n"/>
    </x:row>
    <x:row r="29">
      <x:c r="A29" s="5" t="n"/>
      <x:c r="B29" s="101" t="inlineStr">
        <x:is>
          <x:t xml:space="preserve">☐ Laundry      ☐ Rest break for Hilda</x:t>
        </x:is>
      </x:c>
      <x:c r="C29" s="101" t="n"/>
      <x:c r="D29" s="101" t="n"/>
      <x:c r="E29" s="101" t="n"/>
      <x:c r="F29" s="5" t="n"/>
    </x:row>
    <x:row r="30">
      <x:c r="A30" s="5" t="n"/>
      <x:c r="B30" s="101" t="n"/>
      <x:c r="C30" s="101" t="n"/>
      <x:c r="D30" s="101" t="n"/>
      <x:c r="E30" s="101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0" style="146" customWidth="1"/>
    <x:col min="3" max="3" width="20" style="146" customWidth="1"/>
    <x:col min="4" max="4" width="20" style="146" customWidth="1"/>
  </x:cols>
  <x:sheetData>
    <x:row r="1">
      <x:c r="A1" s="106" t="inlineStr">
        <x:is>
          <x:t xml:space="preserve">👩 HILDA DAILY VIEW</x:t>
        </x:is>
      </x:c>
      <x:c r="B1" s="106" t="n"/>
      <x:c r="C1" s="106" t="n"/>
      <x:c r="D1" s="106" t="n"/>
    </x:row>
    <x:row r="2">
      <x:c r="A2" s="106" t="n"/>
      <x:c r="B2" s="106" t="n"/>
      <x:c r="C2" s="106" t="n"/>
      <x:c r="D2" s="106" t="n"/>
    </x:row>
    <x:row r="3">
      <x:c r="A3" s="5" t="n"/>
      <x:c r="B3" s="5" t="n"/>
      <x:c r="C3" s="5" t="n"/>
      <x:c r="D3" s="5" t="n"/>
    </x:row>
    <x:row r="4">
      <x:c r="A4" s="85" t="inlineStr">
        <x:is>
          <x:t xml:space="preserve">Today</x:t>
        </x:is>
      </x:c>
      <x:c r="B4" s="268" t="n">
        <x:f>'⚙️ Control'!C12</x:f>
        <x:v>46323</x:v>
      </x:c>
      <x:c r="C4" s="111" t="n"/>
      <x:c r="D4" s="111" t="n"/>
    </x:row>
    <x:row r="5">
      <x:c r="A5" s="85" t="inlineStr">
        <x:is>
          <x:t xml:space="preserve">Where</x:t>
        </x:is>
      </x:c>
      <x:c r="B5" s="111" t="str">
        <x:f>XLOOKUP($B$4,'📅 Master Itinerary'!$B:$B,'📅 Master Itinerary'!$C:$C,"Set date")</x:f>
        <x:v>Tokyo</x:v>
      </x:c>
      <x:c r="C5" s="111" t="n"/>
      <x:c r="D5" s="111" t="n"/>
    </x:row>
    <x:row r="6">
      <x:c r="A6" s="85" t="inlineStr">
        <x:is>
          <x:t xml:space="preserve">Hotel</x:t>
        </x:is>
      </x:c>
      <x:c r="B6" s="111" t="str">
        <x:f>XLOOKUP($B$4,'📅 Master Itinerary'!$B:$B,'📅 Master Itinerary'!$G:$G,"Set date")</x:f>
        <x:v>Akasaka</x:v>
      </x:c>
      <x:c r="C6" s="111" t="n"/>
      <x:c r="D6" s="111" t="n"/>
    </x:row>
    <x:row r="7">
      <x:c r="A7" s="85" t="inlineStr">
        <x:is>
          <x:t xml:space="preserve">D+N</x:t>
        </x:is>
      </x:c>
      <x:c r="B7" s="111" t="str">
        <x:f>XLOOKUP($B$4,'📅 Master Itinerary'!$B:$B,'📅 Master Itinerary'!$H:$H,"Set date")</x:f>
        <x:v>🟢 Soft Start</x:v>
      </x:c>
      <x:c r="C7" s="111" t="n"/>
      <x:c r="D7" s="111" t="n"/>
    </x:row>
    <x:row r="8">
      <x:c r="A8" s="85" t="inlineStr">
        <x:is>
          <x:t xml:space="preserve">Bring</x:t>
        </x:is>
      </x:c>
      <x:c r="B8" s="111" t="str">
        <x:f>XLOOKUP($B$4,'📅 Master Itinerary'!$B:$B,'📅 Master Itinerary'!$L:$L,"Set date")</x:f>
        <x:v>Comfortable shoes</x:v>
      </x:c>
      <x:c r="C8" s="111" t="n"/>
      <x:c r="D8" s="111" t="n"/>
    </x:row>
    <x:row r="9">
      <x:c r="A9" s="85" t="inlineStr">
        <x:is>
          <x:t xml:space="preserve">Walking</x:t>
        </x:is>
      </x:c>
      <x:c r="B9" s="111" t="str">
        <x:f>XLOOKUP($B$4,'📅 Master Itinerary'!$B:$B,'📅 Master Itinerary'!$K:$K,"Set date")</x:f>
        <x:v>3–4 mi</x:v>
      </x:c>
      <x:c r="C9" s="111" t="n"/>
      <x:c r="D9" s="111" t="n"/>
    </x:row>
    <x:row r="10">
      <x:c r="A10" s="5" t="n"/>
      <x:c r="B10" s="5" t="n"/>
      <x:c r="C10" s="5" t="n"/>
      <x:c r="D10" s="5" t="n"/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34" t="inlineStr">
        <x:is>
          <x:t xml:space="preserve">Morning</x:t>
        </x:is>
      </x:c>
      <x:c r="B13" s="34" t="n"/>
      <x:c r="C13" s="34" t="n"/>
      <x:c r="D13" s="34" t="n"/>
    </x:row>
    <x:row r="14">
      <x:c r="A14" s="117" t="str">
        <x:f>XLOOKUP($B$4,'📅 Master Itinerary'!$B:$B,'📅 Master Itinerary'!$D:$D,"Set date")</x:f>
        <x:v>Akasaka orientation</x:v>
      </x:c>
      <x:c r="B14" s="117" t="n"/>
      <x:c r="C14" s="117" t="n"/>
      <x:c r="D14" s="117" t="n"/>
    </x:row>
    <x:row r="15">
      <x:c r="A15" s="117" t="n"/>
      <x:c r="B15" s="117" t="n"/>
      <x:c r="C15" s="117" t="n"/>
      <x:c r="D15" s="117" t="n"/>
    </x:row>
    <x:row r="16">
      <x:c r="A16" s="117" t="n"/>
      <x:c r="B16" s="117" t="n"/>
      <x:c r="C16" s="117" t="n"/>
      <x:c r="D16" s="117" t="n"/>
    </x:row>
    <x:row r="17">
      <x:c r="A17" s="5" t="n"/>
      <x:c r="B17" s="5" t="n"/>
      <x:c r="C17" s="5" t="n"/>
      <x:c r="D17" s="5" t="n"/>
    </x:row>
    <x:row r="18">
      <x:c r="A18" s="54" t="inlineStr">
        <x:is>
          <x:t xml:space="preserve">Afternoon</x:t>
        </x:is>
      </x:c>
      <x:c r="B18" s="54" t="n"/>
      <x:c r="C18" s="54" t="n"/>
      <x:c r="D18" s="54" t="n"/>
    </x:row>
    <x:row r="19">
      <x:c r="A19" s="121" t="str">
        <x:f>XLOOKUP($B$4,'📅 Master Itinerary'!$B:$B,'📅 Master Itinerary'!$E:$E,"Set date")</x:f>
        <x:v>Hie Shrine + nearby cafés</x:v>
      </x:c>
      <x:c r="B19" s="121" t="n"/>
      <x:c r="C19" s="121" t="n"/>
      <x:c r="D19" s="121" t="n"/>
    </x:row>
    <x:row r="20">
      <x:c r="A20" s="121" t="n"/>
      <x:c r="B20" s="121" t="n"/>
      <x:c r="C20" s="121" t="n"/>
      <x:c r="D20" s="121" t="n"/>
    </x:row>
    <x:row r="21">
      <x:c r="A21" s="121" t="n"/>
      <x:c r="B21" s="121" t="n"/>
      <x:c r="C21" s="121" t="n"/>
      <x:c r="D21" s="121" t="n"/>
    </x:row>
    <x:row r="22">
      <x:c r="A22" s="5" t="n"/>
      <x:c r="B22" s="5" t="n"/>
      <x:c r="C22" s="5" t="n"/>
      <x:c r="D22" s="5" t="n"/>
    </x:row>
    <x:row r="23">
      <x:c r="A23" s="68" t="inlineStr">
        <x:is>
          <x:t xml:space="preserve">Evening</x:t>
        </x:is>
      </x:c>
      <x:c r="B23" s="68" t="n"/>
      <x:c r="C23" s="68" t="n"/>
      <x:c r="D23" s="68" t="n"/>
    </x:row>
    <x:row r="24">
      <x:c r="A24" s="125" t="str">
        <x:f>XLOOKUP($B$4,'📅 Master Itinerary'!$B:$B,'📅 Master Itinerary'!$F:$F,"Set date")</x:f>
        <x:v>Welcome dinner</x:v>
      </x:c>
      <x:c r="B24" s="125" t="n"/>
      <x:c r="C24" s="125" t="n"/>
      <x:c r="D24" s="125" t="n"/>
    </x:row>
    <x:row r="25">
      <x:c r="A25" s="125" t="n"/>
      <x:c r="B25" s="125" t="n"/>
      <x:c r="C25" s="125" t="n"/>
      <x:c r="D25" s="125" t="n"/>
    </x:row>
    <x:row r="26">
      <x:c r="A26" s="125" t="n"/>
      <x:c r="B26" s="125" t="n"/>
      <x:c r="C26" s="125" t="n"/>
      <x:c r="D26" s="12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129" t="inlineStr">
        <x:is>
          <x:t xml:space="preserve">Emergency</x:t>
        </x:is>
      </x:c>
      <x:c r="B29" s="129" t="n"/>
      <x:c r="C29" s="129" t="n"/>
      <x:c r="D29" s="129" t="n"/>
    </x:row>
    <x:row r="30">
      <x:c r="A30" s="101" t="inlineStr">
        <x:is>
          <x:t xml:space="preserve">Police: 110    Ambulance: 119</x:t>
        </x:is>
      </x:c>
      <x:c r="B30" s="101" t="n"/>
      <x:c r="C30" s="101" t="n"/>
      <x:c r="D30" s="101" t="n"/>
    </x:row>
    <x:row r="31">
      <x:c r="A31" s="101" t="inlineStr">
        <x:is>
          <x:t xml:space="preserve">If separated: go to hotel lobby or nearest station staff.</x:t>
        </x:is>
      </x:c>
      <x:c r="B31" s="101" t="n"/>
      <x:c r="C31" s="101" t="n"/>
      <x:c r="D31" s="101" t="n"/>
    </x:row>
    <x:row r="32">
      <x:c r="A32" s="101" t="n"/>
      <x:c r="B32" s="101" t="n"/>
      <x:c r="C32" s="101" t="n"/>
      <x:c r="D32" s="101" t="n"/>
    </x:row>
    <x:row r="33">
      <x:c r="A33" s="101" t="n"/>
      <x:c r="B33" s="101" t="n"/>
      <x:c r="C33" s="101" t="n"/>
      <x:c r="D33" s="101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22" style="146" customWidth="1"/>
    <x:col min="3" max="3" width="18" style="146" customWidth="1"/>
    <x:col min="4" max="4" width="18" style="146" customWidth="1"/>
    <x:col min="5" max="5" width="6" style="146" customWidth="1"/>
    <x:col min="6" max="6" width="22" style="146" customWidth="1"/>
    <x:col min="7" max="7" width="24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👨👩 DAVID + NOELLE PLANNING DASHBOARD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85" t="inlineStr">
        <x:is>
          <x:t xml:space="preserve">Today</x:t>
        </x:is>
      </x:c>
      <x:c r="C5" s="267" t="n">
        <x:f>'⚙️ Control'!C12</x:f>
        <x:v>46323</x:v>
      </x:c>
      <x:c r="D5" s="89" t="n"/>
      <x:c r="E5" s="89" t="n"/>
      <x:c r="F5" s="5" t="n"/>
      <x:c r="G5" s="5" t="n"/>
      <x:c r="H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  <x:c r="G6" s="5" t="n"/>
      <x:c r="H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  <x:c r="G7" s="5" t="n"/>
      <x:c r="H7" s="5" t="n"/>
    </x:row>
    <x:row r="8">
      <x:c r="A8" s="5" t="n"/>
      <x:c r="B8" s="85" t="inlineStr">
        <x:is>
          <x:t xml:space="preserve">Energy</x:t>
        </x:is>
      </x:c>
      <x:c r="C8" s="89" t="str">
        <x:f>XLOOKUP($C$5,'📅 Master Itinerary'!$B:$B,'📅 Master Itinerary'!$I:$I,"Set date")</x:f>
        <x:v>Easy</x:v>
      </x:c>
      <x:c r="D8" s="89" t="n"/>
      <x:c r="E8" s="89" t="n"/>
      <x:c r="F8" s="5" t="n"/>
      <x:c r="G8" s="5" t="n"/>
      <x:c r="H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129" t="inlineStr">
        <x:is>
          <x:t xml:space="preserve">Today’s Flow</x:t>
        </x:is>
      </x:c>
      <x:c r="C11" s="129" t="n"/>
      <x:c r="D11" s="129" t="n"/>
      <x:c r="E11" s="129" t="n"/>
      <x:c r="F11" s="5" t="n"/>
      <x:c r="G11" s="5" t="n"/>
      <x:c r="H11" s="5" t="n"/>
    </x:row>
    <x:row r="12">
      <x:c r="A12" s="5" t="n"/>
      <x:c r="B12" s="132" t="str">
        <x:f>"☀  "&amp;XLOOKUP($C$5,'📅 Master Itinerary'!$B:$B,'📅 Master Itinerary'!$D:$D,"Set date")</x:f>
        <x:v>☀  Akasaka orientation</x:v>
      </x:c>
      <x:c r="C12" s="132" t="n"/>
      <x:c r="D12" s="132" t="n"/>
      <x:c r="E12" s="132" t="n"/>
      <x:c r="F12" s="5" t="n"/>
      <x:c r="G12" s="5" t="n"/>
      <x:c r="H12" s="5" t="n"/>
    </x:row>
    <x:row r="13">
      <x:c r="A13" s="5" t="n"/>
      <x:c r="B13" s="132" t="str">
        <x:f>"🌤  "&amp;XLOOKUP($C$5,'📅 Master Itinerary'!$B:$B,'📅 Master Itinerary'!$E:$E,"Set date")</x:f>
        <x:v>🌤  Hie Shrine + nearby cafés</x:v>
      </x:c>
      <x:c r="C13" s="132" t="n"/>
      <x:c r="D13" s="132" t="n"/>
      <x:c r="E13" s="132" t="n"/>
      <x:c r="F13" s="5" t="n"/>
      <x:c r="G13" s="5" t="n"/>
      <x:c r="H13" s="5" t="n"/>
    </x:row>
    <x:row r="14">
      <x:c r="A14" s="5" t="n"/>
      <x:c r="B14" s="132" t="str">
        <x:f>"🌙  "&amp;XLOOKUP($C$5,'📅 Master Itinerary'!$B:$B,'📅 Master Itinerary'!$F:$F,"Set date")</x:f>
        <x:v>🌙  Welcome dinner</x:v>
      </x:c>
      <x:c r="C14" s="132" t="n"/>
      <x:c r="D14" s="132" t="n"/>
      <x:c r="E14" s="132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22" t="inlineStr">
        <x:is>
          <x:t xml:space="preserve">Planning Priorities</x:t>
        </x:is>
      </x:c>
      <x:c r="C17" s="22" t="n"/>
      <x:c r="D17" s="22" t="n"/>
      <x:c r="E17" s="5" t="n"/>
      <x:c r="F17" s="22" t="inlineStr">
        <x:is>
          <x:t xml:space="preserve">Shared Notes</x:t>
        </x:is>
      </x:c>
      <x:c r="G17" s="22" t="n"/>
      <x:c r="H17" s="5" t="n"/>
    </x:row>
    <x:row r="18">
      <x:c r="A18" s="5" t="n"/>
      <x:c r="B18" s="17" t="inlineStr">
        <x:is>
          <x:t xml:space="preserve">☐ Flights aligned LAX/BOS</x:t>
        </x:is>
      </x:c>
      <x:c r="C18" s="17" t="n"/>
      <x:c r="D18" s="17" t="n"/>
      <x:c r="E18" s="5" t="n"/>
      <x:c r="F18" s="17" t="str"/>
      <x:c r="G18" s="17" t="n"/>
      <x:c r="H18" s="5" t="n"/>
    </x:row>
    <x:row r="19">
      <x:c r="A19" s="5" t="n"/>
      <x:c r="B19" s="17" t="inlineStr">
        <x:is>
          <x:t xml:space="preserve">☐ Akasaka hotel picked</x:t>
        </x:is>
      </x:c>
      <x:c r="C19" s="17" t="n"/>
      <x:c r="D19" s="17" t="n"/>
      <x:c r="E19" s="5" t="n"/>
      <x:c r="F19" s="17" t="str"/>
      <x:c r="G19" s="17" t="n"/>
      <x:c r="H19" s="5" t="n"/>
    </x:row>
    <x:row r="20">
      <x:c r="A20" s="5" t="n"/>
      <x:c r="B20" s="17" t="inlineStr">
        <x:is>
          <x:t xml:space="preserve">☐ Hakone ryokan booked</x:t>
        </x:is>
      </x:c>
      <x:c r="C20" s="17" t="n"/>
      <x:c r="D20" s="17" t="n"/>
      <x:c r="E20" s="5" t="n"/>
      <x:c r="F20" s="17" t="str"/>
      <x:c r="G20" s="17" t="n"/>
      <x:c r="H20" s="5" t="n"/>
    </x:row>
    <x:row r="21">
      <x:c r="A21" s="5" t="n"/>
      <x:c r="B21" s="17" t="inlineStr">
        <x:is>
          <x:t xml:space="preserve">☐ Kyoto hotel booked</x:t>
        </x:is>
      </x:c>
      <x:c r="C21" s="17" t="n"/>
      <x:c r="D21" s="17" t="n"/>
      <x:c r="E21" s="5" t="n"/>
      <x:c r="F21" s="17" t="str"/>
      <x:c r="G21" s="17" t="n"/>
      <x:c r="H21" s="5" t="n"/>
    </x:row>
    <x:row r="22">
      <x:c r="A22" s="5" t="n"/>
      <x:c r="B22" s="17" t="inlineStr">
        <x:is>
          <x:t xml:space="preserve">☐ Ghibli ticket window tracked</x:t>
        </x:is>
      </x:c>
      <x:c r="C22" s="17" t="n"/>
      <x:c r="D22" s="17" t="n"/>
      <x:c r="E22" s="5" t="n"/>
      <x:c r="F22" s="17" t="str"/>
      <x:c r="G22" s="17" t="n"/>
      <x:c r="H22" s="5" t="n"/>
    </x:row>
    <x:row r="23">
      <x:c r="A23" s="5" t="n"/>
      <x:c r="B23" s="17" t="inlineStr">
        <x:is>
          <x:t xml:space="preserve">☐ Visit Japan Web QR codes</x:t>
        </x:is>
      </x:c>
      <x:c r="C23" s="17" t="n"/>
      <x:c r="D23" s="17" t="n"/>
      <x:c r="E23" s="5" t="n"/>
      <x:c r="F23" s="17" t="n"/>
      <x:c r="G23" s="17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8" style="146" customWidth="1"/>
    <x:col min="3" max="3" width="18" style="146" customWidth="1"/>
    <x:col min="4" max="4" width="18" style="146" customWidth="1"/>
    <x:col min="5" max="5" width="18" style="146" customWidth="1"/>
    <x:col min="6" max="6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</x:row>
    <x:row r="2">
      <x:c r="A2" s="5" t="n"/>
      <x:c r="B2" s="135" t="inlineStr">
        <x:is>
          <x:t xml:space="preserve">👦 NICK DAILY VIEW</x:t>
        </x:is>
      </x:c>
      <x:c r="C2" s="135" t="n"/>
      <x:c r="D2" s="135" t="n"/>
      <x:c r="E2" s="135" t="n"/>
      <x:c r="F2" s="5" t="n"/>
    </x:row>
    <x:row r="3">
      <x:c r="A3" s="5" t="n"/>
      <x:c r="B3" s="135" t="n"/>
      <x:c r="C3" s="135" t="n"/>
      <x:c r="D3" s="135" t="n"/>
      <x:c r="E3" s="135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85" t="inlineStr">
        <x:is>
          <x:t xml:space="preserve">Today</x:t>
        </x:is>
      </x:c>
      <x:c r="C5" s="267" t="n">
        <x:f>'⚙️ Control'!C12</x:f>
        <x:v>46323</x:v>
      </x:c>
      <x:c r="D5" s="89" t="n"/>
      <x:c r="E5" s="89" t="n"/>
      <x:c r="F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</x:row>
    <x:row r="8">
      <x:c r="A8" s="5" t="n"/>
      <x:c r="B8" s="85" t="inlineStr">
        <x:is>
          <x:t xml:space="preserve">Hotel</x:t>
        </x:is>
      </x:c>
      <x:c r="C8" s="89" t="str">
        <x:f>XLOOKUP($C$5,'📅 Master Itinerary'!$B:$B,'📅 Master Itinerary'!$G:$G,"Set date")</x:f>
        <x:v>Akasaka</x:v>
      </x:c>
      <x:c r="D8" s="89" t="n"/>
      <x:c r="E8" s="89" t="n"/>
      <x:c r="F8" s="5" t="n"/>
    </x:row>
    <x:row r="9">
      <x:c r="A9" s="5" t="n"/>
      <x:c r="B9" s="5" t="n"/>
      <x:c r="C9" s="5" t="n"/>
      <x:c r="D9" s="5" t="n"/>
      <x:c r="E9" s="5" t="n"/>
      <x:c r="F9" s="5" t="n"/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4" t="inlineStr">
        <x:is>
          <x:t xml:space="preserve">Today’s Plan</x:t>
        </x:is>
      </x:c>
      <x:c r="C11" s="54" t="n"/>
      <x:c r="D11" s="54" t="n"/>
      <x:c r="E11" s="54" t="n"/>
      <x:c r="F11" s="5" t="n"/>
    </x:row>
    <x:row r="12">
      <x:c r="A12" s="5" t="n"/>
      <x:c r="B12" s="132" t="str">
        <x:f>"☀  "&amp;XLOOKUP($C$5,'📅 Master Itinerary'!$B:$B,'📅 Master Itinerary'!$D:$D,"Set date")</x:f>
        <x:v>☀  Akasaka orientation</x:v>
      </x:c>
      <x:c r="C12" s="132" t="n"/>
      <x:c r="D12" s="132" t="n"/>
      <x:c r="E12" s="132" t="n"/>
      <x:c r="F12" s="5" t="n"/>
    </x:row>
    <x:row r="13">
      <x:c r="A13" s="5" t="n"/>
      <x:c r="B13" s="132" t="str">
        <x:f>"🌤  "&amp;XLOOKUP($C$5,'📅 Master Itinerary'!$B:$B,'📅 Master Itinerary'!$E:$E,"Set date")</x:f>
        <x:v>🌤  Hie Shrine + nearby cafés</x:v>
      </x:c>
      <x:c r="C13" s="132" t="n"/>
      <x:c r="D13" s="132" t="n"/>
      <x:c r="E13" s="132" t="n"/>
      <x:c r="F13" s="5" t="n"/>
    </x:row>
    <x:row r="14">
      <x:c r="A14" s="5" t="n"/>
      <x:c r="B14" s="132" t="str">
        <x:f>"🌙  "&amp;XLOOKUP($C$5,'📅 Master Itinerary'!$B:$B,'📅 Master Itinerary'!$F:$F,"Set date")</x:f>
        <x:v>🌙  Welcome dinner</x:v>
      </x:c>
      <x:c r="C14" s="132" t="n"/>
      <x:c r="D14" s="132" t="n"/>
      <x:c r="E14" s="132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22" t="inlineStr">
        <x:is>
          <x:t xml:space="preserve">Helpful</x:t>
        </x:is>
      </x:c>
      <x:c r="C18" s="22" t="n"/>
      <x:c r="D18" s="22" t="n"/>
      <x:c r="E18" s="22" t="n"/>
      <x:c r="F18" s="5" t="n"/>
    </x:row>
    <x:row r="19">
      <x:c r="A19" s="5" t="n"/>
      <x:c r="B19" s="17" t="inlineStr">
        <x:is>
          <x:t xml:space="preserve">Meetup point: check 🗺 Meetups</x:t>
        </x:is>
      </x:c>
      <x:c r="C19" s="17" t="n"/>
      <x:c r="D19" s="17" t="n"/>
      <x:c r="E19" s="17" t="n"/>
      <x:c r="F19" s="5" t="n"/>
    </x:row>
    <x:row r="20">
      <x:c r="A20" s="5" t="n"/>
      <x:c r="B20" s="17" t="inlineStr">
        <x:is>
          <x:t xml:space="preserve">Bring: see 📱 Today</x:t>
        </x:is>
      </x:c>
      <x:c r="C20" s="17" t="n"/>
      <x:c r="D20" s="17" t="n"/>
      <x:c r="E20" s="17" t="n"/>
      <x:c r="F20" s="5" t="n"/>
    </x:row>
    <x:row r="21">
      <x:c r="A21" s="5" t="n"/>
      <x:c r="B21" s="17" t="inlineStr">
        <x:is>
          <x:t xml:space="preserve">Emergency: 110 / 119</x:t>
        </x:is>
      </x:c>
      <x:c r="C21" s="17" t="n"/>
      <x:c r="D21" s="17" t="n"/>
      <x:c r="E21" s="17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146" customWidth="1"/>
    <x:col min="2" max="2" width="13" style="146" customWidth="1"/>
    <x:col min="3" max="3" width="13" style="146" customWidth="1"/>
    <x:col min="4" max="4" width="13" style="146" customWidth="1"/>
    <x:col min="5" max="5" width="13" style="146" customWidth="1"/>
    <x:col min="6" max="6" width="13" style="146" customWidth="1"/>
    <x:col min="7" max="7" width="13" style="146" customWidth="1"/>
    <x:col min="8" max="8" width="13" style="146" customWidth="1"/>
    <x:col min="9" max="9" width="13" style="146" customWidth="1"/>
    <x:col min="10" max="10" width="13" style="146" customWidth="1"/>
    <x:col min="11" max="11" width="13" style="146" customWidth="1"/>
    <x:col min="12" max="12" width="13" style="146" customWidth="1"/>
    <x:col min="13" max="13" width="13" style="146" customWidth="1"/>
    <x:col min="14" max="14" width="13" style="146" customWidth="1"/>
    <x:col min="15" max="15" width="13" style="146" customWidth="1"/>
    <x:col min="16" max="16" width="13" style="146" customWidth="1"/>
    <x:col min="17" max="17" width="13" style="146" customWidth="1"/>
  </x:cols>
  <x:sheetData>
    <x:row r="1">
      <x:c r="A1" s="12" t="inlineStr">
        <x:is>
          <x:t xml:space="preserve">🗓 Trip Timeline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  <x:c r="L1" s="12" t="n"/>
      <x:c r="M1" s="12" t="n"/>
      <x:c r="N1" s="12" t="n"/>
      <x:c r="O1" s="12" t="n"/>
      <x:c r="P1" s="12" t="n"/>
      <x:c r="Q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  <x:c r="N2" s="12" t="n"/>
      <x:c r="O2" s="12" t="n"/>
      <x:c r="P2" s="12" t="n"/>
      <x:c r="Q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</x:row>
    <x:row r="4">
      <x:c r="A4" s="129" t="inlineStr">
        <x:is>
          <x:t xml:space="preserve">Sep 30</x:t>
        </x:is>
      </x:c>
      <x:c r="B4" s="129" t="inlineStr">
        <x:is>
          <x:t xml:space="preserve">Oct 01</x:t>
        </x:is>
      </x:c>
      <x:c r="C4" s="129" t="inlineStr">
        <x:is>
          <x:t xml:space="preserve">Oct 02</x:t>
        </x:is>
      </x:c>
      <x:c r="D4" s="129" t="inlineStr">
        <x:is>
          <x:t xml:space="preserve">Oct 03</x:t>
        </x:is>
      </x:c>
      <x:c r="E4" s="129" t="inlineStr">
        <x:is>
          <x:t xml:space="preserve">Oct 04</x:t>
        </x:is>
      </x:c>
      <x:c r="F4" s="129" t="inlineStr">
        <x:is>
          <x:t xml:space="preserve">Oct 05</x:t>
        </x:is>
      </x:c>
      <x:c r="G4" s="129" t="inlineStr">
        <x:is>
          <x:t xml:space="preserve">Oct 06</x:t>
        </x:is>
      </x:c>
      <x:c r="H4" s="129" t="inlineStr">
        <x:is>
          <x:t xml:space="preserve">Oct 07</x:t>
        </x:is>
      </x:c>
      <x:c r="I4" s="129" t="inlineStr">
        <x:is>
          <x:t xml:space="preserve">Oct 08</x:t>
        </x:is>
      </x:c>
      <x:c r="J4" s="129" t="inlineStr">
        <x:is>
          <x:t xml:space="preserve">Oct 09</x:t>
        </x:is>
      </x:c>
      <x:c r="K4" s="129" t="inlineStr">
        <x:is>
          <x:t xml:space="preserve">Oct 10</x:t>
        </x:is>
      </x:c>
      <x:c r="L4" s="129" t="inlineStr">
        <x:is>
          <x:t xml:space="preserve">Oct 11</x:t>
        </x:is>
      </x:c>
      <x:c r="M4" s="129" t="inlineStr">
        <x:is>
          <x:t xml:space="preserve">Oct 12</x:t>
        </x:is>
      </x:c>
      <x:c r="N4" s="129" t="inlineStr">
        <x:is>
          <x:t xml:space="preserve">Oct 13</x:t>
        </x:is>
      </x:c>
      <x:c r="O4" s="129" t="inlineStr">
        <x:is>
          <x:t xml:space="preserve">Oct 14</x:t>
        </x:is>
      </x:c>
      <x:c r="P4" s="129" t="inlineStr">
        <x:is>
          <x:t xml:space="preserve">Oct 15</x:t>
        </x:is>
      </x:c>
      <x:c r="Q4" s="129" t="inlineStr">
        <x:is>
          <x:t xml:space="preserve">Oct 16</x:t>
        </x:is>
      </x:c>
    </x:row>
    <x:row r="5">
      <x:c r="A5" s="139" t="inlineStr">
        <x:is>
          <x:t xml:space="preserve">🔵 Travel</x:t>
        </x:is>
      </x:c>
      <x:c r="B5" s="139" t="inlineStr">
        <x:is>
          <x:t xml:space="preserve">🟢 Arrival</x:t>
        </x:is>
      </x:c>
      <x:c r="C5" s="139" t="inlineStr">
        <x:is>
          <x:t xml:space="preserve">🟢 Soft Start</x:t>
        </x:is>
      </x:c>
      <x:c r="D5" s="139" t="inlineStr">
        <x:is>
          <x:t xml:space="preserve">🔵 Classic Tokyo</x:t>
        </x:is>
      </x:c>
      <x:c r="E5" s="139" t="inlineStr">
        <x:is>
          <x:t xml:space="preserve">🟡 Modern Tokyo</x:t>
        </x:is>
      </x:c>
      <x:c r="F5" s="139" t="inlineStr">
        <x:is>
          <x:t xml:space="preserve">🎬 Ghibli Day</x:t>
        </x:is>
      </x:c>
      <x:c r="G5" s="139" t="inlineStr">
        <x:is>
          <x:t xml:space="preserve">♨️ Ryokan Reset</x:t>
        </x:is>
      </x:c>
      <x:c r="H5" s="139" t="inlineStr">
        <x:is>
          <x:t xml:space="preserve">⛩️ Arrive Kyoto</x:t>
        </x:is>
      </x:c>
      <x:c r="I5" s="139" t="inlineStr">
        <x:is>
          <x:t xml:space="preserve">⛩️ Fushimi + Food</x:t>
        </x:is>
      </x:c>
      <x:c r="J5" s="139" t="inlineStr">
        <x:is>
          <x:t xml:space="preserve">🎋 Arashiyama</x:t>
        </x:is>
      </x:c>
      <x:c r="K5" s="139" t="inlineStr">
        <x:is>
          <x:t xml:space="preserve">⛩️ Higashiyama</x:t>
        </x:is>
      </x:c>
      <x:c r="L5" s="139" t="inlineStr">
        <x:is>
          <x:t xml:space="preserve">🦌 Nara Day Trip</x:t>
        </x:is>
      </x:c>
      <x:c r="M5" s="139" t="inlineStr">
        <x:is>
          <x:t xml:space="preserve">🚄 Back to Tokyo</x:t>
        </x:is>
      </x:c>
      <x:c r="N5" s="139" t="inlineStr">
        <x:is>
          <x:t xml:space="preserve">🟣 Tokyo Favorites</x:t>
        </x:is>
      </x:c>
      <x:c r="O5" s="139" t="inlineStr">
        <x:is>
          <x:t xml:space="preserve">🛍 Personal Day</x:t>
        </x:is>
      </x:c>
      <x:c r="P5" s="139" t="inlineStr">
        <x:is>
          <x:t xml:space="preserve">🟢 Final Full Day</x:t>
        </x:is>
      </x:c>
      <x:c r="Q5" s="139" t="inlineStr">
        <x:is>
          <x:t xml:space="preserve">🔵 Travel Home</x:t>
        </x:is>
      </x:c>
    </x:row>
    <x:row r="6">
      <x:c r="A6" s="139" t="inlineStr">
        <x:is>
          <x:t xml:space="preserve">USA / Flight</x:t>
        </x:is>
      </x:c>
      <x:c r="B6" s="139" t="inlineStr">
        <x:is>
          <x:t xml:space="preserve">Tokyo</x:t>
        </x:is>
      </x:c>
      <x:c r="C6" s="139" t="inlineStr">
        <x:is>
          <x:t xml:space="preserve">Tokyo</x:t>
        </x:is>
      </x:c>
      <x:c r="D6" s="139" t="inlineStr">
        <x:is>
          <x:t xml:space="preserve">Tokyo</x:t>
        </x:is>
      </x:c>
      <x:c r="E6" s="139" t="inlineStr">
        <x:is>
          <x:t xml:space="preserve">Tokyo</x:t>
        </x:is>
      </x:c>
      <x:c r="F6" s="139" t="inlineStr">
        <x:is>
          <x:t xml:space="preserve">Tokyo</x:t>
        </x:is>
      </x:c>
      <x:c r="G6" s="139" t="inlineStr">
        <x:is>
          <x:t xml:space="preserve">Hakone</x:t>
        </x:is>
      </x:c>
      <x:c r="H6" s="139" t="inlineStr">
        <x:is>
          <x:t xml:space="preserve">Kyoto</x:t>
        </x:is>
      </x:c>
      <x:c r="I6" s="139" t="inlineStr">
        <x:is>
          <x:t xml:space="preserve">Kyoto</x:t>
        </x:is>
      </x:c>
      <x:c r="J6" s="139" t="inlineStr">
        <x:is>
          <x:t xml:space="preserve">Kyoto</x:t>
        </x:is>
      </x:c>
      <x:c r="K6" s="139" t="inlineStr">
        <x:is>
          <x:t xml:space="preserve">Kyoto</x:t>
        </x:is>
      </x:c>
      <x:c r="L6" s="139" t="inlineStr">
        <x:is>
          <x:t xml:space="preserve">Nara</x:t>
        </x:is>
      </x:c>
      <x:c r="M6" s="139" t="inlineStr">
        <x:is>
          <x:t xml:space="preserve">Tokyo</x:t>
        </x:is>
      </x:c>
      <x:c r="N6" s="139" t="inlineStr">
        <x:is>
          <x:t xml:space="preserve">Tokyo</x:t>
        </x:is>
      </x:c>
      <x:c r="O6" s="139" t="inlineStr">
        <x:is>
          <x:t xml:space="preserve">Tokyo</x:t>
        </x:is>
      </x:c>
      <x:c r="P6" s="139" t="inlineStr">
        <x:is>
          <x:t xml:space="preserve">Tokyo</x:t>
        </x:is>
      </x:c>
      <x:c r="Q6" s="139" t="inlineStr">
        <x:is>
          <x:t xml:space="preserve">Tokyo / USA</x:t>
        </x:is>
      </x:c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13" style="146" customWidth="1"/>
    <x:col min="3" max="3" width="14" style="146" customWidth="1"/>
    <x:col min="4" max="4" width="14" style="146" customWidth="1"/>
    <x:col min="5" max="5" width="16" style="146" customWidth="1"/>
    <x:col min="6" max="6" width="14" style="146" customWidth="1"/>
    <x:col min="7" max="7" width="12" style="146" customWidth="1"/>
    <x:col min="8" max="8" width="12" style="146" customWidth="1"/>
    <x:col min="9" max="9" width="26" style="146" customWidth="1"/>
    <x:col min="10" max="10" width="28" style="146" customWidth="1"/>
    <x:col min="11" max="11" width="16" style="146" customWidth="1"/>
  </x:cols>
  <x:sheetData>
    <x:row r="1">
      <x:c r="A1" s="12" t="inlineStr">
        <x:is>
          <x:t xml:space="preserve">🎟 Reservations + Urgency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</x:row>
    <x:row r="4">
      <x:c r="A4" s="22" t="inlineStr">
        <x:is>
          <x:t xml:space="preserve">Item</x:t>
        </x:is>
      </x:c>
      <x:c r="B4" s="22" t="inlineStr">
        <x:is>
          <x:t xml:space="preserve">Type</x:t>
        </x:is>
      </x:c>
      <x:c r="C4" s="22" t="inlineStr">
        <x:is>
          <x:t xml:space="preserve">City</x:t>
        </x:is>
      </x:c>
      <x:c r="D4" s="22" t="inlineStr">
        <x:is>
          <x:t xml:space="preserve">Target Date</x:t>
        </x:is>
      </x:c>
      <x:c r="E4" s="22" t="inlineStr">
        <x:is>
          <x:t xml:space="preserve">Opens</x:t>
        </x:is>
      </x:c>
      <x:c r="F4" s="22" t="inlineStr">
        <x:is>
          <x:t xml:space="preserve">Status</x:t>
        </x:is>
      </x:c>
      <x:c r="G4" s="22" t="inlineStr">
        <x:is>
          <x:t xml:space="preserve">Owner</x:t>
        </x:is>
      </x:c>
      <x:c r="H4" s="22" t="inlineStr">
        <x:is>
          <x:t xml:space="preserve">Cost</x:t>
        </x:is>
      </x:c>
      <x:c r="I4" s="22" t="inlineStr">
        <x:is>
          <x:t xml:space="preserve">Link / QR</x:t>
        </x:is>
      </x:c>
      <x:c r="J4" s="22" t="inlineStr">
        <x:is>
          <x:t xml:space="preserve">Notes</x:t>
        </x:is>
      </x:c>
      <x:c r="K4" s="22" t="inlineStr">
        <x:is>
          <x:t xml:space="preserve">Urgency</x:t>
        </x:is>
      </x:c>
    </x:row>
    <x:row r="5">
      <x:c r="A5" s="17" t="inlineStr">
        <x:is>
          <x:t xml:space="preserve">JAL flights</x:t>
        </x:is>
      </x:c>
      <x:c r="B5" s="17" t="inlineStr">
        <x:is>
          <x:t xml:space="preserve">Flight</x:t>
        </x:is>
      </x:c>
      <x:c r="C5" s="17" t="inlineStr">
        <x:is>
          <x:t xml:space="preserve">All</x:t>
        </x:is>
      </x:c>
      <x:c r="D5" s="264" t="n">
        <x:v>46295</x:v>
      </x:c>
      <x:c r="E5" s="17" t="inlineStr">
        <x:is>
          <x:t xml:space="preserve">Now</x:t>
        </x:is>
      </x:c>
      <x:c r="F5" s="17" t="inlineStr">
        <x:is>
          <x:t xml:space="preserve">Watching</x:t>
        </x:is>
      </x:c>
      <x:c r="G5" s="17" t="inlineStr">
        <x:is>
          <x:t xml:space="preserve">David</x:t>
        </x:is>
      </x:c>
      <x:c r="H5" s="17" t="str"/>
      <x:c r="I5" s="17" t="str"/>
      <x:c r="J5" s="17" t="inlineStr">
        <x:is>
          <x:t xml:space="preserve">Coordinate LAX/BOS arrivals</x:t>
        </x:is>
      </x:c>
      <x:c r="K5" s="17" t="inlineStr">
        <x:is>
          <x:t xml:space="preserve">🔴 Book soon</x:t>
        </x:is>
      </x:c>
    </x:row>
    <x:row r="6">
      <x:c r="A6" s="17" t="inlineStr">
        <x:is>
          <x:t xml:space="preserve">Akasaka hotel 1</x:t>
        </x:is>
      </x:c>
      <x:c r="B6" s="17" t="inlineStr">
        <x:is>
          <x:t xml:space="preserve">Hotel</x:t>
        </x:is>
      </x:c>
      <x:c r="C6" s="17" t="inlineStr">
        <x:is>
          <x:t xml:space="preserve">Tokyo</x:t>
        </x:is>
      </x:c>
      <x:c r="D6" s="264" t="n">
        <x:v>46296</x:v>
      </x:c>
      <x:c r="E6" s="17" t="inlineStr">
        <x:is>
          <x:t xml:space="preserve">Now</x:t>
        </x:is>
      </x:c>
      <x:c r="F6" s="17" t="inlineStr">
        <x:is>
          <x:t xml:space="preserve">Not booked</x:t>
        </x:is>
      </x:c>
      <x:c r="G6" s="17" t="inlineStr">
        <x:is>
          <x:t xml:space="preserve">David</x:t>
        </x:is>
      </x:c>
      <x:c r="H6" s="17" t="str"/>
      <x:c r="I6" s="17" t="str"/>
      <x:c r="J6" s="17" t="inlineStr">
        <x:is>
          <x:t xml:space="preserve">5 nights</x:t>
        </x:is>
      </x:c>
      <x:c r="K6" s="17" t="inlineStr">
        <x:is>
          <x:t xml:space="preserve">🔴 Book soon</x:t>
        </x:is>
      </x:c>
    </x:row>
    <x:row r="7">
      <x:c r="A7" s="17" t="inlineStr">
        <x:is>
          <x:t xml:space="preserve">Hakone ryokan</x:t>
        </x:is>
      </x:c>
      <x:c r="B7" s="17" t="inlineStr">
        <x:is>
          <x:t xml:space="preserve">Hotel</x:t>
        </x:is>
      </x:c>
      <x:c r="C7" s="17" t="inlineStr">
        <x:is>
          <x:t xml:space="preserve">Hakone</x:t>
        </x:is>
      </x:c>
      <x:c r="D7" s="264" t="n">
        <x:v>46301</x:v>
      </x:c>
      <x:c r="E7" s="17" t="inlineStr">
        <x:is>
          <x:t xml:space="preserve">Now</x:t>
        </x:is>
      </x:c>
      <x:c r="F7" s="17" t="inlineStr">
        <x:is>
          <x:t xml:space="preserve">Not booked</x:t>
        </x:is>
      </x:c>
      <x:c r="G7" s="17" t="inlineStr">
        <x:is>
          <x:t xml:space="preserve">David</x:t>
        </x:is>
      </x:c>
      <x:c r="H7" s="17" t="str"/>
      <x:c r="I7" s="17" t="str"/>
      <x:c r="J7" s="17" t="inlineStr">
        <x:is>
          <x:t xml:space="preserve">Private onsen preferred</x:t>
        </x:is>
      </x:c>
      <x:c r="K7" s="17" t="inlineStr">
        <x:is>
          <x:t xml:space="preserve">🔴 High priority</x:t>
        </x:is>
      </x:c>
    </x:row>
    <x:row r="8">
      <x:c r="A8" s="17" t="inlineStr">
        <x:is>
          <x:t xml:space="preserve">Kyoto hotel</x:t>
        </x:is>
      </x:c>
      <x:c r="B8" s="17" t="inlineStr">
        <x:is>
          <x:t xml:space="preserve">Hotel</x:t>
        </x:is>
      </x:c>
      <x:c r="C8" s="17" t="inlineStr">
        <x:is>
          <x:t xml:space="preserve">Kyoto</x:t>
        </x:is>
      </x:c>
      <x:c r="D8" s="264" t="n">
        <x:v>46302</x:v>
      </x:c>
      <x:c r="E8" s="17" t="inlineStr">
        <x:is>
          <x:t xml:space="preserve">Now</x:t>
        </x:is>
      </x:c>
      <x:c r="F8" s="17" t="inlineStr">
        <x:is>
          <x:t xml:space="preserve">Not booked</x:t>
        </x:is>
      </x:c>
      <x:c r="G8" s="17" t="inlineStr">
        <x:is>
          <x:t xml:space="preserve">David</x:t>
        </x:is>
      </x:c>
      <x:c r="H8" s="17" t="str"/>
      <x:c r="I8" s="17" t="str"/>
      <x:c r="J8" s="17" t="inlineStr">
        <x:is>
          <x:t xml:space="preserve">Laundry helpful</x:t>
        </x:is>
      </x:c>
      <x:c r="K8" s="17" t="inlineStr">
        <x:is>
          <x:t xml:space="preserve">🔴 Book soon</x:t>
        </x:is>
      </x:c>
    </x:row>
    <x:row r="9">
      <x:c r="A9" s="17" t="inlineStr">
        <x:is>
          <x:t xml:space="preserve">Akasaka hotel 2</x:t>
        </x:is>
      </x:c>
      <x:c r="B9" s="17" t="inlineStr">
        <x:is>
          <x:t xml:space="preserve">Hotel</x:t>
        </x:is>
      </x:c>
      <x:c r="C9" s="17" t="inlineStr">
        <x:is>
          <x:t xml:space="preserve">Tokyo</x:t>
        </x:is>
      </x:c>
      <x:c r="D9" s="264" t="n">
        <x:v>46307</x:v>
      </x:c>
      <x:c r="E9" s="17" t="inlineStr">
        <x:is>
          <x:t xml:space="preserve">Now</x:t>
        </x:is>
      </x:c>
      <x:c r="F9" s="17" t="inlineStr">
        <x:is>
          <x:t xml:space="preserve">Not booked</x:t>
        </x:is>
      </x:c>
      <x:c r="G9" s="17" t="inlineStr">
        <x:is>
          <x:t xml:space="preserve">David</x:t>
        </x:is>
      </x:c>
      <x:c r="H9" s="17" t="str"/>
      <x:c r="I9" s="17" t="str"/>
      <x:c r="J9" s="17" t="inlineStr">
        <x:is>
          <x:t xml:space="preserve">Same hotel if possible</x:t>
        </x:is>
      </x:c>
      <x:c r="K9" s="17" t="inlineStr">
        <x:is>
          <x:t xml:space="preserve">🟡 Soon</x:t>
        </x:is>
      </x:c>
    </x:row>
    <x:row r="10">
      <x:c r="A10" s="17" t="inlineStr">
        <x:is>
          <x:t xml:space="preserve">Ghibli Museum</x:t>
        </x:is>
      </x:c>
      <x:c r="B10" s="17" t="inlineStr">
        <x:is>
          <x:t xml:space="preserve">Ticket</x:t>
        </x:is>
      </x:c>
      <x:c r="C10" s="17" t="inlineStr">
        <x:is>
          <x:t xml:space="preserve">Mitaka</x:t>
        </x:is>
      </x:c>
      <x:c r="D10" s="264" t="n">
        <x:v>46300</x:v>
      </x:c>
      <x:c r="E10" s="17" t="inlineStr">
        <x:is>
          <x:t xml:space="preserve">Official window</x:t>
        </x:is>
      </x:c>
      <x:c r="F10" s="17" t="inlineStr">
        <x:is>
          <x:t xml:space="preserve">Watching</x:t>
        </x:is>
      </x:c>
      <x:c r="G10" s="17" t="inlineStr">
        <x:is>
          <x:t xml:space="preserve">David</x:t>
        </x:is>
      </x:c>
      <x:c r="H10" s="17" t="str"/>
      <x:c r="I10" s="17" t="inlineStr">
        <x:is>
          <x:t xml:space="preserve">https://www.ghibli-museum.jp/en/tickets/</x:t>
        </x:is>
      </x:c>
      <x:c r="J10" s="17" t="inlineStr">
        <x:is>
          <x:t xml:space="preserve">Build around ticket slot</x:t>
        </x:is>
      </x:c>
      <x:c r="K10" s="17" t="inlineStr">
        <x:is>
          <x:t xml:space="preserve">🔴 Critical</x:t>
        </x:is>
      </x:c>
    </x:row>
    <x:row r="11">
      <x:c r="A11" s="17" t="inlineStr">
        <x:is>
          <x:t xml:space="preserve">teamLab</x:t>
        </x:is>
      </x:c>
      <x:c r="B11" s="17" t="inlineStr">
        <x:is>
          <x:t xml:space="preserve">Ticket</x:t>
        </x:is>
      </x:c>
      <x:c r="C11" s="17" t="inlineStr">
        <x:is>
          <x:t xml:space="preserve">Tokyo</x:t>
        </x:is>
      </x:c>
      <x:c r="D11" s="264" t="n">
        <x:v>46308</x:v>
      </x:c>
      <x:c r="E11" s="17" t="inlineStr">
        <x:is>
          <x:t xml:space="preserve">Check site</x:t>
        </x:is>
      </x:c>
      <x:c r="F11" s="17" t="inlineStr">
        <x:is>
          <x:t xml:space="preserve">Not booked</x:t>
        </x:is>
      </x:c>
      <x:c r="G11" s="17" t="inlineStr">
        <x:is>
          <x:t xml:space="preserve">David</x:t>
        </x:is>
      </x:c>
      <x:c r="H11" s="17" t="str"/>
      <x:c r="I11" s="17" t="str"/>
      <x:c r="J11" s="17" t="inlineStr">
        <x:is>
          <x:t xml:space="preserve">Flexible</x:t>
        </x:is>
      </x:c>
      <x:c r="K11" s="17" t="inlineStr">
        <x:is>
          <x:t xml:space="preserve">🟡 Optional</x:t>
        </x:is>
      </x:c>
    </x:row>
    <x:row r="12">
      <x:c r="A12" s="17" t="inlineStr">
        <x:is>
          <x:t xml:space="preserve">Shibuya Sky</x:t>
        </x:is>
      </x:c>
      <x:c r="B12" s="17" t="inlineStr">
        <x:is>
          <x:t xml:space="preserve">Ticket</x:t>
        </x:is>
      </x:c>
      <x:c r="C12" s="17" t="inlineStr">
        <x:is>
          <x:t xml:space="preserve">Tokyo</x:t>
        </x:is>
      </x:c>
      <x:c r="D12" s="264" t="n">
        <x:v>46299</x:v>
      </x:c>
      <x:c r="E12" s="17" t="inlineStr">
        <x:is>
          <x:t xml:space="preserve">Check site</x:t>
        </x:is>
      </x:c>
      <x:c r="F12" s="17" t="inlineStr">
        <x:is>
          <x:t xml:space="preserve">Not booked</x:t>
        </x:is>
      </x:c>
      <x:c r="G12" s="17" t="inlineStr">
        <x:is>
          <x:t xml:space="preserve">David</x:t>
        </x:is>
      </x:c>
      <x:c r="H12" s="17" t="str"/>
      <x:c r="I12" s="17" t="str"/>
      <x:c r="J12" s="17" t="inlineStr">
        <x:is>
          <x:t xml:space="preserve">Sunset</x:t>
        </x:is>
      </x:c>
      <x:c r="K12" s="17" t="inlineStr">
        <x:is>
          <x:t xml:space="preserve">🟡 Optional</x:t>
        </x:is>
      </x:c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</x:row>
  </x:sheetData>
  <x:dataValidations count="3">
    <x:dataValidation type="list" allowBlank="0" showDropDown="0" showInputMessage="0" showErrorMessage="0" sqref="F5:F50">
      <x:formula1>"Not booked,Watching,Booked,Paid,Cancelled,Skip"</x:formula1>
    </x:dataValidation>
    <x:dataValidation type="list" allowBlank="0" showDropDown="0" showInputMessage="0" showErrorMessage="0" sqref="F5:F100">
      <x:formula1>"Not booked,Watching,Booked,Paid,Cancelled,Skip"</x:formula1>
    </x:dataValidation>
    <x:dataValidation type="list" allowBlank="0" showDropDown="0" showInputMessage="0" showErrorMessage="0" sqref="G5:G100">
      <x:formula1>"David,Noelle,Nick,Hilda,All"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22" style="146" customWidth="1"/>
    <x:col min="3" max="3" width="18" style="146" customWidth="1"/>
    <x:col min="4" max="4" width="12" style="146" customWidth="1"/>
    <x:col min="5" max="5" width="14" style="146" customWidth="1"/>
    <x:col min="6" max="6" width="20" style="146" customWidth="1"/>
    <x:col min="7" max="7" width="20" style="146" customWidth="1"/>
    <x:col min="8" max="8" width="14" style="146" customWidth="1"/>
    <x:col min="9" max="9" width="18" style="146" customWidth="1"/>
    <x:col min="10" max="10" width="28" style="146" customWidth="1"/>
  </x:cols>
  <x:sheetData>
    <x:row r="1">
      <x:c r="A1" s="12" t="inlineStr">
        <x:is>
          <x:t xml:space="preserve">✈️ Flights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</x:row>
    <x:row r="4">
      <x:c r="A4" s="22" t="inlineStr">
        <x:is>
          <x:t xml:space="preserve">Group</x:t>
        </x:is>
      </x:c>
      <x:c r="B4" s="22" t="inlineStr">
        <x:is>
          <x:t xml:space="preserve">Travelers</x:t>
        </x:is>
      </x:c>
      <x:c r="C4" s="22" t="inlineStr">
        <x:is>
          <x:t xml:space="preserve">Route</x:t>
        </x:is>
      </x:c>
      <x:c r="D4" s="22" t="inlineStr">
        <x:is>
          <x:t xml:space="preserve">Airline</x:t>
        </x:is>
      </x:c>
      <x:c r="E4" s="22" t="inlineStr">
        <x:is>
          <x:t xml:space="preserve">Flight #</x:t>
        </x:is>
      </x:c>
      <x:c r="F4" s="22" t="inlineStr">
        <x:is>
          <x:t xml:space="preserve">Depart Date/Time</x:t>
        </x:is>
      </x:c>
      <x:c r="G4" s="22" t="inlineStr">
        <x:is>
          <x:t xml:space="preserve">Arrive Date/Time</x:t>
        </x:is>
      </x:c>
      <x:c r="H4" s="22" t="inlineStr">
        <x:is>
          <x:t xml:space="preserve">Airport</x:t>
        </x:is>
      </x:c>
      <x:c r="I4" s="22" t="inlineStr">
        <x:is>
          <x:t xml:space="preserve">Confirmation</x:t>
        </x:is>
      </x:c>
      <x:c r="J4" s="22" t="inlineStr">
        <x:is>
          <x:t xml:space="preserve">Notes</x:t>
        </x:is>
      </x:c>
    </x:row>
    <x:row r="5">
      <x:c r="A5" s="17" t="inlineStr">
        <x:is>
          <x:t xml:space="preserve">Group 1</x:t>
        </x:is>
      </x:c>
      <x:c r="B5" s="17" t="inlineStr">
        <x:is>
          <x:t xml:space="preserve">David + Noelle</x:t>
        </x:is>
      </x:c>
      <x:c r="C5" s="17" t="inlineStr">
        <x:is>
          <x:t xml:space="preserve">LAX → NRT</x:t>
        </x:is>
      </x:c>
      <x:c r="D5" s="17" t="inlineStr">
        <x:is>
          <x:t xml:space="preserve">JAL</x:t>
        </x:is>
      </x:c>
      <x:c r="E5" s="17" t="str"/>
      <x:c r="F5" s="288" t="n">
        <x:v>46321</x:v>
      </x:c>
      <x:c r="G5" s="288" t="str"/>
      <x:c r="H5" s="17" t="inlineStr">
        <x:is>
          <x:t xml:space="preserve">Narita</x:t>
        </x:is>
      </x:c>
      <x:c r="I5" s="17" t="str"/>
      <x:c r="J5" s="17" t="inlineStr">
        <x:is>
          <x:t xml:space="preserve">Try to arrive near Nick + Hilda</x:t>
        </x:is>
      </x:c>
    </x:row>
    <x:row r="6">
      <x:c r="A6" s="17" t="inlineStr">
        <x:is>
          <x:t xml:space="preserve">Group 2</x:t>
        </x:is>
      </x:c>
      <x:c r="B6" s="17" t="inlineStr">
        <x:is>
          <x:t xml:space="preserve">Nick + Hilda</x:t>
        </x:is>
      </x:c>
      <x:c r="C6" s="17" t="inlineStr">
        <x:is>
          <x:t xml:space="preserve">BOS → NRT</x:t>
        </x:is>
      </x:c>
      <x:c r="D6" s="17" t="inlineStr">
        <x:is>
          <x:t xml:space="preserve">JAL</x:t>
        </x:is>
      </x:c>
      <x:c r="E6" s="17" t="str"/>
      <x:c r="F6" s="288" t="n">
        <x:v>46321</x:v>
      </x:c>
      <x:c r="G6" s="288" t="str"/>
      <x:c r="H6" s="17" t="inlineStr">
        <x:is>
          <x:t xml:space="preserve">Narita</x:t>
        </x:is>
      </x:c>
      <x:c r="I6" s="17" t="str"/>
      <x:c r="J6" s="17" t="inlineStr">
        <x:is>
          <x:t xml:space="preserve">Likely connection; align arrival window</x:t>
        </x:is>
      </x:c>
    </x:row>
    <x:row r="7">
      <x:c r="A7" s="17" t="inlineStr">
        <x:is>
          <x:t xml:space="preserve">Group 1 Return</x:t>
        </x:is>
      </x:c>
      <x:c r="B7" s="17" t="inlineStr">
        <x:is>
          <x:t xml:space="preserve">David + Noelle</x:t>
        </x:is>
      </x:c>
      <x:c r="C7" s="17" t="inlineStr">
        <x:is>
          <x:t xml:space="preserve">NRT → LAX</x:t>
        </x:is>
      </x:c>
      <x:c r="D7" s="17" t="inlineStr">
        <x:is>
          <x:t xml:space="preserve">JAL</x:t>
        </x:is>
      </x:c>
      <x:c r="E7" s="17" t="str"/>
      <x:c r="F7" s="288" t="n">
        <x:v>46337</x:v>
      </x:c>
      <x:c r="G7" s="288" t="str"/>
      <x:c r="H7" s="17" t="inlineStr">
        <x:is>
          <x:t xml:space="preserve">Narita</x:t>
        </x:is>
      </x:c>
      <x:c r="I7" s="17" t="str"/>
      <x:c r="J7" s="17" t="str"/>
    </x:row>
    <x:row r="8">
      <x:c r="A8" s="17" t="inlineStr">
        <x:is>
          <x:t xml:space="preserve">Group 2 Return</x:t>
        </x:is>
      </x:c>
      <x:c r="B8" s="17" t="inlineStr">
        <x:is>
          <x:t xml:space="preserve">Nick + Hilda</x:t>
        </x:is>
      </x:c>
      <x:c r="C8" s="17" t="inlineStr">
        <x:is>
          <x:t xml:space="preserve">NRT → BOS</x:t>
        </x:is>
      </x:c>
      <x:c r="D8" s="17" t="inlineStr">
        <x:is>
          <x:t xml:space="preserve">JAL</x:t>
        </x:is>
      </x:c>
      <x:c r="E8" s="17" t="str"/>
      <x:c r="F8" s="288" t="n">
        <x:v>46337</x:v>
      </x:c>
      <x:c r="G8" s="288" t="str"/>
      <x:c r="H8" s="17" t="inlineStr">
        <x:is>
          <x:t xml:space="preserve">Narita</x:t>
        </x:is>
      </x:c>
      <x:c r="I8" s="17" t="str"/>
      <x:c r="J8" s="17" t="str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4" style="146" customWidth="1"/>
    <x:col min="3" max="3" width="24" style="146" customWidth="1"/>
    <x:col min="4" max="4" width="14" style="146" customWidth="1"/>
    <x:col min="5" max="5" width="14" style="146" customWidth="1"/>
    <x:col min="6" max="6" width="10" style="146" customWidth="1"/>
    <x:col min="7" max="7" width="28" style="146" customWidth="1"/>
    <x:col min="8" max="8" width="16" style="146" customWidth="1"/>
    <x:col min="9" max="9" width="24" style="146" customWidth="1"/>
    <x:col min="10" max="10" width="20" style="146" customWidth="1"/>
    <x:col min="11" max="11" width="30" style="146" customWidth="1"/>
  </x:cols>
  <x:sheetData>
    <x:row r="1">
      <x:c r="A1" s="12" t="inlineStr">
        <x:is>
          <x:t xml:space="preserve">🏨 Hotels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</x:row>
    <x:row r="4">
      <x:c r="A4" s="22" t="inlineStr">
        <x:is>
          <x:t xml:space="preserve">City</x:t>
        </x:is>
      </x:c>
      <x:c r="B4" s="22" t="inlineStr">
        <x:is>
          <x:t xml:space="preserve">Area</x:t>
        </x:is>
      </x:c>
      <x:c r="C4" s="22" t="inlineStr">
        <x:is>
          <x:t xml:space="preserve">Hotel</x:t>
        </x:is>
      </x:c>
      <x:c r="D4" s="22" t="inlineStr">
        <x:is>
          <x:t xml:space="preserve">Check-in</x:t>
        </x:is>
      </x:c>
      <x:c r="E4" s="22" t="inlineStr">
        <x:is>
          <x:t xml:space="preserve">Check-out</x:t>
        </x:is>
      </x:c>
      <x:c r="F4" s="22" t="inlineStr">
        <x:is>
          <x:t xml:space="preserve">Nights</x:t>
        </x:is>
      </x:c>
      <x:c r="G4" s="22" t="inlineStr">
        <x:is>
          <x:t xml:space="preserve">Address</x:t>
        </x:is>
      </x:c>
      <x:c r="H4" s="22" t="inlineStr">
        <x:is>
          <x:t xml:space="preserve">Phone</x:t>
        </x:is>
      </x:c>
      <x:c r="I4" s="22" t="inlineStr">
        <x:is>
          <x:t xml:space="preserve">Nearest Station</x:t>
        </x:is>
      </x:c>
      <x:c r="J4" s="22" t="inlineStr">
        <x:is>
          <x:t xml:space="preserve">Maps Link</x:t>
        </x:is>
      </x:c>
      <x:c r="K4" s="22" t="inlineStr">
        <x:is>
          <x:t xml:space="preserve">Notes</x:t>
        </x:is>
      </x:c>
    </x:row>
    <x:row r="5">
      <x:c r="A5" s="17" t="str">
        <x:v>Tokyo</x:v>
      </x:c>
      <x:c r="B5" s="17" t="str">
        <x:v>Akasaka</x:v>
      </x:c>
      <x:c r="C5" s="17"/>
      <x:c r="D5" s="288" t="n">
        <x:v>46322</x:v>
      </x:c>
      <x:c r="E5" s="288" t="n">
        <x:v>46328</x:v>
      </x:c>
      <x:c r="F5" s="269" t="n">
        <x:v>6</x:v>
      </x:c>
      <x:c r="G5" s="17"/>
      <x:c r="H5" s="17"/>
      <x:c r="I5" s="17" t="str">
        <x:v>Akasaka / Akasaka-mitsuke</x:v>
      </x:c>
      <x:c r="J5" s="17"/>
      <x:c r="K5" s="17" t="str">
        <x:v>Ask about luggage storage for return stay</x:v>
      </x:c>
    </x:row>
    <x:row r="6">
      <x:c r="A6" s="17" t="str">
        <x:v>Hakone</x:v>
      </x:c>
      <x:c r="B6" s="17" t="str">
        <x:v>Gora / Miyanoshita / Hakone-Yumoto</x:v>
      </x:c>
      <x:c r="C6" s="17"/>
      <x:c r="D6" s="288" t="n">
        <x:v>46328</x:v>
      </x:c>
      <x:c r="E6" s="288" t="n">
        <x:v>46329</x:v>
      </x:c>
      <x:c r="F6" s="269" t="n">
        <x:v>1</x:v>
      </x:c>
      <x:c r="G6" s="17"/>
      <x:c r="H6" s="17"/>
      <x:c r="I6" s="17"/>
      <x:c r="J6" s="17"/>
      <x:c r="K6" s="17" t="str">
        <x:v>Confirm gluten-free and lactose-free ryokan meals before booking</x:v>
      </x:c>
    </x:row>
    <x:row r="7">
      <x:c r="A7" s="17" t="str">
        <x:v>Kyoto</x:v>
      </x:c>
      <x:c r="B7" s="17" t="str">
        <x:v>Central / Kyoto Station / Sanjo</x:v>
      </x:c>
      <x:c r="C7" s="17"/>
      <x:c r="D7" s="288" t="n">
        <x:v>46329</x:v>
      </x:c>
      <x:c r="E7" s="288" t="n">
        <x:v>46332</x:v>
      </x:c>
      <x:c r="F7" s="269" t="n">
        <x:v>3</x:v>
      </x:c>
      <x:c r="G7" s="17"/>
      <x:c r="H7" s="17"/>
      <x:c r="I7" s="17"/>
      <x:c r="J7" s="17"/>
      <x:c r="K7" s="17" t="str">
        <x:v>Good transit + laundry preferred</x:v>
      </x:c>
    </x:row>
    <x:row r="8">
      <x:c r="A8" s="17" t="str">
        <x:v>Osaka</x:v>
      </x:c>
      <x:c r="B8" s="17" t="str">
        <x:v>Namba / Shinsaibashi / Umeda</x:v>
      </x:c>
      <x:c r="C8" s="17"/>
      <x:c r="D8" s="288" t="n">
        <x:v>46332</x:v>
      </x:c>
      <x:c r="E8" s="288" t="n">
        <x:v>46334</x:v>
      </x:c>
      <x:c r="F8" s="269" t="n">
        <x:v>2</x:v>
      </x:c>
      <x:c r="G8" s="17"/>
      <x:c r="H8" s="17"/>
      <x:c r="I8" s="17"/>
      <x:c r="J8" s="17"/>
      <x:c r="K8" s="17" t="str">
        <x:v>Near food and easy Shinkansen access</x:v>
      </x:c>
    </x:row>
    <x:row r="9">
      <x:c r="A9" s="5" t="str">
        <x:v>Tokyo</x:v>
      </x:c>
      <x:c r="B9" s="5" t="str">
        <x:v>Akasaka</x:v>
      </x:c>
      <x:c r="C9" s="5"/>
      <x:c r="D9" s="381" t="n">
        <x:v>46334</x:v>
      </x:c>
      <x:c r="E9" s="381" t="n">
        <x:v>46337</x:v>
      </x:c>
      <x:c r="F9" s="5" t="n">
        <x:v>3</x:v>
      </x:c>
      <x:c r="G9" s="5"/>
      <x:c r="H9" s="5"/>
      <x:c r="I9" s="5" t="str">
        <x:v>Akasaka / Akasaka-mitsuke</x:v>
      </x:c>
      <x:c r="J9" s="5"/>
      <x:c r="K9" s="5" t="str">
        <x:v>Same hotel if possible</x:v>
      </x:c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2" style="146" customWidth="1"/>
    <x:col min="3" max="3" width="28" style="146" customWidth="1"/>
    <x:col min="4" max="4" width="14" style="146" customWidth="1"/>
    <x:col min="5" max="5" width="14" style="146" customWidth="1"/>
    <x:col min="6" max="6" width="14" style="146" customWidth="1"/>
    <x:col min="7" max="7" width="22" style="146" customWidth="1"/>
    <x:col min="8" max="8" width="32" style="146" customWidth="1"/>
  </x:cols>
  <x:sheetData>
    <x:row r="1">
      <x:c r="A1" s="12" t="inlineStr">
        <x:is>
          <x:t xml:space="preserve">🚆 Transit + Train Tips</x:t>
        </x:is>
      </x:c>
      <x:c r="B1" s="12" t="n"/>
      <x:c r="C1" s="12" t="n"/>
      <x:c r="D1" s="12" t="n"/>
      <x:c r="E1" s="12" t="n"/>
      <x:c r="F1" s="12" t="n"/>
      <x:c r="G1" s="12" t="n"/>
      <x:c r="H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</x:row>
    <x:row r="4">
      <x:c r="A4" s="22" t="inlineStr">
        <x:is>
          <x:t xml:space="preserve">Date</x:t>
        </x:is>
      </x:c>
      <x:c r="B4" s="22" t="inlineStr">
        <x:is>
          <x:t xml:space="preserve">Route</x:t>
        </x:is>
      </x:c>
      <x:c r="C4" s="22" t="inlineStr">
        <x:is>
          <x:t xml:space="preserve">Method</x:t>
        </x:is>
      </x:c>
      <x:c r="D4" s="22" t="inlineStr">
        <x:is>
          <x:t xml:space="preserve">From</x:t>
        </x:is>
      </x:c>
      <x:c r="E4" s="22" t="inlineStr">
        <x:is>
          <x:t xml:space="preserve">To</x:t>
        </x:is>
      </x:c>
      <x:c r="F4" s="22" t="inlineStr">
        <x:is>
          <x:t xml:space="preserve">Reserved?</x:t>
        </x:is>
      </x:c>
      <x:c r="G4" s="22" t="inlineStr">
        <x:is>
          <x:t xml:space="preserve">Luggage Plan</x:t>
        </x:is>
      </x:c>
      <x:c r="H4" s="22" t="inlineStr">
        <x:is>
          <x:t xml:space="preserve">Notes</x:t>
        </x:is>
      </x:c>
    </x:row>
    <x:row r="5">
      <x:c r="A5" s="288" t="n">
        <x:v>46322</x:v>
      </x:c>
      <x:c r="B5" s="17" t="str">
        <x:v>Narita → Akasaka</x:v>
      </x:c>
      <x:c r="C5" s="17" t="str">
        <x:v>Narita Express + metro/taxi</x:v>
      </x:c>
      <x:c r="D5" s="17" t="str">
        <x:v>NRT</x:v>
      </x:c>
      <x:c r="E5" s="17" t="str">
        <x:v>Akasaka</x:v>
      </x:c>
      <x:c r="F5" s="17" t="str">
        <x:v>Yes for NEX</x:v>
      </x:c>
      <x:c r="G5" s="17" t="str">
        <x:v>All bags</x:v>
      </x:c>
      <x:c r="H5" s="17" t="str">
        <x:v>Keep arrival easy</x:v>
      </x:c>
    </x:row>
    <x:row r="6">
      <x:c r="A6" s="288" t="n">
        <x:v>46328</x:v>
      </x:c>
      <x:c r="B6" s="17" t="str">
        <x:v>Tokyo → Hakone</x:v>
      </x:c>
      <x:c r="C6" s="17" t="str">
        <x:v>Romancecar / JR + local</x:v>
      </x:c>
      <x:c r="D6" s="17" t="str">
        <x:v>Akasaka</x:v>
      </x:c>
      <x:c r="E6" s="17" t="str">
        <x:v>Hakone</x:v>
      </x:c>
      <x:c r="F6" s="17" t="str">
        <x:v>Optional</x:v>
      </x:c>
      <x:c r="G6" s="17" t="str">
        <x:v>Overnight bags only</x:v>
      </x:c>
      <x:c r="H6" s="17" t="str">
        <x:v>Forward large bags to Kyoto</x:v>
      </x:c>
    </x:row>
    <x:row r="7">
      <x:c r="A7" s="288" t="n">
        <x:v>46329</x:v>
      </x:c>
      <x:c r="B7" s="17" t="str">
        <x:v>Hakone → Kyoto</x:v>
      </x:c>
      <x:c r="C7" s="17" t="str">
        <x:v>Local + Shinkansen</x:v>
      </x:c>
      <x:c r="D7" s="17" t="str">
        <x:v>Hakone</x:v>
      </x:c>
      <x:c r="E7" s="17" t="str">
        <x:v>Kyoto</x:v>
      </x:c>
      <x:c r="F7" s="17" t="str">
        <x:v>Yes</x:v>
      </x:c>
      <x:c r="G7" s="17" t="str">
        <x:v>Large bags forwarded</x:v>
      </x:c>
      <x:c r="H7" s="17" t="str">
        <x:v>Reserve seats together</x:v>
      </x:c>
    </x:row>
    <x:row r="8">
      <x:c r="A8" s="288" t="n">
        <x:v>46332</x:v>
      </x:c>
      <x:c r="B8" s="17" t="str">
        <x:v>Kyoto → Osaka</x:v>
      </x:c>
      <x:c r="C8" s="17" t="str">
        <x:v>JR / Shinkansen</x:v>
      </x:c>
      <x:c r="D8" s="17" t="str">
        <x:v>Kyoto</x:v>
      </x:c>
      <x:c r="E8" s="17" t="str">
        <x:v>Osaka</x:v>
      </x:c>
      <x:c r="F8" s="17" t="str">
        <x:v>Optional</x:v>
      </x:c>
      <x:c r="G8" s="17" t="str">
        <x:v>All bags or forward</x:v>
      </x:c>
      <x:c r="H8" s="17" t="str">
        <x:v>Avoid peak commute with luggage</x:v>
      </x:c>
    </x:row>
    <x:row r="9">
      <x:c r="A9" s="288" t="n">
        <x:v>46334</x:v>
      </x:c>
      <x:c r="B9" s="17" t="str">
        <x:v>Osaka → Tokyo</x:v>
      </x:c>
      <x:c r="C9" s="17" t="str">
        <x:v>Shinkansen</x:v>
      </x:c>
      <x:c r="D9" s="17" t="str">
        <x:v>Osaka</x:v>
      </x:c>
      <x:c r="E9" s="17" t="str">
        <x:v>Tokyo</x:v>
      </x:c>
      <x:c r="F9" s="17" t="str">
        <x:v>Yes</x:v>
      </x:c>
      <x:c r="G9" s="17" t="str">
        <x:v>All bags or forward</x:v>
      </x:c>
      <x:c r="H9" s="17" t="str">
        <x:v>Reserve seats</x:v>
      </x:c>
    </x:row>
    <x:row r="10">
      <x:c r="A10" s="381" t="n">
        <x:v>46337</x:v>
      </x:c>
      <x:c r="B10" s="5" t="str">
        <x:v>Akasaka → Narita</x:v>
      </x:c>
      <x:c r="C10" s="5" t="str">
        <x:v>Narita Express / Skyliner / taxi</x:v>
      </x:c>
      <x:c r="D10" s="5" t="str">
        <x:v>Akasaka</x:v>
      </x:c>
      <x:c r="E10" s="5" t="str">
        <x:v>NRT</x:v>
      </x:c>
      <x:c r="F10" s="5" t="str">
        <x:v>Yes if NEX</x:v>
      </x:c>
      <x:c r="G10" s="5" t="str">
        <x:v>All bags</x:v>
      </x:c>
      <x:c r="H10" s="5" t="str">
        <x:v>Leave lots of time</x:v>
      </x:c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6" style="146" customWidth="1"/>
    <x:col min="3" max="3" width="12" style="146" customWidth="1"/>
    <x:col min="4" max="4" width="12" style="146" customWidth="1"/>
    <x:col min="5" max="5" width="12" style="146" customWidth="1"/>
    <x:col min="6" max="6" width="12" style="146" customWidth="1"/>
    <x:col min="7" max="7" width="34" style="146" customWidth="1"/>
  </x:cols>
  <x:sheetData>
    <x:row r="1">
      <x:c r="A1" s="12" t="inlineStr">
        <x:is>
          <x:t xml:space="preserve">🧳 Packing Checklist</x:t>
        </x:is>
      </x:c>
      <x:c r="B1" s="12" t="n"/>
      <x:c r="C1" s="12" t="n"/>
      <x:c r="D1" s="12" t="n"/>
      <x:c r="E1" s="12" t="n"/>
      <x:c r="F1" s="12" t="n"/>
      <x:c r="G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</x:row>
    <x:row r="3">
      <x:c r="A3" s="5" t="n"/>
      <x:c r="B3" s="5" t="n"/>
      <x:c r="C3" s="5" t="n"/>
      <x:c r="D3" s="5" t="n"/>
      <x:c r="E3" s="5" t="n"/>
      <x:c r="F3" s="5" t="n"/>
      <x:c r="G3" s="5" t="n"/>
    </x:row>
    <x:row r="4">
      <x:c r="A4" s="22" t="inlineStr">
        <x:is>
          <x:t xml:space="preserve">Category</x:t>
        </x:is>
      </x:c>
      <x:c r="B4" s="22" t="inlineStr">
        <x:is>
          <x:t xml:space="preserve">Item</x:t>
        </x:is>
      </x:c>
      <x:c r="C4" s="22" t="inlineStr">
        <x:is>
          <x:t xml:space="preserve">David</x:t>
        </x:is>
      </x:c>
      <x:c r="D4" s="22" t="inlineStr">
        <x:is>
          <x:t xml:space="preserve">Noelle</x:t>
        </x:is>
      </x:c>
      <x:c r="E4" s="22" t="inlineStr">
        <x:is>
          <x:t xml:space="preserve">Nick</x:t>
        </x:is>
      </x:c>
      <x:c r="F4" s="22" t="inlineStr">
        <x:is>
          <x:t xml:space="preserve">Hilda</x:t>
        </x:is>
      </x:c>
      <x:c r="G4" s="22" t="inlineStr">
        <x:is>
          <x:t xml:space="preserve">Notes</x:t>
        </x:is>
      </x:c>
    </x:row>
    <x:row r="5">
      <x:c r="A5" s="17" t="inlineStr">
        <x:is>
          <x:t xml:space="preserve">Pre-trip</x:t>
        </x:is>
      </x:c>
      <x:c r="B5" s="17" t="inlineStr">
        <x:is>
          <x:t xml:space="preserve">Passport valid</x:t>
        </x:is>
      </x:c>
      <x:c r="C5" s="17" t="inlineStr">
        <x:is>
          <x:t xml:space="preserve">☐</x:t>
        </x:is>
      </x:c>
      <x:c r="D5" s="17" t="inlineStr">
        <x:is>
          <x:t xml:space="preserve">☐</x:t>
        </x:is>
      </x:c>
      <x:c r="E5" s="17" t="inlineStr">
        <x:is>
          <x:t xml:space="preserve">☐</x:t>
        </x:is>
      </x:c>
      <x:c r="F5" s="17" t="inlineStr">
        <x:is>
          <x:t xml:space="preserve">☐</x:t>
        </x:is>
      </x:c>
      <x:c r="G5" s="17" t="inlineStr">
        <x:is>
          <x:t xml:space="preserve">Renew if needed</x:t>
        </x:is>
      </x:c>
    </x:row>
    <x:row r="6">
      <x:c r="A6" s="17" t="inlineStr">
        <x:is>
          <x:t xml:space="preserve">Pre-trip</x:t>
        </x:is>
      </x:c>
      <x:c r="B6" s="17" t="inlineStr">
        <x:is>
          <x:t xml:space="preserve">Visit Japan Web QR</x:t>
        </x:is>
      </x:c>
      <x:c r="C6" s="17" t="inlineStr">
        <x:is>
          <x:t xml:space="preserve">☐</x:t>
        </x:is>
      </x:c>
      <x:c r="D6" s="17" t="inlineStr">
        <x:is>
          <x:t xml:space="preserve">☐</x:t>
        </x:is>
      </x:c>
      <x:c r="E6" s="17" t="inlineStr">
        <x:is>
          <x:t xml:space="preserve">☐</x:t>
        </x:is>
      </x:c>
      <x:c r="F6" s="17" t="inlineStr">
        <x:is>
          <x:t xml:space="preserve">☐</x:t>
        </x:is>
      </x:c>
      <x:c r="G6" s="17" t="inlineStr">
        <x:is>
          <x:t xml:space="preserve">Do before flight</x:t>
        </x:is>
      </x:c>
    </x:row>
    <x:row r="7">
      <x:c r="A7" s="17" t="inlineStr">
        <x:is>
          <x:t xml:space="preserve">Pre-trip</x:t>
        </x:is>
      </x:c>
      <x:c r="B7" s="17" t="inlineStr">
        <x:is>
          <x:t xml:space="preserve">eSIM / roaming</x:t>
        </x:is>
      </x:c>
      <x:c r="C7" s="17" t="inlineStr">
        <x:is>
          <x:t xml:space="preserve">☐</x:t>
        </x:is>
      </x:c>
      <x:c r="D7" s="17" t="inlineStr">
        <x:is>
          <x:t xml:space="preserve">☐</x:t>
        </x:is>
      </x:c>
      <x:c r="E7" s="17" t="inlineStr">
        <x:is>
          <x:t xml:space="preserve">☐</x:t>
        </x:is>
      </x:c>
      <x:c r="F7" s="17" t="inlineStr">
        <x:is>
          <x:t xml:space="preserve">☐</x:t>
        </x:is>
      </x:c>
      <x:c r="G7" s="17" t="inlineStr">
        <x:is>
          <x:t xml:space="preserve">12 GB / 10 days was a useful prior reference</x:t>
        </x:is>
      </x:c>
    </x:row>
    <x:row r="8">
      <x:c r="A8" s="17" t="inlineStr">
        <x:is>
          <x:t xml:space="preserve">Pre-trip</x:t>
        </x:is>
      </x:c>
      <x:c r="B8" s="17" t="inlineStr">
        <x:is>
          <x:t xml:space="preserve">Offline Google Maps</x:t>
        </x:is>
      </x:c>
      <x:c r="C8" s="17" t="inlineStr">
        <x:is>
          <x:t xml:space="preserve">☐</x:t>
        </x:is>
      </x:c>
      <x:c r="D8" s="17" t="inlineStr">
        <x:is>
          <x:t xml:space="preserve">☐</x:t>
        </x:is>
      </x:c>
      <x:c r="E8" s="17" t="inlineStr">
        <x:is>
          <x:t xml:space="preserve">☐</x:t>
        </x:is>
      </x:c>
      <x:c r="F8" s="17" t="inlineStr">
        <x:is>
          <x:t xml:space="preserve">☐</x:t>
        </x:is>
      </x:c>
      <x:c r="G8" s="17" t="inlineStr">
        <x:is>
          <x:t xml:space="preserve">Download Tokyo/Kyoto/Hakone/Nara</x:t>
        </x:is>
      </x:c>
    </x:row>
    <x:row r="9">
      <x:c r="A9" s="17" t="inlineStr">
        <x:is>
          <x:t xml:space="preserve">Electronics</x:t>
        </x:is>
      </x:c>
      <x:c r="B9" s="17" t="inlineStr">
        <x:is>
          <x:t xml:space="preserve">Battery bank</x:t>
        </x:is>
      </x:c>
      <x:c r="C9" s="17" t="inlineStr">
        <x:is>
          <x:t xml:space="preserve">☐</x:t>
        </x:is>
      </x:c>
      <x:c r="D9" s="17" t="inlineStr">
        <x:is>
          <x:t xml:space="preserve">☐</x:t>
        </x:is>
      </x:c>
      <x:c r="E9" s="17" t="inlineStr">
        <x:is>
          <x:t xml:space="preserve">☐</x:t>
        </x:is>
      </x:c>
      <x:c r="F9" s="17" t="inlineStr">
        <x:is>
          <x:t xml:space="preserve">☐</x:t>
        </x:is>
      </x:c>
      <x:c r="G9" s="17" t="inlineStr">
        <x:is>
          <x:t xml:space="preserve">Bring at least one charger battery</x:t>
        </x:is>
      </x:c>
    </x:row>
    <x:row r="10">
      <x:c r="A10" s="17" t="inlineStr">
        <x:is>
          <x:t xml:space="preserve">Electronics</x:t>
        </x:is>
      </x:c>
      <x:c r="B10" s="17" t="inlineStr">
        <x:is>
          <x:t xml:space="preserve">USB-C adapter</x:t>
        </x:is>
      </x:c>
      <x:c r="C10" s="17" t="inlineStr">
        <x:is>
          <x:t xml:space="preserve">☐</x:t>
        </x:is>
      </x:c>
      <x:c r="D10" s="17" t="inlineStr">
        <x:is>
          <x:t xml:space="preserve">☐</x:t>
        </x:is>
      </x:c>
      <x:c r="E10" s="17" t="inlineStr">
        <x:is>
          <x:t xml:space="preserve">☐</x:t>
        </x:is>
      </x:c>
      <x:c r="F10" s="17" t="inlineStr">
        <x:is>
          <x:t xml:space="preserve">☐</x:t>
        </x:is>
      </x:c>
      <x:c r="G10" s="17" t="inlineStr">
        <x:is>
          <x:t xml:space="preserve">Japan outlets lack the third ground prong</x:t>
        </x:is>
      </x:c>
    </x:row>
    <x:row r="11">
      <x:c r="A11" s="17" t="inlineStr">
        <x:is>
          <x:t xml:space="preserve">Clothing</x:t>
        </x:is>
      </x:c>
      <x:c r="B11" s="17" t="inlineStr">
        <x:is>
          <x:t xml:space="preserve">Very comfortable shoes</x:t>
        </x:is>
      </x:c>
      <x:c r="C11" s="17" t="inlineStr">
        <x:is>
          <x:t xml:space="preserve">☐</x:t>
        </x:is>
      </x:c>
      <x:c r="D11" s="17" t="inlineStr">
        <x:is>
          <x:t xml:space="preserve">☐</x:t>
        </x:is>
      </x:c>
      <x:c r="E11" s="17" t="inlineStr">
        <x:is>
          <x:t xml:space="preserve">☐</x:t>
        </x:is>
      </x:c>
      <x:c r="F11" s="17" t="inlineStr">
        <x:is>
          <x:t xml:space="preserve">☐</x:t>
        </x:is>
      </x:c>
      <x:c r="G11" s="17" t="inlineStr">
        <x:is>
          <x:t xml:space="preserve">Critical</x:t>
        </x:is>
      </x:c>
    </x:row>
    <x:row r="12">
      <x:c r="A12" s="17" t="inlineStr">
        <x:is>
          <x:t xml:space="preserve">Clothing</x:t>
        </x:is>
      </x:c>
      <x:c r="B12" s="17" t="inlineStr">
        <x:is>
          <x:t xml:space="preserve">Light jacket / rain shell</x:t>
        </x:is>
      </x:c>
      <x:c r="C12" s="17" t="inlineStr">
        <x:is>
          <x:t xml:space="preserve">☐</x:t>
        </x:is>
      </x:c>
      <x:c r="D12" s="17" t="inlineStr">
        <x:is>
          <x:t xml:space="preserve">☐</x:t>
        </x:is>
      </x:c>
      <x:c r="E12" s="17" t="inlineStr">
        <x:is>
          <x:t xml:space="preserve">☐</x:t>
        </x:is>
      </x:c>
      <x:c r="F12" s="17" t="inlineStr">
        <x:is>
          <x:t xml:space="preserve">☐</x:t>
        </x:is>
      </x:c>
      <x:c r="G12" s="17" t="inlineStr">
        <x:is>
          <x:t xml:space="preserve">October evenings/rain</x:t>
        </x:is>
      </x:c>
    </x:row>
    <x:row r="13">
      <x:c r="A13" s="17" t="inlineStr">
        <x:is>
          <x:t xml:space="preserve">Luggage</x:t>
        </x:is>
      </x:c>
      <x:c r="B13" s="17" t="inlineStr">
        <x:is>
          <x:t xml:space="preserve">Overnight Hakone bag</x:t>
        </x:is>
      </x:c>
      <x:c r="C13" s="17" t="inlineStr">
        <x:is>
          <x:t xml:space="preserve">☐</x:t>
        </x:is>
      </x:c>
      <x:c r="D13" s="17" t="inlineStr">
        <x:is>
          <x:t xml:space="preserve">☐</x:t>
        </x:is>
      </x:c>
      <x:c r="E13" s="17" t="inlineStr">
        <x:is>
          <x:t xml:space="preserve">☐</x:t>
        </x:is>
      </x:c>
      <x:c r="F13" s="17" t="inlineStr">
        <x:is>
          <x:t xml:space="preserve">☐</x:t>
        </x:is>
      </x:c>
      <x:c r="G13" s="17" t="inlineStr">
        <x:is>
          <x:t xml:space="preserve">Big luggage forwarded</x:t>
        </x:is>
      </x:c>
    </x:row>
    <x:row r="14">
      <x:c r="A14" s="17" t="inlineStr">
        <x:is>
          <x:t xml:space="preserve">Luggage</x:t>
        </x:is>
      </x:c>
      <x:c r="B14" s="17" t="inlineStr">
        <x:is>
          <x:t xml:space="preserve">Extra souvenir space</x:t>
        </x:is>
      </x:c>
      <x:c r="C14" s="17" t="inlineStr">
        <x:is>
          <x:t xml:space="preserve">☐</x:t>
        </x:is>
      </x:c>
      <x:c r="D14" s="17" t="inlineStr">
        <x:is>
          <x:t xml:space="preserve">☐</x:t>
        </x:is>
      </x:c>
      <x:c r="E14" s="17" t="inlineStr">
        <x:is>
          <x:t xml:space="preserve">☐</x:t>
        </x:is>
      </x:c>
      <x:c r="F14" s="17" t="inlineStr">
        <x:is>
          <x:t xml:space="preserve">☐</x:t>
        </x:is>
      </x:c>
      <x:c r="G14" s="17" t="inlineStr">
        <x:is>
          <x:t xml:space="preserve">Small suitcase inside larger suitcase idea</x:t>
        </x:is>
      </x:c>
    </x:row>
    <x:row r="15">
      <x:c r="A15" s="5" t="n"/>
      <x:c r="B15" s="5" t="n"/>
      <x:c r="C15" s="5" t="n"/>
      <x:c r="D15" s="5" t="n"/>
      <x:c r="E15" s="5" t="n"/>
      <x:c r="F15" s="5" t="n"/>
      <x:c r="G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14" style="146" customWidth="1"/>
    <x:col min="4" max="4" width="18" style="146" customWidth="1"/>
    <x:col min="5" max="5" width="30" style="146" customWidth="1"/>
    <x:col min="6" max="6" width="12" style="146" customWidth="1"/>
    <x:col min="7" max="7" width="16" style="146" customWidth="1"/>
    <x:col min="8" max="8" width="10" style="146" customWidth="1"/>
    <x:col min="9" max="9" width="32" style="146" customWidth="1"/>
  </x:cols>
  <x:sheetData>
    <x:row r="1">
      <x:c r="A1" s="12" t="inlineStr">
        <x:is>
          <x:t xml:space="preserve">🧳 Luggage Forwarding Flow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</x:row>
    <x:row r="4">
      <x:c r="A4" s="22" t="inlineStr">
        <x:is>
          <x:t xml:space="preserve">Date</x:t>
        </x:is>
      </x:c>
      <x:c r="B4" s="22" t="inlineStr">
        <x:is>
          <x:t xml:space="preserve">From</x:t>
        </x:is>
      </x:c>
      <x:c r="C4" s="22" t="inlineStr">
        <x:is>
          <x:t xml:space="preserve">To</x:t>
        </x:is>
      </x:c>
      <x:c r="D4" s="22" t="inlineStr">
        <x:is>
          <x:t xml:space="preserve">Bag Type</x:t>
        </x:is>
      </x:c>
      <x:c r="E4" s="22" t="inlineStr">
        <x:is>
          <x:t xml:space="preserve">Action</x:t>
        </x:is>
      </x:c>
      <x:c r="F4" s="22" t="inlineStr">
        <x:is>
          <x:t xml:space="preserve">Owner</x:t>
        </x:is>
      </x:c>
      <x:c r="G4" s="22" t="inlineStr">
        <x:is>
          <x:t xml:space="preserve">Tracking #</x:t>
        </x:is>
      </x:c>
      <x:c r="H4" s="22" t="inlineStr">
        <x:is>
          <x:t xml:space="preserve">Done?</x:t>
        </x:is>
      </x:c>
      <x:c r="I4" s="22" t="inlineStr">
        <x:is>
          <x:t xml:space="preserve">Notes</x:t>
        </x:is>
      </x:c>
    </x:row>
    <x:row r="5">
      <x:c r="A5" s="264" t="n">
        <x:v>46296</x:v>
      </x:c>
      <x:c r="B5" s="17" t="inlineStr">
        <x:is>
          <x:t xml:space="preserve">Narita</x:t>
        </x:is>
      </x:c>
      <x:c r="C5" s="17" t="inlineStr">
        <x:is>
          <x:t xml:space="preserve">Akasaka</x:t>
        </x:is>
      </x:c>
      <x:c r="D5" s="17" t="inlineStr">
        <x:is>
          <x:t xml:space="preserve">All bags</x:t>
        </x:is>
      </x:c>
      <x:c r="E5" s="17" t="inlineStr">
        <x:is>
          <x:t xml:space="preserve">Bring to hotel</x:t>
        </x:is>
      </x:c>
      <x:c r="F5" s="17" t="inlineStr">
        <x:is>
          <x:t xml:space="preserve">All</x:t>
        </x:is>
      </x:c>
      <x:c r="G5" s="17" t="str"/>
      <x:c r="H5" s="17" t="inlineStr">
        <x:is>
          <x:t xml:space="preserve">☐</x:t>
        </x:is>
      </x:c>
      <x:c r="I5" s="17" t="inlineStr">
        <x:is>
          <x:t xml:space="preserve">Arrival day</x:t>
        </x:is>
      </x:c>
    </x:row>
    <x:row r="6">
      <x:c r="A6" s="264" t="n">
        <x:v>46301</x:v>
      </x:c>
      <x:c r="B6" s="17" t="inlineStr">
        <x:is>
          <x:t xml:space="preserve">Akasaka</x:t>
        </x:is>
      </x:c>
      <x:c r="C6" s="17" t="inlineStr">
        <x:is>
          <x:t xml:space="preserve">Kyoto</x:t>
        </x:is>
      </x:c>
      <x:c r="D6" s="17" t="inlineStr">
        <x:is>
          <x:t xml:space="preserve">Large suitcases</x:t>
        </x:is>
      </x:c>
      <x:c r="E6" s="17" t="inlineStr">
        <x:is>
          <x:t xml:space="preserve">Forward luggage from Tokyo hotel</x:t>
        </x:is>
      </x:c>
      <x:c r="F6" s="17" t="inlineStr">
        <x:is>
          <x:t xml:space="preserve">David</x:t>
        </x:is>
      </x:c>
      <x:c r="G6" s="17" t="str"/>
      <x:c r="H6" s="17" t="inlineStr">
        <x:is>
          <x:t xml:space="preserve">☐</x:t>
        </x:is>
      </x:c>
      <x:c r="I6" s="17" t="inlineStr">
        <x:is>
          <x:t xml:space="preserve">Ask front desk for help</x:t>
        </x:is>
      </x:c>
    </x:row>
    <x:row r="7">
      <x:c r="A7" s="264" t="n">
        <x:v>46301</x:v>
      </x:c>
      <x:c r="B7" s="17" t="inlineStr">
        <x:is>
          <x:t xml:space="preserve">Akasaka</x:t>
        </x:is>
      </x:c>
      <x:c r="C7" s="17" t="inlineStr">
        <x:is>
          <x:t xml:space="preserve">Hakone</x:t>
        </x:is>
      </x:c>
      <x:c r="D7" s="17" t="inlineStr">
        <x:is>
          <x:t xml:space="preserve">Overnight bags</x:t>
        </x:is>
      </x:c>
      <x:c r="E7" s="17" t="inlineStr">
        <x:is>
          <x:t xml:space="preserve">Carry essentials only</x:t>
        </x:is>
      </x:c>
      <x:c r="F7" s="17" t="inlineStr">
        <x:is>
          <x:t xml:space="preserve">All</x:t>
        </x:is>
      </x:c>
      <x:c r="G7" s="17" t="str"/>
      <x:c r="H7" s="17" t="inlineStr">
        <x:is>
          <x:t xml:space="preserve">☐</x:t>
        </x:is>
      </x:c>
      <x:c r="I7" s="17" t="inlineStr">
        <x:is>
          <x:t xml:space="preserve">Ryokan night</x:t>
        </x:is>
      </x:c>
    </x:row>
    <x:row r="8">
      <x:c r="A8" s="264" t="n">
        <x:v>46302</x:v>
      </x:c>
      <x:c r="B8" s="17" t="inlineStr">
        <x:is>
          <x:t xml:space="preserve">Hakone</x:t>
        </x:is>
      </x:c>
      <x:c r="C8" s="17" t="inlineStr">
        <x:is>
          <x:t xml:space="preserve">Kyoto</x:t>
        </x:is>
      </x:c>
      <x:c r="D8" s="17" t="inlineStr">
        <x:is>
          <x:t xml:space="preserve">Overnight bags</x:t>
        </x:is>
      </x:c>
      <x:c r="E8" s="17" t="inlineStr">
        <x:is>
          <x:t xml:space="preserve">Carry to Kyoto</x:t>
        </x:is>
      </x:c>
      <x:c r="F8" s="17" t="inlineStr">
        <x:is>
          <x:t xml:space="preserve">All</x:t>
        </x:is>
      </x:c>
      <x:c r="G8" s="17" t="str"/>
      <x:c r="H8" s="17" t="inlineStr">
        <x:is>
          <x:t xml:space="preserve">☐</x:t>
        </x:is>
      </x:c>
      <x:c r="I8" s="17" t="inlineStr">
        <x:is>
          <x:t xml:space="preserve">Large luggage should arrive</x:t>
        </x:is>
      </x:c>
    </x:row>
    <x:row r="9">
      <x:c r="A9" s="264" t="n">
        <x:v>46307</x:v>
      </x:c>
      <x:c r="B9" s="17" t="inlineStr">
        <x:is>
          <x:t xml:space="preserve">Kyoto</x:t>
        </x:is>
      </x:c>
      <x:c r="C9" s="17" t="inlineStr">
        <x:is>
          <x:t xml:space="preserve">Akasaka</x:t>
        </x:is>
      </x:c>
      <x:c r="D9" s="17" t="inlineStr">
        <x:is>
          <x:t xml:space="preserve">All bags</x:t>
        </x:is>
      </x:c>
      <x:c r="E9" s="17" t="inlineStr">
        <x:is>
          <x:t xml:space="preserve">Carry or forward</x:t>
        </x:is>
      </x:c>
      <x:c r="F9" s="17" t="inlineStr">
        <x:is>
          <x:t xml:space="preserve">David</x:t>
        </x:is>
      </x:c>
      <x:c r="G9" s="17" t="str"/>
      <x:c r="H9" s="17" t="inlineStr">
        <x:is>
          <x:t xml:space="preserve">☐</x:t>
        </x:is>
      </x:c>
      <x:c r="I9" s="17" t="inlineStr">
        <x:is>
          <x:t xml:space="preserve">Reserve oversized luggage if needed</x:t>
        </x:is>
      </x:c>
    </x:row>
    <x:row r="10">
      <x:c r="A10" s="264" t="n">
        <x:v>46311</x:v>
      </x:c>
      <x:c r="B10" s="17" t="inlineStr">
        <x:is>
          <x:t xml:space="preserve">Akasaka</x:t>
        </x:is>
      </x:c>
      <x:c r="C10" s="17" t="inlineStr">
        <x:is>
          <x:t xml:space="preserve">Narita</x:t>
        </x:is>
      </x:c>
      <x:c r="D10" s="17" t="inlineStr">
        <x:is>
          <x:t xml:space="preserve">All bags</x:t>
        </x:is>
      </x:c>
      <x:c r="E10" s="17" t="inlineStr">
        <x:is>
          <x:t xml:space="preserve">Bring to airport</x:t>
        </x:is>
      </x:c>
      <x:c r="F10" s="17" t="inlineStr">
        <x:is>
          <x:t xml:space="preserve">All</x:t>
        </x:is>
      </x:c>
      <x:c r="G10" s="17" t="str"/>
      <x:c r="H10" s="17" t="inlineStr">
        <x:is>
          <x:t xml:space="preserve">☐</x:t>
        </x:is>
      </x:c>
      <x:c r="I10" s="17" t="inlineStr">
        <x:is>
          <x:t xml:space="preserve">Leave extra time</x:t>
        </x:is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14" style="146" customWidth="1"/>
    <x:col min="3" max="3" width="14" style="146" customWidth="1"/>
    <x:col min="4" max="4" width="14" style="146" customWidth="1"/>
    <x:col min="5" max="5" width="18" style="146" customWidth="1"/>
    <x:col min="6" max="6" width="28" style="146" customWidth="1"/>
  </x:cols>
  <x:sheetData>
    <x:row r="1">
      <x:c r="A1" s="12" t="inlineStr">
        <x:is>
          <x:t xml:space="preserve">💴 Budget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Category</x:t>
        </x:is>
      </x:c>
      <x:c r="B4" s="22" t="inlineStr">
        <x:is>
          <x:t xml:space="preserve">Planned</x:t>
        </x:is>
      </x:c>
      <x:c r="C4" s="22" t="inlineStr">
        <x:is>
          <x:t xml:space="preserve">Actual</x:t>
        </x:is>
      </x:c>
      <x:c r="D4" s="22" t="inlineStr">
        <x:is>
          <x:t xml:space="preserve">Remaining</x:t>
        </x:is>
      </x:c>
      <x:c r="E4" s="22" t="inlineStr">
        <x:is>
          <x:t xml:space="preserve">Progress</x:t>
        </x:is>
      </x:c>
      <x:c r="F4" s="22" t="inlineStr">
        <x:is>
          <x:t xml:space="preserve">Notes</x:t>
        </x:is>
      </x:c>
    </x:row>
    <x:row r="5">
      <x:c r="A5" s="17" t="inlineStr">
        <x:is>
          <x:t xml:space="preserve">Flights</x:t>
        </x:is>
      </x:c>
      <x:c r="B5" s="270" t="str"/>
      <x:c r="C5" s="270" t="str"/>
      <x:c r="D5" s="270" t="n">
        <x:f>B5-C5</x:f>
        <x:v>0</x:v>
      </x:c>
      <x:c r="E5" s="17" t="inlineStr">
        <x:is>
          <x:t xml:space="preserve">0%</x:t>
        </x:is>
      </x:c>
      <x:c r="F5" s="17" t="str"/>
    </x:row>
    <x:row r="6">
      <x:c r="A6" s="17" t="inlineStr">
        <x:is>
          <x:t xml:space="preserve">Hotels</x:t>
        </x:is>
      </x:c>
      <x:c r="B6" s="270" t="str"/>
      <x:c r="C6" s="270" t="str"/>
      <x:c r="D6" s="270" t="n">
        <x:f>B6-C6</x:f>
        <x:v>0</x:v>
      </x:c>
      <x:c r="E6" s="17" t="inlineStr">
        <x:is>
          <x:t xml:space="preserve">0%</x:t>
        </x:is>
      </x:c>
      <x:c r="F6" s="17" t="str"/>
    </x:row>
    <x:row r="7">
      <x:c r="A7" s="17" t="inlineStr">
        <x:is>
          <x:t xml:space="preserve">Food</x:t>
        </x:is>
      </x:c>
      <x:c r="B7" s="270" t="str"/>
      <x:c r="C7" s="270" t="str"/>
      <x:c r="D7" s="270" t="n">
        <x:f>B7-C7</x:f>
        <x:v>0</x:v>
      </x:c>
      <x:c r="E7" s="17" t="inlineStr">
        <x:is>
          <x:t xml:space="preserve">0%</x:t>
        </x:is>
      </x:c>
      <x:c r="F7" s="17" t="str"/>
    </x:row>
    <x:row r="8">
      <x:c r="A8" s="17" t="inlineStr">
        <x:is>
          <x:t xml:space="preserve">Transit</x:t>
        </x:is>
      </x:c>
      <x:c r="B8" s="270" t="str"/>
      <x:c r="C8" s="270" t="str"/>
      <x:c r="D8" s="270" t="n">
        <x:f>B8-C8</x:f>
        <x:v>0</x:v>
      </x:c>
      <x:c r="E8" s="17" t="inlineStr">
        <x:is>
          <x:t xml:space="preserve">0%</x:t>
        </x:is>
      </x:c>
      <x:c r="F8" s="17" t="str"/>
    </x:row>
    <x:row r="9">
      <x:c r="A9" s="17" t="inlineStr">
        <x:is>
          <x:t xml:space="preserve">Shopping</x:t>
        </x:is>
      </x:c>
      <x:c r="B9" s="270" t="str"/>
      <x:c r="C9" s="270" t="str"/>
      <x:c r="D9" s="270" t="n">
        <x:f>B9-C9</x:f>
        <x:v>0</x:v>
      </x:c>
      <x:c r="E9" s="17" t="inlineStr">
        <x:is>
          <x:t xml:space="preserve">0%</x:t>
        </x:is>
      </x:c>
      <x:c r="F9" s="17" t="str"/>
    </x:row>
    <x:row r="10">
      <x:c r="A10" s="17" t="inlineStr">
        <x:is>
          <x:t xml:space="preserve">Attractions</x:t>
        </x:is>
      </x:c>
      <x:c r="B10" s="270" t="str"/>
      <x:c r="C10" s="270" t="str"/>
      <x:c r="D10" s="270" t="n">
        <x:f>B10-C10</x:f>
        <x:v>0</x:v>
      </x:c>
      <x:c r="E10" s="17" t="inlineStr">
        <x:is>
          <x:t xml:space="preserve">0%</x:t>
        </x:is>
      </x:c>
      <x:c r="F10" s="17" t="str"/>
    </x:row>
    <x:row r="11">
      <x:c r="A11" s="17" t="inlineStr">
        <x:is>
          <x:t xml:space="preserve">Total</x:t>
        </x:is>
      </x:c>
      <x:c r="B11" s="270" t="n">
        <x:f>SUM(B5:B10)</x:f>
        <x:v>0</x:v>
      </x:c>
      <x:c r="C11" s="270" t="n">
        <x:f>SUM(C5:C10)</x:f>
        <x:v>0</x:v>
      </x:c>
      <x:c r="D11" s="270" t="n">
        <x:f>B11-C11</x:f>
        <x:v>0</x:v>
      </x:c>
      <x:c r="E11" s="17" t="inlineStr">
        <x:is>
          <x:t xml:space="preserve">0%</x:t>
        </x:is>
      </x:c>
      <x:c r="F11" s="17" t="str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0" style="146" customWidth="1"/>
    <x:col min="3" max="3" width="32" style="146" customWidth="1"/>
    <x:col min="4" max="4" width="32" style="146" customWidth="1"/>
    <x:col min="5" max="5" width="18" style="146" customWidth="1"/>
  </x:cols>
  <x:sheetData>
    <x:row r="1">
      <x:c r="A1" s="12" t="inlineStr">
        <x:is>
          <x:t xml:space="preserve">💳 Money + Payments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Topic</x:t>
        </x:is>
      </x:c>
      <x:c r="B4" s="22" t="inlineStr">
        <x:is>
          <x:t xml:space="preserve">What to know</x:t>
        </x:is>
      </x:c>
      <x:c r="C4" s="22" t="inlineStr">
        <x:is>
          <x:t xml:space="preserve">Action</x:t>
        </x:is>
      </x:c>
      <x:c r="D4" s="22" t="inlineStr">
        <x:is>
          <x:t xml:space="preserve">Helpful detail</x:t>
        </x:is>
      </x:c>
      <x:c r="E4" s="22" t="inlineStr">
        <x:is>
          <x:t xml:space="preserve">Source</x:t>
        </x:is>
      </x:c>
    </x:row>
    <x:row r="5">
      <x:c r="A5" s="17" t="inlineStr">
        <x:is>
          <x:t xml:space="preserve">Cash backup</x:t>
        </x:is>
      </x:c>
      <x:c r="B5" s="17" t="inlineStr">
        <x:is>
          <x:t xml:space="preserve">Cards are accepted most places, but some vending machines, specialty stores, gacha, and ticket stations may need cash.</x:t>
        </x:is>
      </x:c>
      <x:c r="C5" s="17" t="inlineStr">
        <x:is>
          <x:t xml:space="preserve">Carry 100/500 yen coins and 1000 yen bills.</x:t>
        </x:is>
      </x:c>
      <x:c r="D5" s="17" t="inlineStr">
        <x:is>
          <x:t xml:space="preserve">Use convenience store/train station ATMs.</x:t>
        </x:is>
      </x:c>
      <x:c r="E5" s="17" t="inlineStr">
        <x:is>
          <x:t xml:space="preserve">Japan Tips doc</x:t>
        </x:is>
      </x:c>
    </x:row>
    <x:row r="6">
      <x:c r="A6" s="17" t="inlineStr">
        <x:is>
          <x:t xml:space="preserve">ATMs</x:t>
        </x:is>
      </x:c>
      <x:c r="B6" s="17" t="inlineStr">
        <x:is>
          <x:t xml:space="preserve">ATMs are usually in konbini or train stations.</x:t>
        </x:is>
      </x:c>
      <x:c r="C6" s="17" t="inlineStr">
        <x:is>
          <x:t xml:space="preserve">Use 7-Eleven / konbini ATMs as backup.</x:t>
        </x:is>
      </x:c>
      <x:c r="D6" s="17" t="inlineStr">
        <x:is>
          <x:t xml:space="preserve">Keep cash before temple-heavy Kyoto days.</x:t>
        </x:is>
      </x:c>
      <x:c r="E6" s="17" t="inlineStr">
        <x:is>
          <x:t xml:space="preserve">Japan Tips doc</x:t>
        </x:is>
      </x:c>
    </x:row>
    <x:row r="7">
      <x:c r="A7" s="17" t="inlineStr">
        <x:is>
          <x:t xml:space="preserve">Tax-free shopping</x:t>
        </x:is>
      </x:c>
      <x:c r="B7" s="17" t="inlineStr">
        <x:is>
          <x:t xml:space="preserve">Passport is often required and purchases usually need to exceed a threshold.</x:t>
        </x:is>
      </x:c>
      <x:c r="C7" s="17" t="inlineStr">
        <x:is>
          <x:t xml:space="preserve">Bring passport when planning larger purchases.</x:t>
        </x:is>
      </x:c>
      <x:c r="D7" s="17" t="inlineStr">
        <x:is>
          <x:t xml:space="preserve">Tax-free QR can be generated through customs site.</x:t>
        </x:is>
      </x:c>
      <x:c r="E7" s="17" t="inlineStr">
        <x:is>
          <x:t xml:space="preserve">Japan Tips doc</x:t>
        </x:is>
      </x:c>
    </x:row>
    <x:row r="8">
      <x:c r="A8" s="17" t="inlineStr">
        <x:is>
          <x:t xml:space="preserve">Klook</x:t>
        </x:is>
      </x:c>
      <x:c r="B8" s="17" t="inlineStr">
        <x:is>
          <x:t xml:space="preserve">Can save money on popular tickets/transport.</x:t>
        </x:is>
      </x:c>
      <x:c r="C8" s="17" t="inlineStr">
        <x:is>
          <x:t xml:space="preserve">Compare Klook vs official tickets.</x:t>
        </x:is>
      </x:c>
      <x:c r="D8" s="17" t="inlineStr">
        <x:is>
          <x:t xml:space="preserve">Use official site for critical ticket rules.</x:t>
        </x:is>
      </x:c>
      <x:c r="E8" s="17" t="inlineStr">
        <x:is>
          <x:t xml:space="preserve">Japan Tips doc</x:t>
        </x:is>
      </x:c>
    </x:row>
    <x:row r="9">
      <x:c r="A9" s="17" t="inlineStr">
        <x:is>
          <x:t xml:space="preserve">Tipping</x:t>
        </x:is>
      </x:c>
      <x:c r="B9" s="17" t="inlineStr">
        <x:is>
          <x:t xml:space="preserve">Tipping is not expected or welcome.</x:t>
        </x:is>
      </x:c>
      <x:c r="C9" s="17" t="inlineStr">
        <x:is>
          <x:t xml:space="preserve">Do not tip.</x:t>
        </x:is>
      </x:c>
      <x:c r="D9" s="17" t="inlineStr">
        <x:is>
          <x:t xml:space="preserve">A polite thank-you is enough.</x:t>
        </x:is>
      </x:c>
      <x:c r="E9" s="17" t="inlineStr">
        <x:is>
          <x:t xml:space="preserve">Japan Tips doc</x:t>
        </x:is>
      </x:c>
    </x:row>
    <x:row r="10">
      <x:c r="A10" s="5" t="n"/>
      <x:c r="B10" s="5" t="n"/>
      <x:c r="C10" s="5" t="n"/>
      <x:c r="D10" s="5" t="n"/>
      <x:c r="E10" s="5" t="n"/>
    </x:row>
    <x:row r="11">
      <x:c r="A11" s="5" t="n"/>
      <x:c r="B11" s="5" t="n"/>
      <x:c r="C11" s="5" t="n"/>
      <x:c r="D11" s="5" t="n"/>
      <x:c r="E11" s="5" t="n"/>
    </x:row>
    <x:row r="12">
      <x:c r="A12" s="5" t="n"/>
      <x:c r="B12" s="5" t="n"/>
      <x:c r="C12" s="5" t="n"/>
      <x:c r="D12" s="5" t="n"/>
      <x:c r="E12" s="5" t="n"/>
    </x:row>
    <x:row r="13">
      <x:c r="A13" s="5" t="n"/>
      <x:c r="B13" s="5" t="n"/>
      <x:c r="C13" s="5" t="n"/>
      <x:c r="D13" s="5" t="n"/>
      <x:c r="E13" s="5" t="n"/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2" style="146" customWidth="1"/>
    <x:col min="3" max="3" width="34" style="146" customWidth="1"/>
    <x:col min="4" max="4" width="34" style="146" customWidth="1"/>
  </x:cols>
  <x:sheetData>
    <x:row r="1">
      <x:c r="A1" s="12" t="inlineStr">
        <x:is>
          <x:t xml:space="preserve">🍜 Food Guide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Topic</x:t>
        </x:is>
      </x:c>
      <x:c r="B4" s="22" t="inlineStr">
        <x:is>
          <x:t xml:space="preserve">Tip</x:t>
        </x:is>
      </x:c>
      <x:c r="C4" s="22" t="inlineStr">
        <x:is>
          <x:t xml:space="preserve">Action</x:t>
        </x:is>
      </x:c>
      <x:c r="D4" s="22" t="inlineStr">
        <x:is>
          <x:t xml:space="preserve">Notes</x:t>
        </x:is>
      </x:c>
    </x:row>
    <x:row r="5">
      <x:c r="A5" s="17" t="inlineStr">
        <x:is>
          <x:t xml:space="preserve">Konbini meals</x:t>
        </x:is>
      </x:c>
      <x:c r="B5" s="17" t="inlineStr">
        <x:is>
          <x:t xml:space="preserve">Pre-made meals like bento and onigiri are genuinely useful.</x:t>
        </x:is>
      </x:c>
      <x:c r="C5" s="17" t="inlineStr">
        <x:is>
          <x:t xml:space="preserve">Use for breakfast/snacks/easy nights.</x:t>
        </x:is>
      </x:c>
      <x:c r="D5" s="17" t="inlineStr">
        <x:is>
          <x:t xml:space="preserve">Everywhere, often 1–2 per block.</x:t>
        </x:is>
      </x:c>
    </x:row>
    <x:row r="6">
      <x:c r="A6" s="17" t="inlineStr">
        <x:is>
          <x:t xml:space="preserve">Restaurant payment</x:t>
        </x:is>
      </x:c>
      <x:c r="B6" s="17" t="inlineStr">
        <x:is>
          <x:t xml:space="preserve">Payment often happens at the cashier with your receipt.</x:t>
        </x:is>
      </x:c>
      <x:c r="C6" s="17" t="inlineStr">
        <x:is>
          <x:t xml:space="preserve">Take receipt to register unless they bring the bill.</x:t>
        </x:is>
      </x:c>
      <x:c r="D6" s="17" t="inlineStr">
        <x:is>
          <x:t xml:space="preserve">Don’t assume payment happens at the table.</x:t>
        </x:is>
      </x:c>
    </x:row>
    <x:row r="7">
      <x:c r="A7" s="17" t="inlineStr">
        <x:is>
          <x:t xml:space="preserve">Set meals</x:t>
        </x:is>
      </x:c>
      <x:c r="B7" s="17" t="inlineStr">
        <x:is>
          <x:t xml:space="preserve">A combo meal is usually called a “set.”</x:t>
        </x:is>
      </x:c>
      <x:c r="C7" s="17" t="inlineStr">
        <x:is>
          <x:t xml:space="preserve">Look for セット / set menus.</x:t>
        </x:is>
      </x:c>
      <x:c r="D7" s="17" t="inlineStr">
        <x:is>
          <x:t xml:space="preserve">Useful for easy ordering.</x:t>
        </x:is>
      </x:c>
    </x:row>
    <x:row r="8">
      <x:c r="A8" s="17" t="inlineStr">
        <x:is>
          <x:t xml:space="preserve">Chopsticks</x:t>
        </x:is>
      </x:c>
      <x:c r="B8" s="17" t="inlineStr">
        <x:is>
          <x:t xml:space="preserve">Do not stick chopsticks upright in rice.</x:t>
        </x:is>
      </x:c>
      <x:c r="C8" s="17" t="inlineStr">
        <x:is>
          <x:t xml:space="preserve">Place them on the rest or wrapper.</x:t>
        </x:is>
      </x:c>
      <x:c r="D8" s="17" t="inlineStr">
        <x:is>
          <x:t xml:space="preserve">Upright chopsticks resemble funeral incense.</x:t>
        </x:is>
      </x:c>
    </x:row>
    <x:row r="9">
      <x:c r="A9" s="17" t="inlineStr">
        <x:is>
          <x:t xml:space="preserve">Food apps</x:t>
        </x:is>
      </x:c>
      <x:c r="B9" s="17" t="inlineStr">
        <x:is>
          <x:t xml:space="preserve">Tabelog and Gurunavi are useful.</x:t>
        </x:is>
      </x:c>
      <x:c r="C9" s="17" t="inlineStr">
        <x:is>
          <x:t xml:space="preserve">Use mobile site if app is Japanese-only.</x:t>
        </x:is>
      </x:c>
      <x:c r="D9" s="17" t="inlineStr">
        <x:is>
          <x:t xml:space="preserve">Helpful supplement to Google Maps.</x:t>
        </x:is>
      </x:c>
    </x:row>
    <x:row r="10">
      <x:c r="A10" s="17" t="inlineStr">
        <x:is>
          <x:t xml:space="preserve">To-go food</x:t>
        </x:is>
      </x:c>
      <x:c r="B10" s="17" t="inlineStr">
        <x:is>
          <x:t xml:space="preserve">Eating while walking is generally discouraged.</x:t>
        </x:is>
      </x:c>
      <x:c r="C10" s="17" t="inlineStr">
        <x:is>
          <x:t xml:space="preserve">Eat where purchased, at seating areas, parks/benches, or hotel.</x:t>
        </x:is>
      </x:c>
      <x:c r="D10" s="17" t="inlineStr">
        <x:is>
          <x:t xml:space="preserve">Carry trash until bin found.</x:t>
        </x:is>
      </x:c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5" t="n"/>
      <x:c r="B13" s="5" t="n"/>
      <x:c r="C13" s="5" t="n"/>
      <x:c r="D13" s="5" t="n"/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34" style="146" customWidth="1"/>
    <x:col min="3" max="3" width="30" style="146" customWidth="1"/>
    <x:col min="4" max="4" width="34" style="146" customWidth="1"/>
    <x:col min="5" max="5" width="32" style="146" customWidth="1"/>
    <x:col min="6" max="6" width="24" style="146" customWidth="1"/>
  </x:cols>
  <x:sheetData>
    <x:row r="1">
      <x:c r="A1" s="12" t="inlineStr">
        <x:is>
          <x:t xml:space="preserve">🏪 Konbini Cheat Sheet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Topic</x:t>
        </x:is>
      </x:c>
      <x:c r="B4" s="22" t="inlineStr">
        <x:is>
          <x:t xml:space="preserve">What to know</x:t>
        </x:is>
      </x:c>
      <x:c r="C4" s="22" t="inlineStr">
        <x:is>
          <x:t xml:space="preserve">Phrase</x:t>
        </x:is>
      </x:c>
      <x:c r="D4" s="22" t="inlineStr">
        <x:is>
          <x:t xml:space="preserve">Phonetics</x:t>
        </x:is>
      </x:c>
      <x:c r="E4" s="22" t="inlineStr">
        <x:is>
          <x:t xml:space="preserve">Try / Action</x:t>
        </x:is>
      </x:c>
      <x:c r="F4" s="22" t="inlineStr">
        <x:is>
          <x:t xml:space="preserve">Hilda note</x:t>
        </x:is>
      </x:c>
    </x:row>
    <x:row r="5">
      <x:c r="A5" s="17" t="inlineStr">
        <x:is>
          <x:t xml:space="preserve">Bag question</x:t>
        </x:is>
      </x:c>
      <x:c r="B5" s="17" t="inlineStr">
        <x:is>
          <x:t xml:space="preserve">Clerk may ask if you want a bag.</x:t>
        </x:is>
      </x:c>
      <x:c r="C5" s="17" t="inlineStr">
        <x:is>
          <x:t xml:space="preserve">袋お願いします / Fukuro onegaishimasu</x:t>
        </x:is>
      </x:c>
      <x:c r="D5" s="17" t="inlineStr">
        <x:is>
          <x:t xml:space="preserve">foo-koo-roh oh-neh-guy-shee-moss</x:t>
        </x:is>
      </x:c>
      <x:c r="E5" s="17" t="inlineStr">
        <x:is>
          <x:t xml:space="preserve">Say 大丈夫です / daijoubu desu to decline.</x:t>
        </x:is>
      </x:c>
      <x:c r="F5" s="17" t="inlineStr">
        <x:is>
          <x:t xml:space="preserve">Keep it simple: point and nod.</x:t>
        </x:is>
      </x:c>
    </x:row>
    <x:row r="6">
      <x:c r="A6" s="17" t="inlineStr">
        <x:is>
          <x:t xml:space="preserve">Heating food</x:t>
        </x:is>
      </x:c>
      <x:c r="B6" s="17" t="inlineStr">
        <x:is>
          <x:t xml:space="preserve">Clerk may ask if food should be heated.</x:t>
        </x:is>
      </x:c>
      <x:c r="C6" s="17" t="inlineStr">
        <x:is>
          <x:t xml:space="preserve">温めてください / Atatamete kudasai</x:t>
        </x:is>
      </x:c>
      <x:c r="D6" s="17" t="inlineStr">
        <x:is>
          <x:t xml:space="preserve">ah-tah-tah-meh-teh koo-dah-sigh</x:t>
        </x:is>
      </x:c>
      <x:c r="E6" s="17" t="inlineStr">
        <x:is>
          <x:t xml:space="preserve">Use for bento/pasta/rice bowls.</x:t>
        </x:is>
      </x:c>
      <x:c r="F6" s="17" t="inlineStr">
        <x:is>
          <x:t xml:space="preserve">Ask David/Noelle if unsure.</x:t>
        </x:is>
      </x:c>
    </x:row>
    <x:row r="7">
      <x:c r="A7" s="17" t="inlineStr">
        <x:is>
          <x:t xml:space="preserve">Payment</x:t>
        </x:is>
      </x:c>
      <x:c r="B7" s="17" t="inlineStr">
        <x:is>
          <x:t xml:space="preserve">Clerk may ask how you want to pay.</x:t>
        </x:is>
      </x:c>
      <x:c r="C7" s="17" t="inlineStr">
        <x:is>
          <x:t xml:space="preserve">カード使えますか？ / Kaado tsukaemasu ka?</x:t>
        </x:is>
      </x:c>
      <x:c r="D7" s="17" t="inlineStr">
        <x:is>
          <x:t xml:space="preserve">kah-doh tsoo-kah-eh-moss kah</x:t>
        </x:is>
      </x:c>
      <x:c r="E7" s="17" t="inlineStr">
        <x:is>
          <x:t xml:space="preserve">Use card if accepted or money tray for cash.</x:t>
        </x:is>
      </x:c>
      <x:c r="F7" s="17" t="inlineStr">
        <x:is>
          <x:t xml:space="preserve">Cash tray is normal.</x:t>
        </x:is>
      </x:c>
    </x:row>
    <x:row r="8">
      <x:c r="A8" s="17" t="inlineStr">
        <x:is>
          <x:t xml:space="preserve">ATM</x:t>
        </x:is>
      </x:c>
      <x:c r="B8" s="17" t="inlineStr">
        <x:is>
          <x:t xml:space="preserve">Konbini ATMs are useful cash sources.</x:t>
        </x:is>
      </x:c>
      <x:c r="C8" s="17" t="inlineStr">
        <x:is>
          <x:t xml:space="preserve">ATMはありますか？ / ATM wa arimasu ka?</x:t>
        </x:is>
      </x:c>
      <x:c r="D8" s="17" t="inlineStr">
        <x:is>
          <x:t xml:space="preserve">ay-tee-em wah ah-ree-moss kah</x:t>
        </x:is>
      </x:c>
      <x:c r="E8" s="17" t="inlineStr">
        <x:is>
          <x:t xml:space="preserve">Use for yen backup.</x:t>
        </x:is>
      </x:c>
      <x:c r="F8" s="17" t="inlineStr">
        <x:is>
          <x:t xml:space="preserve">Carry small cash.</x:t>
        </x:is>
      </x:c>
    </x:row>
    <x:row r="9">
      <x:c r="A9" s="17" t="inlineStr">
        <x:is>
          <x:t xml:space="preserve">Trash</x:t>
        </x:is>
      </x:c>
      <x:c r="B9" s="17" t="inlineStr">
        <x:is>
          <x:t xml:space="preserve">Trash cans are rare.</x:t>
        </x:is>
      </x:c>
      <x:c r="C9" s="17" t="inlineStr">
        <x:is>
          <x:t xml:space="preserve">N/A</x:t>
        </x:is>
      </x:c>
      <x:c r="D9" s="17" t="inlineStr">
        <x:is>
          <x:t xml:space="preserve">N/A</x:t>
        </x:is>
      </x:c>
      <x:c r="E9" s="17" t="inlineStr">
        <x:is>
          <x:t xml:space="preserve">Carry a small trash bag.</x:t>
        </x:is>
      </x:c>
      <x:c r="F9" s="17" t="inlineStr">
        <x:is>
          <x:t xml:space="preserve">Small bag in day bag.</x:t>
        </x:is>
      </x:c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36" style="146" customWidth="1"/>
    <x:col min="4" max="4" width="24" style="146" customWidth="1"/>
  </x:cols>
  <x:sheetData>
    <x:row r="1">
      <x:c r="A1" s="12" t="inlineStr">
        <x:is>
          <x:t xml:space="preserve">🙏 Etiquette + Customs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Situation</x:t>
        </x:is>
      </x:c>
      <x:c r="B4" s="22" t="inlineStr">
        <x:is>
          <x:t xml:space="preserve">What to do</x:t>
        </x:is>
      </x:c>
      <x:c r="C4" s="22" t="inlineStr">
        <x:is>
          <x:t xml:space="preserve">Why it helps</x:t>
        </x:is>
      </x:c>
      <x:c r="D4" s="22" t="inlineStr">
        <x:is>
          <x:t xml:space="preserve">Simple rule</x:t>
        </x:is>
      </x:c>
    </x:row>
    <x:row r="5">
      <x:c r="A5" s="17" t="inlineStr">
        <x:is>
          <x:t xml:space="preserve">Trains</x:t>
        </x:is>
      </x:c>
      <x:c r="B5" s="17" t="inlineStr">
        <x:is>
          <x:t xml:space="preserve">Silence phone; keep voices low.</x:t>
        </x:is>
      </x:c>
      <x:c r="C5" s="17" t="inlineStr">
        <x:is>
          <x:t xml:space="preserve">Train etiquette is quiet and orderly.</x:t>
        </x:is>
      </x:c>
      <x:c r="D5" s="17" t="inlineStr">
        <x:is>
          <x:t xml:space="preserve">Train = quiet mode.</x:t>
        </x:is>
      </x:c>
    </x:row>
    <x:row r="6">
      <x:c r="A6" s="17" t="inlineStr">
        <x:is>
          <x:t xml:space="preserve">Crowded trains</x:t>
        </x:is>
      </x:c>
      <x:c r="B6" s="17" t="inlineStr">
        <x:is>
          <x:t xml:space="preserve">Carry backpack/purse in front.</x:t>
        </x:is>
      </x:c>
      <x:c r="C6" s="17" t="inlineStr">
        <x:is>
          <x:t xml:space="preserve">Avoid bumping people behind you.</x:t>
        </x:is>
      </x:c>
      <x:c r="D6" s="17" t="inlineStr">
        <x:is>
          <x:t xml:space="preserve">Bag in front.</x:t>
        </x:is>
      </x:c>
    </x:row>
    <x:row r="7">
      <x:c r="A7" s="17" t="inlineStr">
        <x:is>
          <x:t xml:space="preserve">Priority seats</x:t>
        </x:is>
      </x:c>
      <x:c r="B7" s="17" t="inlineStr">
        <x:is>
          <x:t xml:space="preserve">Offer seats to elderly/pregnant/disabled riders.</x:t>
        </x:is>
      </x:c>
      <x:c r="C7" s="17" t="inlineStr">
        <x:is>
          <x:t xml:space="preserve">Priority seating is expected to be respected.</x:t>
        </x:is>
      </x:c>
      <x:c r="D7" s="17" t="inlineStr">
        <x:is>
          <x:t xml:space="preserve">Give up seat if needed.</x:t>
        </x:is>
      </x:c>
    </x:row>
    <x:row r="8">
      <x:c r="A8" s="17" t="inlineStr">
        <x:is>
          <x:t xml:space="preserve">Escalators</x:t>
        </x:is>
      </x:c>
      <x:c r="B8" s="17" t="inlineStr">
        <x:is>
          <x:t xml:space="preserve">Usually stand left and walk right.</x:t>
        </x:is>
      </x:c>
      <x:c r="C8" s="17" t="inlineStr">
        <x:is>
          <x:t xml:space="preserve">Common Tokyo habit, though can vary.</x:t>
        </x:is>
      </x:c>
      <x:c r="D8" s="17" t="inlineStr">
        <x:is>
          <x:t xml:space="preserve">Stand left, watch locals.</x:t>
        </x:is>
      </x:c>
    </x:row>
    <x:row r="9">
      <x:c r="A9" s="17" t="inlineStr">
        <x:is>
          <x:t xml:space="preserve">Walking flow</x:t>
        </x:is>
      </x:c>
      <x:c r="B9" s="17" t="inlineStr">
        <x:is>
          <x:t xml:space="preserve">People often walk on the left.</x:t>
        </x:is>
      </x:c>
      <x:c r="C9" s="17" t="inlineStr">
        <x:is>
          <x:t xml:space="preserve">Helps you blend with foot traffic.</x:t>
        </x:is>
      </x:c>
      <x:c r="D9" s="17" t="inlineStr">
        <x:is>
          <x:t xml:space="preserve">Keep left when possible.</x:t>
        </x:is>
      </x:c>
    </x:row>
    <x:row r="10">
      <x:c r="A10" s="17" t="inlineStr">
        <x:is>
          <x:t xml:space="preserve">Trash</x:t>
        </x:is>
      </x:c>
      <x:c r="B10" s="17" t="inlineStr">
        <x:is>
          <x:t xml:space="preserve">Carry trash until you find bins.</x:t>
        </x:is>
      </x:c>
      <x:c r="C10" s="17" t="inlineStr">
        <x:is>
          <x:t xml:space="preserve">Bins are rare and sorting matters.</x:t>
        </x:is>
      </x:c>
      <x:c r="D10" s="17" t="inlineStr">
        <x:is>
          <x:t xml:space="preserve">Bring small trash bag.</x:t>
        </x:is>
      </x:c>
    </x:row>
    <x:row r="11">
      <x:c r="A11" s="17" t="inlineStr">
        <x:is>
          <x:t xml:space="preserve">Eating while walking</x:t>
        </x:is>
      </x:c>
      <x:c r="B11" s="17" t="inlineStr">
        <x:is>
          <x:t xml:space="preserve">Avoid walking while eating/drinking.</x:t>
        </x:is>
      </x:c>
      <x:c r="C11" s="17" t="inlineStr">
        <x:is>
          <x:t xml:space="preserve">Often considered rude.</x:t>
        </x:is>
      </x:c>
      <x:c r="D11" s="17" t="inlineStr">
        <x:is>
          <x:t xml:space="preserve">Eat where purchased or at hotel/park.</x:t>
        </x:is>
      </x:c>
    </x:row>
    <x:row r="12">
      <x:c r="A12" s="17" t="inlineStr">
        <x:is>
          <x:t xml:space="preserve">Cash trays</x:t>
        </x:is>
      </x:c>
      <x:c r="B12" s="17" t="inlineStr">
        <x:is>
          <x:t xml:space="preserve">Use the money tray when provided.</x:t>
        </x:is>
      </x:c>
      <x:c r="C12" s="17" t="inlineStr">
        <x:is>
          <x:t xml:space="preserve">Common store etiquette.</x:t>
        </x:is>
      </x:c>
      <x:c r="D12" s="17" t="inlineStr">
        <x:is>
          <x:t xml:space="preserve">Don’t force cash into hands.</x:t>
        </x:is>
      </x:c>
    </x:row>
    <x:row r="13">
      <x:c r="A13" s="17" t="inlineStr">
        <x:is>
          <x:t xml:space="preserve">Mistakes</x:t>
        </x:is>
      </x:c>
      <x:c r="B13" s="17" t="inlineStr">
        <x:is>
          <x:t xml:space="preserve">Say sumimasen if you bump into someone or need attention.</x:t>
        </x:is>
      </x:c>
      <x:c r="C13" s="17" t="inlineStr">
        <x:is>
          <x:t xml:space="preserve">Polite and useful.</x:t>
        </x:is>
      </x:c>
      <x:c r="D13" s="17" t="inlineStr">
        <x:is>
          <x:t xml:space="preserve">Sumimasen solves a lot.</x:t>
        </x:is>
      </x:c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42" style="146" customWidth="1"/>
    <x:col min="2" max="2" width="14" style="146" customWidth="1"/>
    <x:col min="3" max="3" width="18" style="146" customWidth="1"/>
    <x:col min="4" max="4" width="10" style="146" customWidth="1"/>
    <x:col min="5" max="5" width="42" style="146" customWidth="1"/>
  </x:cols>
  <x:sheetData>
    <x:row r="1">
      <x:c r="A1" s="12" t="inlineStr">
        <x:is>
          <x:t xml:space="preserve">✅ Pre-Trip Setup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Task</x:t>
        </x:is>
      </x:c>
      <x:c r="B4" s="22" t="inlineStr">
        <x:is>
          <x:t xml:space="preserve">Owner</x:t>
        </x:is>
      </x:c>
      <x:c r="C4" s="22" t="inlineStr">
        <x:is>
          <x:t xml:space="preserve">Due</x:t>
        </x:is>
      </x:c>
      <x:c r="D4" s="22" t="inlineStr">
        <x:is>
          <x:t xml:space="preserve">Done?</x:t>
        </x:is>
      </x:c>
      <x:c r="E4" s="22" t="inlineStr">
        <x:is>
          <x:t xml:space="preserve">Notes</x:t>
        </x:is>
      </x:c>
    </x:row>
    <x:row r="5">
      <x:c r="A5" s="17" t="inlineStr">
        <x:is>
          <x:t xml:space="preserve">Compare and book JAL flights from LAX and BOS</x:t>
        </x:is>
      </x:c>
      <x:c r="B5" s="17" t="inlineStr">
        <x:is>
          <x:t xml:space="preserve">David</x:t>
        </x:is>
      </x:c>
      <x:c r="C5" s="17" t="inlineStr">
        <x:is>
          <x:t xml:space="preserve">ASAP</x:t>
        </x:is>
      </x:c>
      <x:c r="D5" s="17" t="inlineStr">
        <x:is>
          <x:t xml:space="preserve">☐</x:t>
        </x:is>
      </x:c>
      <x:c r="E5" s="17" t="inlineStr">
        <x:is>
          <x:t xml:space="preserve">Aim for arrivals close together at Narita.</x:t>
        </x:is>
      </x:c>
    </x:row>
    <x:row r="6">
      <x:c r="A6" s="17" t="inlineStr">
        <x:is>
          <x:t xml:space="preserve">Check passport expiration for all travelers</x:t>
        </x:is>
      </x:c>
      <x:c r="B6" s="17" t="inlineStr">
        <x:is>
          <x:t xml:space="preserve">All</x:t>
        </x:is>
      </x:c>
      <x:c r="C6" s="17" t="inlineStr">
        <x:is>
          <x:t xml:space="preserve">ASAP</x:t>
        </x:is>
      </x:c>
      <x:c r="D6" s="17" t="inlineStr">
        <x:is>
          <x:t xml:space="preserve">☐</x:t>
        </x:is>
      </x:c>
      <x:c r="E6" s="17" t="inlineStr">
        <x:is>
          <x:t xml:space="preserve">Renew if applicable.</x:t>
        </x:is>
      </x:c>
    </x:row>
    <x:row r="7">
      <x:c r="A7" s="17" t="inlineStr">
        <x:is>
          <x:t xml:space="preserve">Set up eSIM/roaming or decide pocket WiFi</x:t>
        </x:is>
      </x:c>
      <x:c r="B7" s="17" t="inlineStr">
        <x:is>
          <x:t xml:space="preserve">All</x:t>
        </x:is>
      </x:c>
      <x:c r="C7" s="17" t="inlineStr">
        <x:is>
          <x:t xml:space="preserve">Before flight</x:t>
        </x:is>
      </x:c>
      <x:c r="D7" s="17" t="inlineStr">
        <x:is>
          <x:t xml:space="preserve">☐</x:t>
        </x:is>
      </x:c>
      <x:c r="E7" s="17" t="inlineStr">
        <x:is>
          <x:t xml:space="preserve">Prior note: 12 GB used in 10 days.</x:t>
        </x:is>
      </x:c>
    </x:row>
    <x:row r="8">
      <x:c r="A8" s="17" t="inlineStr">
        <x:is>
          <x:t xml:space="preserve">Fill Visit Japan Web customs/immigration QR</x:t>
        </x:is>
      </x:c>
      <x:c r="B8" s="17" t="inlineStr">
        <x:is>
          <x:t xml:space="preserve">All</x:t>
        </x:is>
      </x:c>
      <x:c r="C8" s="17" t="inlineStr">
        <x:is>
          <x:t xml:space="preserve">Before flight</x:t>
        </x:is>
      </x:c>
      <x:c r="D8" s="17" t="inlineStr">
        <x:is>
          <x:t xml:space="preserve">☐</x:t>
        </x:is>
      </x:c>
      <x:c r="E8" s="17" t="inlineStr">
        <x:is>
          <x:t xml:space="preserve">Screenshot QR codes.</x:t>
        </x:is>
      </x:c>
    </x:row>
    <x:row r="9">
      <x:c r="A9" s="17" t="inlineStr">
        <x:is>
          <x:t xml:space="preserve">Add Suica to phone wallet and enable Express Transit</x:t>
        </x:is>
      </x:c>
      <x:c r="B9" s="17" t="inlineStr">
        <x:is>
          <x:t xml:space="preserve">All</x:t>
        </x:is>
      </x:c>
      <x:c r="C9" s="17" t="inlineStr">
        <x:is>
          <x:t xml:space="preserve">Before flight</x:t>
        </x:is>
      </x:c>
      <x:c r="D9" s="17" t="inlineStr">
        <x:is>
          <x:t xml:space="preserve">☐</x:t>
        </x:is>
      </x:c>
      <x:c r="E9" s="17" t="inlineStr">
        <x:is>
          <x:t xml:space="preserve">Consider helping Hilda set this up.</x:t>
        </x:is>
      </x:c>
    </x:row>
    <x:row r="10">
      <x:c r="A10" s="17" t="inlineStr">
        <x:is>
          <x:t xml:space="preserve">Download offline maps: Tokyo/Kyoto/Hakone/Nara</x:t>
        </x:is>
      </x:c>
      <x:c r="B10" s="17" t="inlineStr">
        <x:is>
          <x:t xml:space="preserve">All</x:t>
        </x:is>
      </x:c>
      <x:c r="C10" s="17" t="inlineStr">
        <x:is>
          <x:t xml:space="preserve">Before flight</x:t>
        </x:is>
      </x:c>
      <x:c r="D10" s="17" t="inlineStr">
        <x:is>
          <x:t xml:space="preserve">☐</x:t>
        </x:is>
      </x:c>
      <x:c r="E10" s="17" t="inlineStr">
        <x:is>
          <x:t xml:space="preserve">Helpful if connection drops.</x:t>
        </x:is>
      </x:c>
    </x:row>
    <x:row r="11">
      <x:c r="A11" s="17" t="inlineStr">
        <x:is>
          <x:t xml:space="preserve">Book Ghibli Museum tickets</x:t>
        </x:is>
      </x:c>
      <x:c r="B11" s="17" t="inlineStr">
        <x:is>
          <x:t xml:space="preserve">David</x:t>
        </x:is>
      </x:c>
      <x:c r="C11" s="17" t="inlineStr">
        <x:is>
          <x:t xml:space="preserve">Ticket window</x:t>
        </x:is>
      </x:c>
      <x:c r="D11" s="17" t="inlineStr">
        <x:is>
          <x:t xml:space="preserve">☐</x:t>
        </x:is>
      </x:c>
      <x:c r="E11" s="17" t="inlineStr">
        <x:is>
          <x:t xml:space="preserve">Advance reservation required.</x:t>
        </x:is>
      </x:c>
    </x:row>
    <x:row r="12">
      <x:c r="A12" s="17" t="inlineStr">
        <x:is>
          <x:t xml:space="preserve">Check Nintendo Museum if interested</x:t>
        </x:is>
      </x:c>
      <x:c r="B12" s="17" t="inlineStr">
        <x:is>
          <x:t xml:space="preserve">David</x:t>
        </x:is>
      </x:c>
      <x:c r="C12" s="17" t="inlineStr">
        <x:is>
          <x:t xml:space="preserve">Ticket window</x:t>
        </x:is>
      </x:c>
      <x:c r="D12" s="17" t="inlineStr">
        <x:is>
          <x:t xml:space="preserve">☐</x:t>
        </x:is>
      </x:c>
      <x:c r="E12" s="17" t="inlineStr">
        <x:is>
          <x:t xml:space="preserve">Advance reservation required.</x:t>
        </x:is>
      </x:c>
    </x:row>
    <x:row r="13">
      <x:c r="A13" s="17" t="inlineStr">
        <x:is>
          <x:t xml:space="preserve">Check hotel laundry availability</x:t>
        </x:is>
      </x:c>
      <x:c r="B13" s="17" t="inlineStr">
        <x:is>
          <x:t xml:space="preserve">David</x:t>
        </x:is>
      </x:c>
      <x:c r="C13" s="17" t="inlineStr">
        <x:is>
          <x:t xml:space="preserve">Before final hotel picks</x:t>
        </x:is>
      </x:c>
      <x:c r="D13" s="17" t="inlineStr">
        <x:is>
          <x:t xml:space="preserve">☐</x:t>
        </x:is>
      </x:c>
      <x:c r="E13" s="17" t="inlineStr">
        <x:is>
          <x:t xml:space="preserve">Reduces packing.</x:t>
        </x:is>
      </x:c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24" style="146" customWidth="1"/>
    <x:col min="3" max="3" width="42" style="146" customWidth="1"/>
    <x:col min="4" max="4" width="36" style="146" customWidth="1"/>
    <x:col min="5" max="5" width="24" style="146" customWidth="1"/>
  </x:cols>
  <x:sheetData>
    <x:row r="1">
      <x:c r="A1" s="12" t="inlineStr">
        <x:is>
          <x:t xml:space="preserve">🗾 Tokyo Neighborhood Guide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Area</x:t>
        </x:is>
      </x:c>
      <x:c r="B4" s="22" t="inlineStr">
        <x:is>
          <x:t xml:space="preserve">Vibe</x:t>
        </x:is>
      </x:c>
      <x:c r="C4" s="22" t="inlineStr">
        <x:is>
          <x:t xml:space="preserve">Highlights</x:t>
        </x:is>
      </x:c>
      <x:c r="D4" s="22" t="inlineStr">
        <x:is>
          <x:t xml:space="preserve">Food / Notes</x:t>
        </x:is>
      </x:c>
      <x:c r="E4" s="22" t="inlineStr">
        <x:is>
          <x:t xml:space="preserve">Best Use</x:t>
        </x:is>
      </x:c>
    </x:row>
    <x:row r="5">
      <x:c r="A5" s="17" t="inlineStr">
        <x:is>
          <x:t xml:space="preserve">Akasaka</x:t>
        </x:is>
      </x:c>
      <x:c r="B5" s="17" t="inlineStr">
        <x:is>
          <x:t xml:space="preserve">Central, calmer, practical base</x:t>
        </x:is>
      </x:c>
      <x:c r="C5" s="17" t="inlineStr">
        <x:is>
          <x:t xml:space="preserve">Hie Shrine, restaurants, good transit</x:t>
        </x:is>
      </x:c>
      <x:c r="D5" s="17" t="inlineStr">
        <x:is>
          <x:t xml:space="preserve">Great home base for repeat Tokyo days</x:t>
        </x:is>
      </x:c>
      <x:c r="E5" s="17" t="inlineStr">
        <x:is>
          <x:t xml:space="preserve">Hotel base</x:t>
        </x:is>
      </x:c>
    </x:row>
    <x:row r="6">
      <x:c r="A6" s="17" t="inlineStr">
        <x:is>
          <x:t xml:space="preserve">Shibuya</x:t>
        </x:is>
      </x:c>
      <x:c r="B6" s="17" t="inlineStr">
        <x:is>
          <x:t xml:space="preserve">Hip, trendy, busy</x:t>
        </x:is>
      </x:c>
      <x:c r="C6" s="17" t="inlineStr">
        <x:is>
          <x:t xml:space="preserve">Scramble Crossing, Shibuya Sky, PARCO, Nintendo Tokyo</x:t>
        </x:is>
      </x:c>
      <x:c r="D6" s="17" t="inlineStr">
        <x:is>
          <x:t xml:space="preserve">Good shopping and night energy</x:t>
        </x:is>
      </x:c>
      <x:c r="E6" s="17" t="inlineStr">
        <x:is>
          <x:t xml:space="preserve">Modern Tokyo day</x:t>
        </x:is>
      </x:c>
    </x:row>
    <x:row r="7">
      <x:c r="A7" s="17" t="inlineStr">
        <x:is>
          <x:t xml:space="preserve">Harajuku / Omotesando</x:t>
        </x:is>
      </x:c>
      <x:c r="B7" s="17" t="inlineStr">
        <x:is>
          <x:t xml:space="preserve">Fashion-forward</x:t>
        </x:is>
      </x:c>
      <x:c r="C7" s="17" t="inlineStr">
        <x:is>
          <x:t xml:space="preserve">Meiji Shrine nearby, clothing stores, subcultures</x:t>
        </x:is>
      </x:c>
      <x:c r="D7" s="17" t="inlineStr">
        <x:is>
          <x:t xml:space="preserve">Pair with Shibuya</x:t>
        </x:is>
      </x:c>
      <x:c r="E7" s="17" t="inlineStr">
        <x:is>
          <x:t xml:space="preserve">Modern Tokyo day</x:t>
        </x:is>
      </x:c>
    </x:row>
    <x:row r="8">
      <x:c r="A8" s="17" t="inlineStr">
        <x:is>
          <x:t xml:space="preserve">Shinjuku</x:t>
        </x:is>
      </x:c>
      <x:c r="B8" s="17" t="inlineStr">
        <x:is>
          <x:t xml:space="preserve">Nightlife and huge station</x:t>
        </x:is>
      </x:c>
      <x:c r="C8" s="17" t="inlineStr">
        <x:is>
          <x:t xml:space="preserve">Godzilla head, Golden Gai, Omoide Yokocho, Art Cafe Artnia</x:t>
        </x:is>
      </x:c>
      <x:c r="D8" s="17" t="inlineStr">
        <x:is>
          <x:t xml:space="preserve">Kabukicho can feel seedy/aggressive late</x:t>
        </x:is>
      </x:c>
      <x:c r="E8" s="17" t="inlineStr">
        <x:is>
          <x:t xml:space="preserve">Evening optional</x:t>
        </x:is>
      </x:c>
    </x:row>
    <x:row r="9">
      <x:c r="A9" s="17" t="inlineStr">
        <x:is>
          <x:t xml:space="preserve">Asakusa</x:t>
        </x:is>
      </x:c>
      <x:c r="B9" s="17" t="inlineStr">
        <x:is>
          <x:t xml:space="preserve">Traditional, temple-focused</x:t>
        </x:is>
      </x:c>
      <x:c r="C9" s="17" t="inlineStr">
        <x:is>
          <x:t xml:space="preserve">Kaminarimon, Senso-ji, Nakamise</x:t>
        </x:is>
      </x:c>
      <x:c r="D9" s="17" t="inlineStr">
        <x:is>
          <x:t xml:space="preserve">Go earlier for atmosphere</x:t>
        </x:is>
      </x:c>
      <x:c r="E9" s="17" t="inlineStr">
        <x:is>
          <x:t xml:space="preserve">Classic Tokyo day</x:t>
        </x:is>
      </x:c>
    </x:row>
    <x:row r="10">
      <x:c r="A10" s="17" t="inlineStr">
        <x:is>
          <x:t xml:space="preserve">Akihabara</x:t>
        </x:is>
      </x:c>
      <x:c r="B10" s="17" t="inlineStr">
        <x:is>
          <x:t xml:space="preserve">Electronics/anime/games</x:t>
        </x:is>
      </x:c>
      <x:c r="C10" s="17" t="inlineStr">
        <x:is>
          <x:t xml:space="preserve">Arcades, manga/anime stores, gadgets</x:t>
        </x:is>
      </x:c>
      <x:c r="D10" s="17" t="inlineStr">
        <x:is>
          <x:t xml:space="preserve">Good for Nick / game interests</x:t>
        </x:is>
      </x:c>
      <x:c r="E10" s="17" t="inlineStr">
        <x:is>
          <x:t xml:space="preserve">Flexible Tokyo day</x:t>
        </x:is>
      </x:c>
    </x:row>
    <x:row r="11">
      <x:c r="A11" s="17" t="inlineStr">
        <x:is>
          <x:t xml:space="preserve">Ueno</x:t>
        </x:is>
      </x:c>
      <x:c r="B11" s="17" t="inlineStr">
        <x:is>
          <x:t xml:space="preserve">Museums/culture/markets</x:t>
        </x:is>
      </x:c>
      <x:c r="C11" s="17" t="inlineStr">
        <x:is>
          <x:t xml:space="preserve">Tokyo National Museum, Ueno Park, Ameyoko</x:t>
        </x:is>
      </x:c>
      <x:c r="D11" s="17" t="inlineStr">
        <x:is>
          <x:t xml:space="preserve">Pair with Asakusa</x:t>
        </x:is>
      </x:c>
      <x:c r="E11" s="17" t="inlineStr">
        <x:is>
          <x:t xml:space="preserve">Classic Tokyo day</x:t>
        </x:is>
      </x:c>
    </x:row>
    <x:row r="12">
      <x:c r="A12" s="17" t="inlineStr">
        <x:is>
          <x:t xml:space="preserve">Ginza / Tokyo Station</x:t>
        </x:is>
      </x:c>
      <x:c r="B12" s="17" t="inlineStr">
        <x:is>
          <x:t xml:space="preserve">Fancy shopping, restaurants</x:t>
        </x:is>
      </x:c>
      <x:c r="C12" s="17" t="inlineStr">
        <x:is>
          <x:t xml:space="preserve">Kabuki theater, department stores, station shops</x:t>
        </x:is>
      </x:c>
      <x:c r="D12" s="17" t="inlineStr">
        <x:is>
          <x:t xml:space="preserve">Good rainy-day area</x:t>
        </x:is>
      </x:c>
      <x:c r="E12" s="17" t="inlineStr">
        <x:is>
          <x:t xml:space="preserve">Shopping / rainy day</x:t>
        </x:is>
      </x:c>
    </x:row>
    <x:row r="13">
      <x:c r="A13" s="17" t="inlineStr">
        <x:is>
          <x:t xml:space="preserve">Odaiba / Toyosu</x:t>
        </x:is>
      </x:c>
      <x:c r="B13" s="17" t="inlineStr">
        <x:is>
          <x:t xml:space="preserve">Waterfront, modern</x:t>
        </x:is>
      </x:c>
      <x:c r="C13" s="17" t="inlineStr">
        <x:is>
          <x:t xml:space="preserve">teamLab Planets, Gundam, Toyosu/Tsukiji market nearby</x:t>
        </x:is>
      </x:c>
      <x:c r="D13" s="17" t="inlineStr">
        <x:is>
          <x:t xml:space="preserve">Wagyu to Worldwide noted in tips doc</x:t>
        </x:is>
      </x:c>
      <x:c r="E13" s="17" t="inlineStr">
        <x:is>
          <x:t xml:space="preserve">teamLab day</x:t>
        </x:is>
      </x:c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8" style="146" customWidth="1"/>
    <x:col min="2" max="2" width="20" style="146" customWidth="1"/>
    <x:col min="3" max="3" width="38" style="146" customWidth="1"/>
    <x:col min="4" max="4" width="34" style="146" customWidth="1"/>
    <x:col min="5" max="5" width="24" style="146" customWidth="1"/>
  </x:cols>
  <x:sheetData>
    <x:row r="1">
      <x:c r="A1" s="12" t="inlineStr">
        <x:is>
          <x:t xml:space="preserve">⛩ Kyoto District Guide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Area / Attraction</x:t>
        </x:is>
      </x:c>
      <x:c r="B4" s="22" t="inlineStr">
        <x:is>
          <x:t xml:space="preserve">Best Time</x:t>
        </x:is>
      </x:c>
      <x:c r="C4" s="22" t="inlineStr">
        <x:is>
          <x:t xml:space="preserve">Why</x:t>
        </x:is>
      </x:c>
      <x:c r="D4" s="22" t="inlineStr">
        <x:is>
          <x:t xml:space="preserve">Notes</x:t>
        </x:is>
      </x:c>
      <x:c r="E4" s="22" t="inlineStr">
        <x:is>
          <x:t xml:space="preserve">Planner Reminder</x:t>
        </x:is>
      </x:c>
    </x:row>
    <x:row r="5">
      <x:c r="A5" s="17" t="inlineStr">
        <x:is>
          <x:t xml:space="preserve">Fushimi Inari</x:t>
        </x:is>
      </x:c>
      <x:c r="B5" s="17" t="inlineStr">
        <x:is>
          <x:t xml:space="preserve">Before 7:30 AM</x:t>
        </x:is>
      </x:c>
      <x:c r="C5" s="17" t="inlineStr">
        <x:is>
          <x:t xml:space="preserve">Major crowds later; open 24 hours</x:t>
        </x:is>
      </x:c>
      <x:c r="D5" s="17" t="inlineStr">
        <x:is>
          <x:t xml:space="preserve">Iconic torii gates</x:t>
        </x:is>
      </x:c>
      <x:c r="E5" s="17" t="inlineStr">
        <x:is>
          <x:t xml:space="preserve">Early start day</x:t>
        </x:is>
      </x:c>
    </x:row>
    <x:row r="6">
      <x:c r="A6" s="17" t="inlineStr">
        <x:is>
          <x:t xml:space="preserve">Arashiyama Bamboo Grove</x:t>
        </x:is>
      </x:c>
      <x:c r="B6" s="17" t="inlineStr">
        <x:is>
          <x:t xml:space="preserve">Before 7:30 AM</x:t>
        </x:is>
      </x:c>
      <x:c r="C6" s="17" t="inlineStr">
        <x:is>
          <x:t xml:space="preserve">Very popular and crowded</x:t>
        </x:is>
      </x:c>
      <x:c r="D6" s="17" t="inlineStr">
        <x:is>
          <x:t xml:space="preserve">Pair with Monkey Park / river</x:t>
        </x:is>
      </x:c>
      <x:c r="E6" s="17" t="inlineStr">
        <x:is>
          <x:t xml:space="preserve">Early start day</x:t>
        </x:is>
      </x:c>
    </x:row>
    <x:row r="7">
      <x:c r="A7" s="17" t="inlineStr">
        <x:is>
          <x:t xml:space="preserve">Kiyomizu-dera</x:t>
        </x:is>
      </x:c>
      <x:c r="B7" s="17" t="inlineStr">
        <x:is>
          <x:t xml:space="preserve">Before 8:00 AM</x:t>
        </x:is>
      </x:c>
      <x:c r="C7" s="17" t="inlineStr">
        <x:is>
          <x:t xml:space="preserve">Crowds build fast</x:t>
        </x:is>
      </x:c>
      <x:c r="D7" s="17" t="inlineStr">
        <x:is>
          <x:t xml:space="preserve">Often open 6am–6pm; check current hours</x:t>
        </x:is>
      </x:c>
      <x:c r="E7" s="17" t="inlineStr">
        <x:is>
          <x:t xml:space="preserve">Bring temple cash</x:t>
        </x:is>
      </x:c>
    </x:row>
    <x:row r="8">
      <x:c r="A8" s="17" t="inlineStr">
        <x:is>
          <x:t xml:space="preserve">Sannenzaka / Ninenzaka</x:t>
        </x:is>
      </x:c>
      <x:c r="B8" s="17" t="inlineStr">
        <x:is>
          <x:t xml:space="preserve">Before 7:00 AM for photos</x:t>
        </x:is>
      </x:c>
      <x:c r="C8" s="17" t="inlineStr">
        <x:is>
          <x:t xml:space="preserve">Famous old streets/views</x:t>
        </x:is>
      </x:c>
      <x:c r="D8" s="17" t="inlineStr">
        <x:is>
          <x:t xml:space="preserve">Great atmospheric walk</x:t>
        </x:is>
      </x:c>
      <x:c r="E8" s="17" t="inlineStr">
        <x:is>
          <x:t xml:space="preserve">Pair with Kiyomizu</x:t>
        </x:is>
      </x:c>
    </x:row>
    <x:row r="9">
      <x:c r="A9" s="17" t="inlineStr">
        <x:is>
          <x:t xml:space="preserve">Kinkaku-ji</x:t>
        </x:is>
      </x:c>
      <x:c r="B9" s="17" t="inlineStr">
        <x:is>
          <x:t xml:space="preserve">Morning if possible</x:t>
        </x:is>
      </x:c>
      <x:c r="C9" s="17" t="inlineStr">
        <x:is>
          <x:t xml:space="preserve">Golden Pavilion classic sight</x:t>
        </x:is>
      </x:c>
      <x:c r="D9" s="17" t="inlineStr">
        <x:is>
          <x:t xml:space="preserve">Admission cash likely</x:t>
        </x:is>
      </x:c>
      <x:c r="E9" s="17" t="inlineStr">
        <x:is>
          <x:t xml:space="preserve">Pair with northern temples</x:t>
        </x:is>
      </x:c>
    </x:row>
    <x:row r="10">
      <x:c r="A10" s="17" t="inlineStr">
        <x:is>
          <x:t xml:space="preserve">Ginkaku-ji / Philosopher’s Path</x:t>
        </x:is>
      </x:c>
      <x:c r="B10" s="17" t="inlineStr">
        <x:is>
          <x:t xml:space="preserve">Morning / relaxed day</x:t>
        </x:is>
      </x:c>
      <x:c r="C10" s="17" t="inlineStr">
        <x:is>
          <x:t xml:space="preserve">Picturesque walk south toward Nanzen-ji</x:t>
        </x:is>
      </x:c>
      <x:c r="D10" s="17" t="inlineStr">
        <x:is>
          <x:t xml:space="preserve">Good slower Kyoto option</x:t>
        </x:is>
      </x:c>
      <x:c r="E10" s="17" t="inlineStr">
        <x:is>
          <x:t xml:space="preserve">Alternative day</x:t>
        </x:is>
      </x:c>
    </x:row>
    <x:row r="11">
      <x:c r="A11" s="17" t="inlineStr">
        <x:is>
          <x:t xml:space="preserve">Gion / Yasaka / Pontocho</x:t>
        </x:is>
      </x:c>
      <x:c r="B11" s="17" t="inlineStr">
        <x:is>
          <x:t xml:space="preserve">Evening</x:t>
        </x:is>
      </x:c>
      <x:c r="C11" s="17" t="inlineStr">
        <x:is>
          <x:t xml:space="preserve">Atmospheric streets, river, restaurants</x:t>
        </x:is>
      </x:c>
      <x:c r="D11" s="17" t="inlineStr">
        <x:is>
          <x:t xml:space="preserve">Respect geisha districts</x:t>
        </x:is>
      </x:c>
      <x:c r="E11" s="17" t="inlineStr">
        <x:is>
          <x:t xml:space="preserve">Evening stroll</x:t>
        </x:is>
      </x:c>
    </x:row>
    <x:row r="12">
      <x:c r="A12" s="17" t="inlineStr">
        <x:is>
          <x:t xml:space="preserve">Nishiki Market</x:t>
        </x:is>
      </x:c>
      <x:c r="B12" s="17" t="inlineStr">
        <x:is>
          <x:t xml:space="preserve">Late morning / lunch</x:t>
        </x:is>
      </x:c>
      <x:c r="C12" s="17" t="inlineStr">
        <x:is>
          <x:t xml:space="preserve">Food and shopping</x:t>
        </x:is>
      </x:c>
      <x:c r="D12" s="17" t="inlineStr">
        <x:is>
          <x:t xml:space="preserve">Can get crowded</x:t>
        </x:is>
      </x:c>
      <x:c r="E12" s="17" t="inlineStr">
        <x:is>
          <x:t xml:space="preserve">Good lunch day</x:t>
        </x:is>
      </x:c>
    </x:row>
    <x:row r="13">
      <x:c r="A13" s="17" t="inlineStr">
        <x:is>
          <x:t xml:space="preserve">Goshuincho</x:t>
        </x:is>
      </x:c>
      <x:c r="B13" s="17" t="inlineStr">
        <x:is>
          <x:t xml:space="preserve">Any temple day</x:t>
        </x:is>
      </x:c>
      <x:c r="C13" s="17" t="inlineStr">
        <x:is>
          <x:t xml:space="preserve">Collect temple calligraphy stamps</x:t>
        </x:is>
      </x:c>
      <x:c r="D13" s="17" t="inlineStr">
        <x:is>
          <x:t xml:space="preserve">Great souvenir if visiting many temples</x:t>
        </x:is>
      </x:c>
      <x:c r="E13" s="17" t="inlineStr">
        <x:is>
          <x:t xml:space="preserve">Bring cash</x:t>
        </x:is>
      </x:c>
    </x:row>
    <x:row r="14">
      <x:c r="A14" s="17" t="inlineStr">
        <x:is>
          <x:t xml:space="preserve">Kimono rental</x:t>
        </x:is>
      </x:c>
      <x:c r="B14" s="17" t="inlineStr">
        <x:is>
          <x:t xml:space="preserve">Morning rental</x:t>
        </x:is>
      </x:c>
      <x:c r="C14" s="17" t="inlineStr">
        <x:is>
          <x:t xml:space="preserve">Return same afternoon to avoid hassle</x:t>
        </x:is>
      </x:c>
      <x:c r="D14" s="17" t="inlineStr">
        <x:is>
          <x:t xml:space="preserve">Optional experience</x:t>
        </x:is>
      </x:c>
      <x:c r="E14" s="17" t="inlineStr">
        <x:is>
          <x:t xml:space="preserve">Book early if doing it</x:t>
        </x:is>
      </x:c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36" style="146" customWidth="1"/>
    <x:col min="4" max="4" width="30" style="146" customWidth="1"/>
  </x:cols>
  <x:sheetData>
    <x:row r="1">
      <x:c r="A1" s="12" t="inlineStr">
        <x:is>
          <x:t xml:space="preserve">♨ Hakone + 🦌 Nara Guide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Place</x:t>
        </x:is>
      </x:c>
      <x:c r="B4" s="22" t="inlineStr">
        <x:is>
          <x:t xml:space="preserve">What to do</x:t>
        </x:is>
      </x:c>
      <x:c r="C4" s="22" t="inlineStr">
        <x:is>
          <x:t xml:space="preserve">Notes</x:t>
        </x:is>
      </x:c>
      <x:c r="D4" s="22" t="inlineStr">
        <x:is>
          <x:t xml:space="preserve">Comfort / Hilda tip</x:t>
        </x:is>
      </x:c>
    </x:row>
    <x:row r="5">
      <x:c r="A5" s="17" t="inlineStr">
        <x:is>
          <x:t xml:space="preserve">Hakone Ryokan</x:t>
        </x:is>
      </x:c>
      <x:c r="B5" s="17" t="inlineStr">
        <x:is>
          <x:t xml:space="preserve">Private onsen, kaiseki dinner, relax</x:t>
        </x:is>
      </x:c>
      <x:c r="C5" s="17" t="inlineStr">
        <x:is>
          <x:t xml:space="preserve">Make this the splurge night</x:t>
        </x:is>
      </x:c>
      <x:c r="D5" s="17" t="inlineStr">
        <x:is>
          <x:t xml:space="preserve">Keep schedule light</x:t>
        </x:is>
      </x:c>
    </x:row>
    <x:row r="6">
      <x:c r="A6" s="17" t="inlineStr">
        <x:is>
          <x:t xml:space="preserve">Lake Ashi</x:t>
        </x:is>
      </x:c>
      <x:c r="B6" s="17" t="inlineStr">
        <x:is>
          <x:t xml:space="preserve">Pirate ship cruise and Fuji views if weather cooperates</x:t>
        </x:is>
      </x:c>
      <x:c r="C6" s="17" t="inlineStr">
        <x:is>
          <x:t xml:space="preserve">Weather-dependent</x:t>
        </x:is>
      </x:c>
      <x:c r="D6" s="17" t="inlineStr">
        <x:is>
          <x:t xml:space="preserve">Skip if weather is poor</x:t>
        </x:is>
      </x:c>
    </x:row>
    <x:row r="7">
      <x:c r="A7" s="17" t="inlineStr">
        <x:is>
          <x:t xml:space="preserve">Hakone Ropeway</x:t>
        </x:is>
      </x:c>
      <x:c r="B7" s="17" t="inlineStr">
        <x:is>
          <x:t xml:space="preserve">Mountain views / volcanic area</x:t>
        </x:is>
      </x:c>
      <x:c r="C7" s="17" t="inlineStr">
        <x:is>
          <x:t xml:space="preserve">Weather-dependent</x:t>
        </x:is>
      </x:c>
      <x:c r="D7" s="17" t="inlineStr">
        <x:is>
          <x:t xml:space="preserve">Use as optional, not mandatory</x:t>
        </x:is>
      </x:c>
    </x:row>
    <x:row r="8">
      <x:c r="A8" s="17" t="inlineStr">
        <x:is>
          <x:t xml:space="preserve">Open-Air Museum</x:t>
        </x:is>
      </x:c>
      <x:c r="B8" s="17" t="inlineStr">
        <x:is>
          <x:t xml:space="preserve">Good rainy/light-weather alternative</x:t>
        </x:is>
      </x:c>
      <x:c r="C8" s="17" t="inlineStr">
        <x:is>
          <x:t xml:space="preserve">Less strenuous than full outdoor loop</x:t>
        </x:is>
      </x:c>
      <x:c r="D8" s="17" t="inlineStr">
        <x:is>
          <x:t xml:space="preserve">Good comfort backup</x:t>
        </x:is>
      </x:c>
    </x:row>
    <x:row r="9">
      <x:c r="A9" s="17" t="inlineStr">
        <x:is>
          <x:t xml:space="preserve">Nara Park</x:t>
        </x:is>
      </x:c>
      <x:c r="B9" s="17" t="inlineStr">
        <x:is>
          <x:t xml:space="preserve">Deer and easy sightseeing</x:t>
        </x:is>
      </x:c>
      <x:c r="C9" s="17" t="inlineStr">
        <x:is>
          <x:t xml:space="preserve">About a short walk from station per uploaded guide</x:t>
        </x:is>
      </x:c>
      <x:c r="D9" s="17" t="inlineStr">
        <x:is>
          <x:t xml:space="preserve">Keep day simple</x:t>
        </x:is>
      </x:c>
    </x:row>
    <x:row r="10">
      <x:c r="A10" s="17" t="inlineStr">
        <x:is>
          <x:t xml:space="preserve">Todai-ji</x:t>
        </x:is>
      </x:c>
      <x:c r="B10" s="17" t="inlineStr">
        <x:is>
          <x:t xml:space="preserve">Core Nara temple stop</x:t>
        </x:is>
      </x:c>
      <x:c r="C10" s="17" t="inlineStr">
        <x:is>
          <x:t xml:space="preserve">Pair with deer park</x:t>
        </x:is>
      </x:c>
      <x:c r="D10" s="17" t="inlineStr">
        <x:is>
          <x:t xml:space="preserve">Return to Kyoto afterward</x:t>
        </x:is>
      </x:c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5" t="n"/>
      <x:c r="B13" s="5" t="n"/>
      <x:c r="C13" s="5" t="n"/>
      <x:c r="D13" s="5" t="n"/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28" style="146" customWidth="1"/>
    <x:col min="3" max="3" width="26" style="146" customWidth="1"/>
    <x:col min="4" max="4" width="30" style="146" customWidth="1"/>
    <x:col min="5" max="5" width="36" style="146" customWidth="1"/>
    <x:col min="6" max="6" width="38" style="146" customWidth="1"/>
    <x:col min="7" max="7" width="28" style="146" customWidth="1"/>
  </x:cols>
  <x:sheetData>
    <x:row r="1">
      <x:c r="A1" s="172" t="inlineStr">
        <x:is>
          <x:t xml:space="preserve">🇯🇵 Situational Phrase Guide</x:t>
        </x:is>
      </x:c>
      <x:c r="B1" s="172" t="n"/>
      <x:c r="C1" s="172" t="n"/>
      <x:c r="D1" s="172" t="n"/>
      <x:c r="E1" s="172" t="n"/>
      <x:c r="F1" s="172" t="n"/>
      <x:c r="G1" s="176" t="n"/>
    </x:row>
    <x:row r="2">
      <x:c r="A2" s="179" t="inlineStr">
        <x:is>
          <x:t xml:space="preserve">Search/filter this in the web app by English, Japanese, romaji, phonetics, category, or use case.</x:t>
        </x:is>
      </x:c>
      <x:c r="B2" s="179" t="n"/>
      <x:c r="C2" s="179" t="n"/>
      <x:c r="D2" s="179" t="n"/>
      <x:c r="E2" s="179" t="n"/>
      <x:c r="F2" s="179" t="n"/>
      <x:c r="G2" s="183" t="n"/>
    </x:row>
    <x:row r="3">
      <x:c r="A3" s="5" t="n"/>
      <x:c r="B3" s="5" t="n"/>
      <x:c r="C3" s="5" t="n"/>
      <x:c r="D3" s="5" t="n"/>
      <x:c r="E3" s="5" t="n"/>
      <x:c r="F3" s="5" t="n"/>
      <x:c r="G3" s="196" t="n"/>
    </x:row>
    <x:row r="4">
      <x:c r="A4" s="184" t="inlineStr">
        <x:is>
          <x:t xml:space="preserve">Category</x:t>
        </x:is>
      </x:c>
      <x:c r="B4" s="184" t="inlineStr">
        <x:is>
          <x:t xml:space="preserve">English</x:t>
        </x:is>
      </x:c>
      <x:c r="C4" s="184" t="inlineStr">
        <x:is>
          <x:t xml:space="preserve">Japanese</x:t>
        </x:is>
      </x:c>
      <x:c r="D4" s="184" t="inlineStr">
        <x:is>
          <x:t xml:space="preserve">Romaji</x:t>
        </x:is>
      </x:c>
      <x:c r="E4" s="184" t="inlineStr">
        <x:is>
          <x:t xml:space="preserve">Easy Phonetics</x:t>
        </x:is>
      </x:c>
      <x:c r="F4" s="184" t="inlineStr">
        <x:is>
          <x:t xml:space="preserve">Use</x:t>
        </x:is>
      </x:c>
      <x:c r="G4" s="189" t="inlineStr">
        <x:is>
          <x:t xml:space="preserve">Source / Notes</x:t>
        </x:is>
      </x:c>
    </x:row>
    <x:row r="5">
      <x:c r="A5" s="192" t="inlineStr">
        <x:is>
          <x:t xml:space="preserve">⭐ Favorites</x:t>
        </x:is>
      </x:c>
      <x:c r="B5" s="192" t="inlineStr">
        <x:is>
          <x:t xml:space="preserve">This, please. / I'd like this.</x:t>
        </x:is>
      </x:c>
      <x:c r="C5" s="192" t="inlineStr">
        <x:is>
          <x:t xml:space="preserve">これをください</x:t>
        </x:is>
      </x:c>
      <x:c r="D5" s="192" t="inlineStr">
        <x:is>
          <x:t xml:space="preserve">Kore o kudasai</x:t>
        </x:is>
      </x:c>
      <x:c r="E5" s="192" t="inlineStr">
        <x:is>
          <x:t xml:space="preserve">core-ay oh koo-dah-sigh</x:t>
        </x:is>
      </x:c>
      <x:c r="F5" s="192" t="inlineStr">
        <x:is>
          <x:t xml:space="preserve">Use while pointing at a menu/item.</x:t>
        </x:is>
      </x:c>
      <x:c r="G5" s="195" t="inlineStr">
        <x:is>
          <x:t xml:space="preserve">Core phrase from Japan Tips</x:t>
        </x:is>
      </x:c>
    </x:row>
    <x:row r="6">
      <x:c r="A6" s="192" t="inlineStr">
        <x:is>
          <x:t xml:space="preserve">⭐ Favorites</x:t>
        </x:is>
      </x:c>
      <x:c r="B6" s="192" t="inlineStr">
        <x:is>
          <x:t xml:space="preserve">This and this, please.</x:t>
        </x:is>
      </x:c>
      <x:c r="C6" s="192" t="inlineStr">
        <x:is>
          <x:t xml:space="preserve">これとこれをください</x:t>
        </x:is>
      </x:c>
      <x:c r="D6" s="192" t="inlineStr">
        <x:is>
          <x:t xml:space="preserve">Kore to kore o kudasai</x:t>
        </x:is>
      </x:c>
      <x:c r="E6" s="192" t="inlineStr">
        <x:is>
          <x:t xml:space="preserve">core-ay toh core-ay oh koo-dah-sigh</x:t>
        </x:is>
      </x:c>
      <x:c r="F6" s="192" t="inlineStr">
        <x:is>
          <x:t xml:space="preserve">Use while pointing at multiple items.</x:t>
        </x:is>
      </x:c>
      <x:c r="G6" s="195" t="inlineStr">
        <x:is>
          <x:t xml:space="preserve">Core phrase from Japan Tips</x:t>
        </x:is>
      </x:c>
    </x:row>
    <x:row r="7">
      <x:c r="A7" s="192" t="inlineStr">
        <x:is>
          <x:t xml:space="preserve">⭐ Favorites</x:t>
        </x:is>
      </x:c>
      <x:c r="B7" s="192" t="inlineStr">
        <x:is>
          <x:t xml:space="preserve">Thank you very much.</x:t>
        </x:is>
      </x:c>
      <x:c r="C7" s="192" t="inlineStr">
        <x:is>
          <x:t xml:space="preserve">ありがとうございます</x:t>
        </x:is>
      </x:c>
      <x:c r="D7" s="192" t="inlineStr">
        <x:is>
          <x:t xml:space="preserve">Arigatou gozaimasu</x:t>
        </x:is>
      </x:c>
      <x:c r="E7" s="192" t="inlineStr">
        <x:is>
          <x:t xml:space="preserve">ah-ree-gah-toh go-zah-ee-moss</x:t>
        </x:is>
      </x:c>
      <x:c r="F7" s="192" t="inlineStr">
        <x:is>
          <x:t xml:space="preserve">Default polite thank-you.</x:t>
        </x:is>
      </x:c>
      <x:c r="G7" s="195" t="inlineStr">
        <x:is>
          <x:t xml:space="preserve">Core phrase from Japan Tips</x:t>
        </x:is>
      </x:c>
    </x:row>
    <x:row r="8">
      <x:c r="A8" s="192" t="inlineStr">
        <x:is>
          <x:t xml:space="preserve">⭐ Favorites</x:t>
        </x:is>
      </x:c>
      <x:c r="B8" s="192" t="inlineStr">
        <x:is>
          <x:t xml:space="preserve">Excuse me / sorry.</x:t>
        </x:is>
      </x:c>
      <x:c r="C8" s="192" t="inlineStr">
        <x:is>
          <x:t xml:space="preserve">すみません</x:t>
        </x:is>
      </x:c>
      <x:c r="D8" s="192" t="inlineStr">
        <x:is>
          <x:t xml:space="preserve">Sumimasen</x:t>
        </x:is>
      </x:c>
      <x:c r="E8" s="192" t="inlineStr">
        <x:is>
          <x:t xml:space="preserve">soo-mee-mah-sen</x:t>
        </x:is>
      </x:c>
      <x:c r="F8" s="192" t="inlineStr">
        <x:is>
          <x:t xml:space="preserve">Getting attention, apologizing, passing through.</x:t>
        </x:is>
      </x:c>
      <x:c r="G8" s="195" t="inlineStr">
        <x:is>
          <x:t xml:space="preserve">Core phrase from Japan Tips</x:t>
        </x:is>
      </x:c>
    </x:row>
    <x:row r="9">
      <x:c r="A9" s="192" t="inlineStr">
        <x:is>
          <x:t xml:space="preserve">⭐ Favorites</x:t>
        </x:is>
      </x:c>
      <x:c r="B9" s="192" t="inlineStr">
        <x:is>
          <x:t xml:space="preserve">I'm okay / no thank you.</x:t>
        </x:is>
      </x:c>
      <x:c r="C9" s="192" t="inlineStr">
        <x:is>
          <x:t xml:space="preserve">大丈夫です</x:t>
        </x:is>
      </x:c>
      <x:c r="D9" s="192" t="inlineStr">
        <x:is>
          <x:t xml:space="preserve">Daijoubu desu</x:t>
        </x:is>
      </x:c>
      <x:c r="E9" s="192" t="inlineStr">
        <x:is>
          <x:t xml:space="preserve">die-joe-boo dess</x:t>
        </x:is>
      </x:c>
      <x:c r="F9" s="192" t="inlineStr">
        <x:is>
          <x:t xml:space="preserve">Decline bag, heating, extras, or help.</x:t>
        </x:is>
      </x:c>
      <x:c r="G9" s="195" t="inlineStr">
        <x:is>
          <x:t xml:space="preserve">Core phrase from Japan Tips</x:t>
        </x:is>
      </x:c>
    </x:row>
    <x:row r="10">
      <x:c r="A10" s="192" t="inlineStr">
        <x:is>
          <x:t xml:space="preserve">⭐ Favorites</x:t>
        </x:is>
      </x:c>
      <x:c r="B10" s="192" t="inlineStr">
        <x:is>
          <x:t xml:space="preserve">I don't understand.</x:t>
        </x:is>
      </x:c>
      <x:c r="C10" s="192" t="inlineStr">
        <x:is>
          <x:t xml:space="preserve">わかりません</x:t>
        </x:is>
      </x:c>
      <x:c r="D10" s="192" t="inlineStr">
        <x:is>
          <x:t xml:space="preserve">Wakarimasen</x:t>
        </x:is>
      </x:c>
      <x:c r="E10" s="192" t="inlineStr">
        <x:is>
          <x:t xml:space="preserve">wah-kah-ree-mah-sen</x:t>
        </x:is>
      </x:c>
      <x:c r="F10" s="192" t="inlineStr">
        <x:is>
          <x:t xml:space="preserve">Use when confused.</x:t>
        </x:is>
      </x:c>
      <x:c r="G10" s="195" t="inlineStr">
        <x:is>
          <x:t xml:space="preserve">Core phrase from Japan Tips</x:t>
        </x:is>
      </x:c>
    </x:row>
    <x:row r="11">
      <x:c r="A11" s="192" t="inlineStr">
        <x:is>
          <x:t xml:space="preserve">⭐ Favorites</x:t>
        </x:is>
      </x:c>
      <x:c r="B11" s="192" t="inlineStr">
        <x:is>
          <x:t xml:space="preserve">Do you speak English?</x:t>
        </x:is>
      </x:c>
      <x:c r="C11" s="192" t="inlineStr">
        <x:is>
          <x:t xml:space="preserve">英語を話せますか？</x:t>
        </x:is>
      </x:c>
      <x:c r="D11" s="192" t="inlineStr">
        <x:is>
          <x:t xml:space="preserve">Eigo o hanasemasu ka?</x:t>
        </x:is>
      </x:c>
      <x:c r="E11" s="192" t="inlineStr">
        <x:is>
          <x:t xml:space="preserve">ay-go oh ha-nah-seh-moss kah</x:t>
        </x:is>
      </x:c>
      <x:c r="F11" s="192" t="inlineStr">
        <x:is>
          <x:t xml:space="preserve">Ask politely when you need help.</x:t>
        </x:is>
      </x:c>
      <x:c r="G11" s="195" t="inlineStr">
        <x:is>
          <x:t xml:space="preserve">Core phrase from Japan Tips</x:t>
        </x:is>
      </x:c>
    </x:row>
    <x:row r="12">
      <x:c r="A12" s="192" t="inlineStr">
        <x:is>
          <x:t xml:space="preserve">⭐ Favorites</x:t>
        </x:is>
      </x:c>
      <x:c r="B12" s="192" t="inlineStr">
        <x:is>
          <x:t xml:space="preserve">Yes.</x:t>
        </x:is>
      </x:c>
      <x:c r="C12" s="192" t="inlineStr">
        <x:is>
          <x:t xml:space="preserve">はい</x:t>
        </x:is>
      </x:c>
      <x:c r="D12" s="192" t="inlineStr">
        <x:is>
          <x:t xml:space="preserve">Hai</x:t>
        </x:is>
      </x:c>
      <x:c r="E12" s="192" t="inlineStr">
        <x:is>
          <x:t xml:space="preserve">hi</x:t>
        </x:is>
      </x:c>
      <x:c r="F12" s="192" t="inlineStr">
        <x:is>
          <x:t xml:space="preserve">Simple yes.</x:t>
        </x:is>
      </x:c>
      <x:c r="G12" s="195" t="inlineStr">
        <x:is>
          <x:t xml:space="preserve">Core phrase from Japan Tips</x:t>
        </x:is>
      </x:c>
    </x:row>
    <x:row r="13">
      <x:c r="A13" s="192" t="inlineStr">
        <x:is>
          <x:t xml:space="preserve">⭐ Favorites</x:t>
        </x:is>
      </x:c>
      <x:c r="B13" s="192" t="inlineStr">
        <x:is>
          <x:t xml:space="preserve">No.</x:t>
        </x:is>
      </x:c>
      <x:c r="C13" s="192" t="inlineStr">
        <x:is>
          <x:t xml:space="preserve">いいえ</x:t>
        </x:is>
      </x:c>
      <x:c r="D13" s="192" t="inlineStr">
        <x:is>
          <x:t xml:space="preserve">Iie</x:t>
        </x:is>
      </x:c>
      <x:c r="E13" s="192" t="inlineStr">
        <x:is>
          <x:t xml:space="preserve">ee-yeh</x:t>
        </x:is>
      </x:c>
      <x:c r="F13" s="192" t="inlineStr">
        <x:is>
          <x:t xml:space="preserve">Simple no.</x:t>
        </x:is>
      </x:c>
      <x:c r="G13" s="195" t="inlineStr">
        <x:is>
          <x:t xml:space="preserve">Core phrase from Japan Tips</x:t>
        </x:is>
      </x:c>
    </x:row>
    <x:row r="14">
      <x:c r="A14" s="192" t="inlineStr">
        <x:is>
          <x:t xml:space="preserve">👋 Greetings</x:t>
        </x:is>
      </x:c>
      <x:c r="B14" s="192" t="inlineStr">
        <x:is>
          <x:t xml:space="preserve">Good morning.</x:t>
        </x:is>
      </x:c>
      <x:c r="C14" s="192" t="inlineStr">
        <x:is>
          <x:t xml:space="preserve">おはようございます</x:t>
        </x:is>
      </x:c>
      <x:c r="D14" s="192" t="inlineStr">
        <x:is>
          <x:t xml:space="preserve">Ohayou gozaimasu</x:t>
        </x:is>
      </x:c>
      <x:c r="E14" s="192" t="inlineStr">
        <x:is>
          <x:t xml:space="preserve">oh-hi-oh go-zah-ee-moss</x:t>
        </x:is>
      </x:c>
      <x:c r="F14" s="192" t="inlineStr">
        <x:is>
          <x:t xml:space="preserve">Polite morning greeting. Use until around 10 AM.</x:t>
        </x:is>
      </x:c>
      <x:c r="G14" s="195" t="inlineStr">
        <x:is>
          <x:t xml:space="preserve">Added from Japan Tips greeting section</x:t>
        </x:is>
      </x:c>
    </x:row>
    <x:row r="15">
      <x:c r="A15" s="192" t="inlineStr">
        <x:is>
          <x:t xml:space="preserve">👋 Greetings</x:t>
        </x:is>
      </x:c>
      <x:c r="B15" s="192" t="inlineStr">
        <x:is>
          <x:t xml:space="preserve">Good morning. (casual)</x:t>
        </x:is>
      </x:c>
      <x:c r="C15" s="192" t="inlineStr">
        <x:is>
          <x:t xml:space="preserve">おはよう</x:t>
        </x:is>
      </x:c>
      <x:c r="D15" s="192" t="inlineStr">
        <x:is>
          <x:t xml:space="preserve">Ohayou</x:t>
        </x:is>
      </x:c>
      <x:c r="E15" s="192" t="inlineStr">
        <x:is>
          <x:t xml:space="preserve">oh-hi-oh</x:t>
        </x:is>
      </x:c>
      <x:c r="F15" s="192" t="inlineStr">
        <x:is>
          <x:t xml:space="preserve">Casual morning greeting.</x:t>
        </x:is>
      </x:c>
      <x:c r="G15" s="195" t="inlineStr">
        <x:is>
          <x:t xml:space="preserve">Japan Tips says Ohayou / Ohio</x:t>
        </x:is>
      </x:c>
    </x:row>
    <x:row r="16">
      <x:c r="A16" s="192" t="inlineStr">
        <x:is>
          <x:t xml:space="preserve">👋 Greetings</x:t>
        </x:is>
      </x:c>
      <x:c r="B16" s="192" t="inlineStr">
        <x:is>
          <x:t xml:space="preserve">Hello / good afternoon.</x:t>
        </x:is>
      </x:c>
      <x:c r="C16" s="192" t="inlineStr">
        <x:is>
          <x:t xml:space="preserve">こんにちは</x:t>
        </x:is>
      </x:c>
      <x:c r="D16" s="192" t="inlineStr">
        <x:is>
          <x:t xml:space="preserve">Konnichiwa</x:t>
        </x:is>
      </x:c>
      <x:c r="E16" s="192" t="inlineStr">
        <x:is>
          <x:t xml:space="preserve">kon-nee-chee-wah</x:t>
        </x:is>
      </x:c>
      <x:c r="F16" s="192" t="inlineStr">
        <x:is>
          <x:t xml:space="preserve">General daytime greeting, roughly late morning to evening.</x:t>
        </x:is>
      </x:c>
      <x:c r="G16" s="195" t="inlineStr">
        <x:is>
          <x:t xml:space="preserve">Japan Tips greeting section</x:t>
        </x:is>
      </x:c>
    </x:row>
    <x:row r="17">
      <x:c r="A17" s="192" t="inlineStr">
        <x:is>
          <x:t xml:space="preserve">👋 Greetings</x:t>
        </x:is>
      </x:c>
      <x:c r="B17" s="192" t="inlineStr">
        <x:is>
          <x:t xml:space="preserve">Good evening.</x:t>
        </x:is>
      </x:c>
      <x:c r="C17" s="192" t="inlineStr">
        <x:is>
          <x:t xml:space="preserve">こんばんは</x:t>
        </x:is>
      </x:c>
      <x:c r="D17" s="192" t="inlineStr">
        <x:is>
          <x:t xml:space="preserve">Konbanwa</x:t>
        </x:is>
      </x:c>
      <x:c r="E17" s="192" t="inlineStr">
        <x:is>
          <x:t xml:space="preserve">kon-bahn-wah</x:t>
        </x:is>
      </x:c>
      <x:c r="F17" s="192" t="inlineStr">
        <x:is>
          <x:t xml:space="preserve">Evening greeting.</x:t>
        </x:is>
      </x:c>
      <x:c r="G17" s="195" t="inlineStr">
        <x:is>
          <x:t xml:space="preserve">Japan Tips greeting section</x:t>
        </x:is>
      </x:c>
    </x:row>
    <x:row r="18">
      <x:c r="A18" s="192" t="inlineStr">
        <x:is>
          <x:t xml:space="preserve">👋 Greetings</x:t>
        </x:is>
      </x:c>
      <x:c r="B18" s="192" t="inlineStr">
        <x:is>
          <x:t xml:space="preserve">Good night.</x:t>
        </x:is>
      </x:c>
      <x:c r="C18" s="192" t="inlineStr">
        <x:is>
          <x:t xml:space="preserve">おやすみなさい</x:t>
        </x:is>
      </x:c>
      <x:c r="D18" s="192" t="inlineStr">
        <x:is>
          <x:t xml:space="preserve">Oyasumi nasai</x:t>
        </x:is>
      </x:c>
      <x:c r="E18" s="192" t="inlineStr">
        <x:is>
          <x:t xml:space="preserve">oh-yah-soo-mee nah-sigh</x:t>
        </x:is>
      </x:c>
      <x:c r="F18" s="192" t="inlineStr">
        <x:is>
          <x:t xml:space="preserve">When going to bed or saying good night.</x:t>
        </x:is>
      </x:c>
      <x:c r="G18" s="195" t="inlineStr">
        <x:is>
          <x:t xml:space="preserve">Added useful greeting</x:t>
        </x:is>
      </x:c>
    </x:row>
    <x:row r="19">
      <x:c r="A19" s="192" t="inlineStr">
        <x:is>
          <x:t xml:space="preserve">👋 Greetings</x:t>
        </x:is>
      </x:c>
      <x:c r="B19" s="192" t="inlineStr">
        <x:is>
          <x:t xml:space="preserve">Bye / see ya.</x:t>
        </x:is>
      </x:c>
      <x:c r="C19" s="192" t="inlineStr">
        <x:is>
          <x:t xml:space="preserve">じゃあね</x:t>
        </x:is>
      </x:c>
      <x:c r="D19" s="192" t="inlineStr">
        <x:is>
          <x:t xml:space="preserve">Jaa ne</x:t>
        </x:is>
      </x:c>
      <x:c r="E19" s="192" t="inlineStr">
        <x:is>
          <x:t xml:space="preserve">jah-neh</x:t>
        </x:is>
      </x:c>
      <x:c r="F19" s="192" t="inlineStr">
        <x:is>
          <x:t xml:space="preserve">Casual goodbye.</x:t>
        </x:is>
      </x:c>
      <x:c r="G19" s="195" t="inlineStr">
        <x:is>
          <x:t xml:space="preserve">Japan Tips greeting section</x:t>
        </x:is>
      </x:c>
    </x:row>
    <x:row r="20">
      <x:c r="A20" s="192" t="inlineStr">
        <x:is>
          <x:t xml:space="preserve">👋 Greetings</x:t>
        </x:is>
      </x:c>
      <x:c r="B20" s="192" t="inlineStr">
        <x:is>
          <x:t xml:space="preserve">See you later.</x:t>
        </x:is>
      </x:c>
      <x:c r="C20" s="192" t="inlineStr">
        <x:is>
          <x:t xml:space="preserve">またね</x:t>
        </x:is>
      </x:c>
      <x:c r="D20" s="192" t="inlineStr">
        <x:is>
          <x:t xml:space="preserve">Mata ne</x:t>
        </x:is>
      </x:c>
      <x:c r="E20" s="192" t="inlineStr">
        <x:is>
          <x:t xml:space="preserve">mah-tah neh</x:t>
        </x:is>
      </x:c>
      <x:c r="F20" s="192" t="inlineStr">
        <x:is>
          <x:t xml:space="preserve">Casual see-you-later.</x:t>
        </x:is>
      </x:c>
      <x:c r="G20" s="195" t="inlineStr">
        <x:is>
          <x:t xml:space="preserve">Useful addition</x:t>
        </x:is>
      </x:c>
    </x:row>
    <x:row r="21">
      <x:c r="A21" s="192" t="inlineStr">
        <x:is>
          <x:t xml:space="preserve">👋 Greetings</x:t>
        </x:is>
      </x:c>
      <x:c r="B21" s="192" t="inlineStr">
        <x:is>
          <x:t xml:space="preserve">Farewell / goodbye.</x:t>
        </x:is>
      </x:c>
      <x:c r="C21" s="192" t="inlineStr">
        <x:is>
          <x:t xml:space="preserve">さようなら</x:t>
        </x:is>
      </x:c>
      <x:c r="D21" s="192" t="inlineStr">
        <x:is>
          <x:t xml:space="preserve">Sayounara</x:t>
        </x:is>
      </x:c>
      <x:c r="E21" s="192" t="inlineStr">
        <x:is>
          <x:t xml:space="preserve">sah-yo-na-ra</x:t>
        </x:is>
      </x:c>
      <x:c r="F21" s="192" t="inlineStr">
        <x:is>
          <x:t xml:space="preserve">Sounds more final/formal than casual bye.</x:t>
        </x:is>
      </x:c>
      <x:c r="G21" s="195" t="inlineStr">
        <x:is>
          <x:t xml:space="preserve">Japan Tips notes it sounds final</x:t>
        </x:is>
      </x:c>
    </x:row>
    <x:row r="22">
      <x:c r="A22" s="192" t="inlineStr">
        <x:is>
          <x:t xml:space="preserve">🙏 Polite</x:t>
        </x:is>
      </x:c>
      <x:c r="B22" s="192" t="inlineStr">
        <x:is>
          <x:t xml:space="preserve">I'm sorry / I apologize.</x:t>
        </x:is>
      </x:c>
      <x:c r="C22" s="192" t="inlineStr">
        <x:is>
          <x:t xml:space="preserve">ごめんなさい</x:t>
        </x:is>
      </x:c>
      <x:c r="D22" s="192" t="inlineStr">
        <x:is>
          <x:t xml:space="preserve">Gomen nasai</x:t>
        </x:is>
      </x:c>
      <x:c r="E22" s="192" t="inlineStr">
        <x:is>
          <x:t xml:space="preserve">go-men nah-sigh</x:t>
        </x:is>
      </x:c>
      <x:c r="F22" s="192" t="inlineStr">
        <x:is>
          <x:t xml:space="preserve">More direct apology.</x:t>
        </x:is>
      </x:c>
      <x:c r="G22" s="195" t="inlineStr">
        <x:is>
          <x:t xml:space="preserve">Core phrase from Japan Tips</x:t>
        </x:is>
      </x:c>
    </x:row>
    <x:row r="23">
      <x:c r="A23" s="192" t="inlineStr">
        <x:is>
          <x:t xml:space="preserve">🙏 Polite</x:t>
        </x:is>
      </x:c>
      <x:c r="B23" s="192" t="inlineStr">
        <x:is>
          <x:t xml:space="preserve">Excuse me for being rude / passing through.</x:t>
        </x:is>
      </x:c>
      <x:c r="C23" s="192" t="inlineStr">
        <x:is>
          <x:t xml:space="preserve">失礼します</x:t>
        </x:is>
      </x:c>
      <x:c r="D23" s="192" t="inlineStr">
        <x:is>
          <x:t xml:space="preserve">Shitsurei shimasu</x:t>
        </x:is>
      </x:c>
      <x:c r="E23" s="192" t="inlineStr">
        <x:is>
          <x:t xml:space="preserve">sheet-soo-ray shee-moss</x:t>
        </x:is>
      </x:c>
      <x:c r="F23" s="192" t="inlineStr">
        <x:is>
          <x:t xml:space="preserve">Passing through, interrupting, entering/exiting politely.</x:t>
        </x:is>
      </x:c>
      <x:c r="G23" s="195" t="inlineStr">
        <x:is>
          <x:t xml:space="preserve">Core phrase from Japan Tips</x:t>
        </x:is>
      </x:c>
    </x:row>
    <x:row r="24">
      <x:c r="A24" s="192" t="inlineStr">
        <x:is>
          <x:t xml:space="preserve">🙏 Polite</x:t>
        </x:is>
      </x:c>
      <x:c r="B24" s="192" t="inlineStr">
        <x:is>
          <x:t xml:space="preserve">Please.</x:t>
        </x:is>
      </x:c>
      <x:c r="C24" s="192" t="inlineStr">
        <x:is>
          <x:t xml:space="preserve">お願いします</x:t>
        </x:is>
      </x:c>
      <x:c r="D24" s="192" t="inlineStr">
        <x:is>
          <x:t xml:space="preserve">Onegaishimasu</x:t>
        </x:is>
      </x:c>
      <x:c r="E24" s="192" t="inlineStr">
        <x:is>
          <x:t xml:space="preserve">oh-neh-guy-shee-moss</x:t>
        </x:is>
      </x:c>
      <x:c r="F24" s="192" t="inlineStr">
        <x:is>
          <x:t xml:space="preserve">Polite request ending; useful everywhere.</x:t>
        </x:is>
      </x:c>
      <x:c r="G24" s="195" t="inlineStr">
        <x:is>
          <x:t xml:space="preserve">Useful addition</x:t>
        </x:is>
      </x:c>
    </x:row>
    <x:row r="25">
      <x:c r="A25" s="192" t="inlineStr">
        <x:is>
          <x:t xml:space="preserve">🙏 Polite</x:t>
        </x:is>
      </x:c>
      <x:c r="B25" s="192" t="inlineStr">
        <x:is>
          <x:t xml:space="preserve">Thank you. (short)</x:t>
        </x:is>
      </x:c>
      <x:c r="C25" s="192" t="inlineStr">
        <x:is>
          <x:t xml:space="preserve">ありがとう</x:t>
        </x:is>
      </x:c>
      <x:c r="D25" s="192" t="inlineStr">
        <x:is>
          <x:t xml:space="preserve">Arigatou</x:t>
        </x:is>
      </x:c>
      <x:c r="E25" s="192" t="inlineStr">
        <x:is>
          <x:t xml:space="preserve">ah-ree-gah-toh</x:t>
        </x:is>
      </x:c>
      <x:c r="F25" s="192" t="inlineStr">
        <x:is>
          <x:t xml:space="preserve">Casual thank-you.</x:t>
        </x:is>
      </x:c>
      <x:c r="G25" s="195" t="inlineStr">
        <x:is>
          <x:t xml:space="preserve">Core phrase from Japan Tips</x:t>
        </x:is>
      </x:c>
    </x:row>
    <x:row r="26">
      <x:c r="A26" s="192" t="inlineStr">
        <x:is>
          <x:t xml:space="preserve">🙏 Polite</x:t>
        </x:is>
      </x:c>
      <x:c r="B26" s="192" t="inlineStr">
        <x:is>
          <x:t xml:space="preserve">No problem / it's okay.</x:t>
        </x:is>
      </x:c>
      <x:c r="C26" s="192" t="inlineStr">
        <x:is>
          <x:t xml:space="preserve">大丈夫です</x:t>
        </x:is>
      </x:c>
      <x:c r="D26" s="192" t="inlineStr">
        <x:is>
          <x:t xml:space="preserve">Daijoubu desu</x:t>
        </x:is>
      </x:c>
      <x:c r="E26" s="192" t="inlineStr">
        <x:is>
          <x:t xml:space="preserve">die-joe-boo dess</x:t>
        </x:is>
      </x:c>
      <x:c r="F26" s="192" t="inlineStr">
        <x:is>
          <x:t xml:space="preserve">Polite version of 'I'm good/okay.'</x:t>
        </x:is>
      </x:c>
      <x:c r="G26" s="195" t="inlineStr">
        <x:is>
          <x:t xml:space="preserve">Core phrase from Japan Tips</x:t>
        </x:is>
      </x:c>
    </x:row>
    <x:row r="27">
      <x:c r="A27" s="192" t="inlineStr">
        <x:is>
          <x:t xml:space="preserve">🗺 Directions</x:t>
        </x:is>
      </x:c>
      <x:c r="B27" s="192" t="inlineStr">
        <x:is>
          <x:t xml:space="preserve">Where is ___?</x:t>
        </x:is>
      </x:c>
      <x:c r="C27" s="192" t="inlineStr">
        <x:is>
          <x:t xml:space="preserve">___はどこですか？</x:t>
        </x:is>
      </x:c>
      <x:c r="D27" s="192" t="inlineStr">
        <x:is>
          <x:t xml:space="preserve">___ wa doko desu ka?</x:t>
        </x:is>
      </x:c>
      <x:c r="E27" s="192" t="inlineStr">
        <x:is>
          <x:t xml:space="preserve">___ wah doh-koh dess kah</x:t>
        </x:is>
      </x:c>
      <x:c r="F27" s="192" t="inlineStr">
        <x:is>
          <x:t xml:space="preserve">Use with a place word, e.g., toire wa doko desu ka.</x:t>
        </x:is>
      </x:c>
      <x:c r="G27" s="195" t="inlineStr">
        <x:is>
          <x:t xml:space="preserve">Japan Tips getting places section</x:t>
        </x:is>
      </x:c>
    </x:row>
    <x:row r="28">
      <x:c r="A28" s="192" t="inlineStr">
        <x:is>
          <x:t xml:space="preserve">🗺 Directions</x:t>
        </x:is>
      </x:c>
      <x:c r="B28" s="192" t="inlineStr">
        <x:is>
          <x:t xml:space="preserve">Train station.</x:t>
        </x:is>
      </x:c>
      <x:c r="C28" s="192" t="inlineStr">
        <x:is>
          <x:t xml:space="preserve">駅</x:t>
        </x:is>
      </x:c>
      <x:c r="D28" s="192" t="inlineStr">
        <x:is>
          <x:t xml:space="preserve">Eki</x:t>
        </x:is>
      </x:c>
      <x:c r="E28" s="192" t="inlineStr">
        <x:is>
          <x:t xml:space="preserve">eh-key</x:t>
        </x:is>
      </x:c>
      <x:c r="F28" s="192" t="inlineStr">
        <x:is>
          <x:t xml:space="preserve">Useful place word.</x:t>
        </x:is>
      </x:c>
      <x:c r="G28" s="195" t="inlineStr">
        <x:is>
          <x:t xml:space="preserve">Japan Tips getting places section</x:t>
        </x:is>
      </x:c>
    </x:row>
    <x:row r="29">
      <x:c r="A29" s="192" t="inlineStr">
        <x:is>
          <x:t xml:space="preserve">🗺 Directions</x:t>
        </x:is>
      </x:c>
      <x:c r="B29" s="192" t="inlineStr">
        <x:is>
          <x:t xml:space="preserve">Bus stop.</x:t>
        </x:is>
      </x:c>
      <x:c r="C29" s="192" t="inlineStr">
        <x:is>
          <x:t xml:space="preserve">バス停</x:t>
        </x:is>
      </x:c>
      <x:c r="D29" s="192" t="inlineStr">
        <x:is>
          <x:t xml:space="preserve">Basu tei</x:t>
        </x:is>
      </x:c>
      <x:c r="E29" s="192" t="inlineStr">
        <x:is>
          <x:t xml:space="preserve">bah-sue tay</x:t>
        </x:is>
      </x:c>
      <x:c r="F29" s="192" t="inlineStr">
        <x:is>
          <x:t xml:space="preserve">Useful place word.</x:t>
        </x:is>
      </x:c>
      <x:c r="G29" s="195" t="inlineStr">
        <x:is>
          <x:t xml:space="preserve">Japan Tips getting places section</x:t>
        </x:is>
      </x:c>
    </x:row>
    <x:row r="30">
      <x:c r="A30" s="192" t="inlineStr">
        <x:is>
          <x:t xml:space="preserve">🗺 Directions</x:t>
        </x:is>
      </x:c>
      <x:c r="B30" s="192" t="inlineStr">
        <x:is>
          <x:t xml:space="preserve">Hotel.</x:t>
        </x:is>
      </x:c>
      <x:c r="C30" s="192" t="inlineStr">
        <x:is>
          <x:t xml:space="preserve">ホテル</x:t>
        </x:is>
      </x:c>
      <x:c r="D30" s="192" t="inlineStr">
        <x:is>
          <x:t xml:space="preserve">Hoteru</x:t>
        </x:is>
      </x:c>
      <x:c r="E30" s="192" t="inlineStr">
        <x:is>
          <x:t xml:space="preserve">ho-teh-roo</x:t>
        </x:is>
      </x:c>
      <x:c r="F30" s="192" t="inlineStr">
        <x:is>
          <x:t xml:space="preserve">Useful place word.</x:t>
        </x:is>
      </x:c>
      <x:c r="G30" s="195" t="inlineStr">
        <x:is>
          <x:t xml:space="preserve">Japan Tips getting places section</x:t>
        </x:is>
      </x:c>
    </x:row>
    <x:row r="31">
      <x:c r="A31" s="192" t="inlineStr">
        <x:is>
          <x:t xml:space="preserve">🗺 Directions</x:t>
        </x:is>
      </x:c>
      <x:c r="B31" s="192" t="inlineStr">
        <x:is>
          <x:t xml:space="preserve">Restaurant.</x:t>
        </x:is>
      </x:c>
      <x:c r="C31" s="192" t="inlineStr">
        <x:is>
          <x:t xml:space="preserve">レストラン</x:t>
        </x:is>
      </x:c>
      <x:c r="D31" s="192" t="inlineStr">
        <x:is>
          <x:t xml:space="preserve">Resutoran</x:t>
        </x:is>
      </x:c>
      <x:c r="E31" s="192" t="inlineStr">
        <x:is>
          <x:t xml:space="preserve">reh-sue-toe-rahn</x:t>
        </x:is>
      </x:c>
      <x:c r="F31" s="192" t="inlineStr">
        <x:is>
          <x:t xml:space="preserve">Useful place word.</x:t>
        </x:is>
      </x:c>
      <x:c r="G31" s="195" t="inlineStr">
        <x:is>
          <x:t xml:space="preserve">Japan Tips getting places section</x:t>
        </x:is>
      </x:c>
    </x:row>
    <x:row r="32">
      <x:c r="A32" s="192" t="inlineStr">
        <x:is>
          <x:t xml:space="preserve">🗺 Directions</x:t>
        </x:is>
      </x:c>
      <x:c r="B32" s="192" t="inlineStr">
        <x:is>
          <x:t xml:space="preserve">Bathroom.</x:t>
        </x:is>
      </x:c>
      <x:c r="C32" s="192" t="inlineStr">
        <x:is>
          <x:t xml:space="preserve">トイレ</x:t>
        </x:is>
      </x:c>
      <x:c r="D32" s="192" t="inlineStr">
        <x:is>
          <x:t xml:space="preserve">Toire</x:t>
        </x:is>
      </x:c>
      <x:c r="E32" s="192" t="inlineStr">
        <x:is>
          <x:t xml:space="preserve">toy-reh</x:t>
        </x:is>
      </x:c>
      <x:c r="F32" s="192" t="inlineStr">
        <x:is>
          <x:t xml:space="preserve">Very useful.</x:t>
        </x:is>
      </x:c>
      <x:c r="G32" s="195" t="inlineStr">
        <x:is>
          <x:t xml:space="preserve">Japan Tips getting places section</x:t>
        </x:is>
      </x:c>
    </x:row>
    <x:row r="33">
      <x:c r="A33" s="192" t="inlineStr">
        <x:is>
          <x:t xml:space="preserve">🗺 Directions</x:t>
        </x:is>
      </x:c>
      <x:c r="B33" s="192" t="inlineStr">
        <x:is>
          <x:t xml:space="preserve">Police box.</x:t>
        </x:is>
      </x:c>
      <x:c r="C33" s="192" t="inlineStr">
        <x:is>
          <x:t xml:space="preserve">交番</x:t>
        </x:is>
      </x:c>
      <x:c r="D33" s="192" t="inlineStr">
        <x:is>
          <x:t xml:space="preserve">Kouban</x:t>
        </x:is>
      </x:c>
      <x:c r="E33" s="192" t="inlineStr">
        <x:is>
          <x:t xml:space="preserve">kohh-bahn</x:t>
        </x:is>
      </x:c>
      <x:c r="F33" s="192" t="inlineStr">
        <x:is>
          <x:t xml:space="preserve">Small police/security office.</x:t>
        </x:is>
      </x:c>
      <x:c r="G33" s="195" t="inlineStr">
        <x:is>
          <x:t xml:space="preserve">Japan Tips getting places section</x:t>
        </x:is>
      </x:c>
    </x:row>
    <x:row r="34">
      <x:c r="A34" s="192" t="inlineStr">
        <x:is>
          <x:t xml:space="preserve">🗺 Directions</x:t>
        </x:is>
      </x:c>
      <x:c r="B34" s="192" t="inlineStr">
        <x:is>
          <x:t xml:space="preserve">Coin locker.</x:t>
        </x:is>
      </x:c>
      <x:c r="C34" s="192" t="inlineStr">
        <x:is>
          <x:t xml:space="preserve">コインロッカー</x:t>
        </x:is>
      </x:c>
      <x:c r="D34" s="192" t="inlineStr">
        <x:is>
          <x:t xml:space="preserve">Koin rokkaa</x:t>
        </x:is>
      </x:c>
      <x:c r="E34" s="192" t="inlineStr">
        <x:is>
          <x:t xml:space="preserve">koh-een roh-kah</x:t>
        </x:is>
      </x:c>
      <x:c r="F34" s="192" t="inlineStr">
        <x:is>
          <x:t xml:space="preserve">Useful in stations.</x:t>
        </x:is>
      </x:c>
      <x:c r="G34" s="195" t="inlineStr">
        <x:is>
          <x:t xml:space="preserve">Japan Tips getting places section</x:t>
        </x:is>
      </x:c>
    </x:row>
    <x:row r="35">
      <x:c r="A35" s="192" t="inlineStr">
        <x:is>
          <x:t xml:space="preserve">🗺 Directions</x:t>
        </x:is>
      </x:c>
      <x:c r="B35" s="192" t="inlineStr">
        <x:is>
          <x:t xml:space="preserve">Hospital.</x:t>
        </x:is>
      </x:c>
      <x:c r="C35" s="192" t="inlineStr">
        <x:is>
          <x:t xml:space="preserve">病院</x:t>
        </x:is>
      </x:c>
      <x:c r="D35" s="192" t="inlineStr">
        <x:is>
          <x:t xml:space="preserve">Byouin</x:t>
        </x:is>
      </x:c>
      <x:c r="E35" s="192" t="inlineStr">
        <x:is>
          <x:t xml:space="preserve">b'yoh-een</x:t>
        </x:is>
      </x:c>
      <x:c r="F35" s="192" t="inlineStr">
        <x:is>
          <x:t xml:space="preserve">Emergency/medical.</x:t>
        </x:is>
      </x:c>
      <x:c r="G35" s="195" t="inlineStr">
        <x:is>
          <x:t xml:space="preserve">Japan Tips getting places section</x:t>
        </x:is>
      </x:c>
    </x:row>
    <x:row r="36">
      <x:c r="A36" s="192" t="inlineStr">
        <x:is>
          <x:t xml:space="preserve">🗺 Directions</x:t>
        </x:is>
      </x:c>
      <x:c r="B36" s="192" t="inlineStr">
        <x:is>
          <x:t xml:space="preserve">Entrance.</x:t>
        </x:is>
      </x:c>
      <x:c r="C36" s="192" t="inlineStr">
        <x:is>
          <x:t xml:space="preserve">入口</x:t>
        </x:is>
      </x:c>
      <x:c r="D36" s="192" t="inlineStr">
        <x:is>
          <x:t xml:space="preserve">Iriguchi</x:t>
        </x:is>
      </x:c>
      <x:c r="E36" s="192" t="inlineStr">
        <x:is>
          <x:t xml:space="preserve">ear-ee-goo-chee</x:t>
        </x:is>
      </x:c>
      <x:c r="F36" s="192" t="inlineStr">
        <x:is>
          <x:t xml:space="preserve">Sign reading.</x:t>
        </x:is>
      </x:c>
      <x:c r="G36" s="195" t="inlineStr">
        <x:is>
          <x:t xml:space="preserve">Japan Tips getting places section</x:t>
        </x:is>
      </x:c>
    </x:row>
    <x:row r="37">
      <x:c r="A37" s="192" t="inlineStr">
        <x:is>
          <x:t xml:space="preserve">🗺 Directions</x:t>
        </x:is>
      </x:c>
      <x:c r="B37" s="192" t="inlineStr">
        <x:is>
          <x:t xml:space="preserve">Exit.</x:t>
        </x:is>
      </x:c>
      <x:c r="C37" s="192" t="inlineStr">
        <x:is>
          <x:t xml:space="preserve">出口</x:t>
        </x:is>
      </x:c>
      <x:c r="D37" s="192" t="inlineStr">
        <x:is>
          <x:t xml:space="preserve">Deguchi</x:t>
        </x:is>
      </x:c>
      <x:c r="E37" s="192" t="inlineStr">
        <x:is>
          <x:t xml:space="preserve">day-goo-chee</x:t>
        </x:is>
      </x:c>
      <x:c r="F37" s="192" t="inlineStr">
        <x:is>
          <x:t xml:space="preserve">Sign reading.</x:t>
        </x:is>
      </x:c>
      <x:c r="G37" s="195" t="inlineStr">
        <x:is>
          <x:t xml:space="preserve">Japan Tips getting places section</x:t>
        </x:is>
      </x:c>
    </x:row>
    <x:row r="38">
      <x:c r="A38" s="192" t="inlineStr">
        <x:is>
          <x:t xml:space="preserve">🚆 Transit</x:t>
        </x:is>
      </x:c>
      <x:c r="B38" s="192" t="inlineStr">
        <x:is>
          <x:t xml:space="preserve">Does this train go to Kyoto?</x:t>
        </x:is>
      </x:c>
      <x:c r="C38" s="192" t="inlineStr">
        <x:is>
          <x:t xml:space="preserve">この電車は京都に行きますか？</x:t>
        </x:is>
      </x:c>
      <x:c r="D38" s="192" t="inlineStr">
        <x:is>
          <x:t xml:space="preserve">Kono densha wa Kyoto ni ikimasu ka?</x:t>
        </x:is>
      </x:c>
      <x:c r="E38" s="192" t="inlineStr">
        <x:is>
          <x:t xml:space="preserve">koh-no den-shah wah kyoh-toh nee ee-kee-moss kah</x:t>
        </x:is>
      </x:c>
      <x:c r="F38" s="192" t="inlineStr">
        <x:is>
          <x:t xml:space="preserve">Confirm a train route.</x:t>
        </x:is>
      </x:c>
      <x:c r="G38" s="195" t="inlineStr">
        <x:is>
          <x:t xml:space="preserve">Useful addition</x:t>
        </x:is>
      </x:c>
    </x:row>
    <x:row r="39">
      <x:c r="A39" s="192" t="inlineStr">
        <x:is>
          <x:t xml:space="preserve">🚆 Transit</x:t>
        </x:is>
      </x:c>
      <x:c r="B39" s="192" t="inlineStr">
        <x:is>
          <x:t xml:space="preserve">Where is platform 3?</x:t>
        </x:is>
      </x:c>
      <x:c r="C39" s="192" t="inlineStr">
        <x:is>
          <x:t xml:space="preserve">3番線はどこですか？</x:t>
        </x:is>
      </x:c>
      <x:c r="D39" s="192" t="inlineStr">
        <x:is>
          <x:t xml:space="preserve">San-ban sen wa doko desu ka?</x:t>
        </x:is>
      </x:c>
      <x:c r="E39" s="192" t="inlineStr">
        <x:is>
          <x:t xml:space="preserve">sahn-bahn sen wah doh-koh dess kah</x:t>
        </x:is>
      </x:c>
      <x:c r="F39" s="192" t="inlineStr">
        <x:is>
          <x:t xml:space="preserve">Station platform help.</x:t>
        </x:is>
      </x:c>
      <x:c r="G39" s="195" t="inlineStr">
        <x:is>
          <x:t xml:space="preserve">Useful addition</x:t>
        </x:is>
      </x:c>
    </x:row>
    <x:row r="40">
      <x:c r="A40" s="192" t="inlineStr">
        <x:is>
          <x:t xml:space="preserve">🚆 Transit</x:t>
        </x:is>
      </x:c>
      <x:c r="B40" s="192" t="inlineStr">
        <x:is>
          <x:t xml:space="preserve">Where is the exit?</x:t>
        </x:is>
      </x:c>
      <x:c r="C40" s="192" t="inlineStr">
        <x:is>
          <x:t xml:space="preserve">出口はどこですか？</x:t>
        </x:is>
      </x:c>
      <x:c r="D40" s="192" t="inlineStr">
        <x:is>
          <x:t xml:space="preserve">Deguchi wa doko desu ka?</x:t>
        </x:is>
      </x:c>
      <x:c r="E40" s="192" t="inlineStr">
        <x:is>
          <x:t xml:space="preserve">day-goo-chee wah doh-koh dess kah</x:t>
        </x:is>
      </x:c>
      <x:c r="F40" s="192" t="inlineStr">
        <x:is>
          <x:t xml:space="preserve">Large stations can be confusing.</x:t>
        </x:is>
      </x:c>
      <x:c r="G40" s="195" t="inlineStr">
        <x:is>
          <x:t xml:space="preserve">Based on Japan Tips transport note</x:t>
        </x:is>
      </x:c>
    </x:row>
    <x:row r="41">
      <x:c r="A41" s="195" t="inlineStr">
        <x:is>
          <x:t xml:space="preserve">🚆 Transit</x:t>
        </x:is>
      </x:c>
      <x:c r="B41" s="195" t="inlineStr">
        <x:is>
          <x:t xml:space="preserve">Where is the coin locker?</x:t>
        </x:is>
      </x:c>
      <x:c r="C41" s="195" t="inlineStr">
        <x:is>
          <x:t xml:space="preserve">コインロッカーはどこですか？</x:t>
        </x:is>
      </x:c>
      <x:c r="D41" s="195" t="inlineStr">
        <x:is>
          <x:t xml:space="preserve">Koin rokkaa wa doko desu ka?</x:t>
        </x:is>
      </x:c>
      <x:c r="E41" s="195" t="inlineStr">
        <x:is>
          <x:t xml:space="preserve">koh-een roh-kah wah doh-koh dess kah</x:t>
        </x:is>
      </x:c>
      <x:c r="F41" s="195" t="inlineStr">
        <x:is>
          <x:t xml:space="preserve">Finding lockers in stations.</x:t>
        </x:is>
      </x:c>
      <x:c r="G41" s="195" t="inlineStr">
        <x:is>
          <x:t xml:space="preserve">Japan Tips place word</x:t>
        </x:is>
      </x:c>
    </x:row>
    <x:row r="42">
      <x:c r="A42" s="195" t="inlineStr">
        <x:is>
          <x:t xml:space="preserve">🚆 Transit</x:t>
        </x:is>
      </x:c>
      <x:c r="B42" s="195" t="inlineStr">
        <x:is>
          <x:t xml:space="preserve">Can I use Suica?</x:t>
        </x:is>
      </x:c>
      <x:c r="C42" s="195" t="inlineStr">
        <x:is>
          <x:t xml:space="preserve">スイカは使えますか？</x:t>
        </x:is>
      </x:c>
      <x:c r="D42" s="195" t="inlineStr">
        <x:is>
          <x:t xml:space="preserve">Suika wa tsukaemasu ka?</x:t>
        </x:is>
      </x:c>
      <x:c r="E42" s="195" t="inlineStr">
        <x:is>
          <x:t xml:space="preserve">swee-kah wah tsoo-kah-eh-moss kah</x:t>
        </x:is>
      </x:c>
      <x:c r="F42" s="195" t="inlineStr">
        <x:is>
          <x:t xml:space="preserve">Transit/shops that accept IC cards.</x:t>
        </x:is>
      </x:c>
      <x:c r="G42" s="195" t="inlineStr">
        <x:is>
          <x:t xml:space="preserve">Prepping section mentions Suica</x:t>
        </x:is>
      </x:c>
    </x:row>
    <x:row r="43">
      <x:c r="A43" s="195" t="inlineStr">
        <x:is>
          <x:t xml:space="preserve">🍜 Restaurant</x:t>
        </x:is>
      </x:c>
      <x:c r="B43" s="195" t="inlineStr">
        <x:is>
          <x:t xml:space="preserve">Table for four, please.</x:t>
        </x:is>
      </x:c>
      <x:c r="C43" s="195" t="inlineStr">
        <x:is>
          <x:t xml:space="preserve">4人です。お願いします。</x:t>
        </x:is>
      </x:c>
      <x:c r="D43" s="195" t="inlineStr">
        <x:is>
          <x:t xml:space="preserve">Yon-nin desu. Onegaishimasu</x:t>
        </x:is>
      </x:c>
      <x:c r="E43" s="195" t="inlineStr">
        <x:is>
          <x:t xml:space="preserve">yohn-neen dess, oh-neh-guy-shee-moss</x:t>
        </x:is>
      </x:c>
      <x:c r="F43" s="195" t="inlineStr">
        <x:is>
          <x:t xml:space="preserve">Entering a restaurant with four people.</x:t>
        </x:is>
      </x:c>
      <x:c r="G43" s="195" t="inlineStr">
        <x:is>
          <x:t xml:space="preserve">Japan Tips says fingers are often enough</x:t>
        </x:is>
      </x:c>
    </x:row>
    <x:row r="44">
      <x:c r="A44" s="195" t="inlineStr">
        <x:is>
          <x:t xml:space="preserve">🍜 Restaurant</x:t>
        </x:is>
      </x:c>
      <x:c r="B44" s="195" t="inlineStr">
        <x:is>
          <x:t xml:space="preserve">Table for two, please.</x:t>
        </x:is>
      </x:c>
      <x:c r="C44" s="195" t="inlineStr">
        <x:is>
          <x:t xml:space="preserve">2人です。お願いします。</x:t>
        </x:is>
      </x:c>
      <x:c r="D44" s="195" t="inlineStr">
        <x:is>
          <x:t xml:space="preserve">Futari desu. Onegaishimasu</x:t>
        </x:is>
      </x:c>
      <x:c r="E44" s="195" t="inlineStr">
        <x:is>
          <x:t xml:space="preserve">foo-tah-ree dess, oh-neh-guy-shee-moss</x:t>
        </x:is>
      </x:c>
      <x:c r="F44" s="195" t="inlineStr">
        <x:is>
          <x:t xml:space="preserve">Entering as two people.</x:t>
        </x:is>
      </x:c>
      <x:c r="G44" s="195" t="inlineStr">
        <x:is>
          <x:t xml:space="preserve">Useful addition</x:t>
        </x:is>
      </x:c>
    </x:row>
    <x:row r="45">
      <x:c r="A45" s="195" t="inlineStr">
        <x:is>
          <x:t xml:space="preserve">🍜 Restaurant</x:t>
        </x:is>
      </x:c>
      <x:c r="B45" s="195" t="inlineStr">
        <x:is>
          <x:t xml:space="preserve">I have a reservation.</x:t>
        </x:is>
      </x:c>
      <x:c r="C45" s="195" t="inlineStr">
        <x:is>
          <x:t xml:space="preserve">予約をしました</x:t>
        </x:is>
      </x:c>
      <x:c r="D45" s="195" t="inlineStr">
        <x:is>
          <x:t xml:space="preserve">Yoyaku o shimashita</x:t>
        </x:is>
      </x:c>
      <x:c r="E45" s="195" t="inlineStr">
        <x:is>
          <x:t xml:space="preserve">yo-yah-koo oh shee-mosh-tah</x:t>
        </x:is>
      </x:c>
      <x:c r="F45" s="195" t="inlineStr">
        <x:is>
          <x:t xml:space="preserve">At restaurants/hotels with a booking.</x:t>
        </x:is>
      </x:c>
      <x:c r="G45" s="195" t="inlineStr">
        <x:is>
          <x:t xml:space="preserve">Japan Tips shopping/eating section</x:t>
        </x:is>
      </x:c>
    </x:row>
    <x:row r="46">
      <x:c r="A46" s="195" t="inlineStr">
        <x:is>
          <x:t xml:space="preserve">🍜 Restaurant</x:t>
        </x:is>
      </x:c>
      <x:c r="B46" s="195" t="inlineStr">
        <x:is>
          <x:t xml:space="preserve">Do you have ___?</x:t>
        </x:is>
      </x:c>
      <x:c r="C46" s="195" t="inlineStr">
        <x:is>
          <x:t xml:space="preserve">___がありますか？</x:t>
        </x:is>
      </x:c>
      <x:c r="D46" s="195" t="inlineStr">
        <x:is>
          <x:t xml:space="preserve">___ ga arimasu ka?</x:t>
        </x:is>
      </x:c>
      <x:c r="E46" s="195" t="inlineStr">
        <x:is>
          <x:t xml:space="preserve">___ gah ah-ree-moss kah</x:t>
        </x:is>
      </x:c>
      <x:c r="F46" s="195" t="inlineStr">
        <x:is>
          <x:t xml:space="preserve">Ask whether they have a thing.</x:t>
        </x:is>
      </x:c>
      <x:c r="G46" s="195" t="inlineStr">
        <x:is>
          <x:t xml:space="preserve">Japan Tips shopping/eating section</x:t>
        </x:is>
      </x:c>
    </x:row>
    <x:row r="47">
      <x:c r="A47" s="195" t="inlineStr">
        <x:is>
          <x:t xml:space="preserve">🍜 Restaurant</x:t>
        </x:is>
      </x:c>
      <x:c r="B47" s="195" t="inlineStr">
        <x:is>
          <x:t xml:space="preserve">I'm allergic to ___.</x:t>
        </x:is>
      </x:c>
      <x:c r="C47" s="195" t="inlineStr">
        <x:is>
          <x:t xml:space="preserve">___にアレルギーがあります</x:t>
        </x:is>
      </x:c>
      <x:c r="D47" s="195" t="inlineStr">
        <x:is>
          <x:t xml:space="preserve">___ ni arerugii ga arimasu</x:t>
        </x:is>
      </x:c>
      <x:c r="E47" s="195" t="inlineStr">
        <x:is>
          <x:t xml:space="preserve">___ knee ah-reh-roo-gee gah ah-ree-moss</x:t>
        </x:is>
      </x:c>
      <x:c r="F47" s="195" t="inlineStr">
        <x:is>
          <x:t xml:space="preserve">Allergy phrase.</x:t>
        </x:is>
      </x:c>
      <x:c r="G47" s="195" t="inlineStr">
        <x:is>
          <x:t xml:space="preserve">Japan Tips shopping/eating section</x:t>
        </x:is>
      </x:c>
    </x:row>
    <x:row r="48">
      <x:c r="A48" s="195" t="inlineStr">
        <x:is>
          <x:t xml:space="preserve">🍜 Restaurant</x:t>
        </x:is>
      </x:c>
      <x:c r="B48" s="195" t="inlineStr">
        <x:is>
          <x:t xml:space="preserve">How much does it cost?</x:t>
        </x:is>
      </x:c>
      <x:c r="C48" s="195" t="inlineStr">
        <x:is>
          <x:t xml:space="preserve">いくらですか？</x:t>
        </x:is>
      </x:c>
      <x:c r="D48" s="195" t="inlineStr">
        <x:is>
          <x:t xml:space="preserve">Ikura desu ka?</x:t>
        </x:is>
      </x:c>
      <x:c r="E48" s="195" t="inlineStr">
        <x:is>
          <x:t xml:space="preserve">ee-koo-rah dess kah</x:t>
        </x:is>
      </x:c>
      <x:c r="F48" s="195" t="inlineStr">
        <x:is>
          <x:t xml:space="preserve">Asking price.</x:t>
        </x:is>
      </x:c>
      <x:c r="G48" s="195" t="inlineStr">
        <x:is>
          <x:t xml:space="preserve">Japan Tips shopping/eating section</x:t>
        </x:is>
      </x:c>
    </x:row>
    <x:row r="49">
      <x:c r="A49" s="195" t="inlineStr">
        <x:is>
          <x:t xml:space="preserve">🍜 Restaurant</x:t>
        </x:is>
      </x:c>
      <x:c r="B49" s="195" t="inlineStr">
        <x:is>
          <x:t xml:space="preserve">Can I use a credit card?</x:t>
        </x:is>
      </x:c>
      <x:c r="C49" s="195" t="inlineStr">
        <x:is>
          <x:t xml:space="preserve">カードは大丈夫ですか？</x:t>
        </x:is>
      </x:c>
      <x:c r="D49" s="195" t="inlineStr">
        <x:is>
          <x:t xml:space="preserve">Kaado wa daijoubu desu ka?</x:t>
        </x:is>
      </x:c>
      <x:c r="E49" s="195" t="inlineStr">
        <x:is>
          <x:t xml:space="preserve">kah-doh wah die-joe-boo dess kah</x:t>
        </x:is>
      </x:c>
      <x:c r="F49" s="195" t="inlineStr">
        <x:is>
          <x:t xml:space="preserve">Payment question.</x:t>
        </x:is>
      </x:c>
      <x:c r="G49" s="195" t="inlineStr">
        <x:is>
          <x:t xml:space="preserve">Japan Tips shopping/eating section</x:t>
        </x:is>
      </x:c>
    </x:row>
    <x:row r="50">
      <x:c r="A50" s="195" t="inlineStr">
        <x:is>
          <x:t xml:space="preserve">🍜 Restaurant</x:t>
        </x:is>
      </x:c>
      <x:c r="B50" s="195" t="inlineStr">
        <x:is>
          <x:t xml:space="preserve">Can I take this food to go?</x:t>
        </x:is>
      </x:c>
      <x:c r="C50" s="195" t="inlineStr">
        <x:is>
          <x:t xml:space="preserve">これを持ち帰ってもいいですか？</x:t>
        </x:is>
      </x:c>
      <x:c r="D50" s="195" t="inlineStr">
        <x:is>
          <x:t xml:space="preserve">Kore o mochi kaette mo ii desu ka?</x:t>
        </x:is>
      </x:c>
      <x:c r="E50" s="195" t="inlineStr">
        <x:is>
          <x:t xml:space="preserve">koh-ray oh mo-chee kah-et-teh moh ee dess kah</x:t>
        </x:is>
      </x:c>
      <x:c r="F50" s="195" t="inlineStr">
        <x:is>
          <x:t xml:space="preserve">Takeout question.</x:t>
        </x:is>
      </x:c>
      <x:c r="G50" s="195" t="inlineStr">
        <x:is>
          <x:t xml:space="preserve">Japan Tips shopping/eating section</x:t>
        </x:is>
      </x:c>
    </x:row>
    <x:row r="51">
      <x:c r="A51" s="195" t="inlineStr">
        <x:is>
          <x:t xml:space="preserve">🍜 Restaurant</x:t>
        </x:is>
      </x:c>
      <x:c r="B51" s="195" t="inlineStr">
        <x:is>
          <x:t xml:space="preserve">Bon appetit / before eating.</x:t>
        </x:is>
      </x:c>
      <x:c r="C51" s="195" t="inlineStr">
        <x:is>
          <x:t xml:space="preserve">いただきます</x:t>
        </x:is>
      </x:c>
      <x:c r="D51" s="195" t="inlineStr">
        <x:is>
          <x:t xml:space="preserve">Itadakimasu</x:t>
        </x:is>
      </x:c>
      <x:c r="E51" s="195" t="inlineStr">
        <x:is>
          <x:t xml:space="preserve">ee-tah-dah-key-moss</x:t>
        </x:is>
      </x:c>
      <x:c r="F51" s="195" t="inlineStr">
        <x:is>
          <x:t xml:space="preserve">Before eating.</x:t>
        </x:is>
      </x:c>
      <x:c r="G51" s="195" t="inlineStr">
        <x:is>
          <x:t xml:space="preserve">Japan Tips shopping/eating section</x:t>
        </x:is>
      </x:c>
    </x:row>
    <x:row r="52">
      <x:c r="A52" s="195" t="inlineStr">
        <x:is>
          <x:t xml:space="preserve">🍜 Restaurant</x:t>
        </x:is>
      </x:c>
      <x:c r="B52" s="195" t="inlineStr">
        <x:is>
          <x:t xml:space="preserve">Thank you for the meal.</x:t>
        </x:is>
      </x:c>
      <x:c r="C52" s="195" t="inlineStr">
        <x:is>
          <x:t xml:space="preserve">ごちそうさまでした</x:t>
        </x:is>
      </x:c>
      <x:c r="D52" s="195" t="inlineStr">
        <x:is>
          <x:t xml:space="preserve">Gochisousama deshita</x:t>
        </x:is>
      </x:c>
      <x:c r="E52" s="195" t="inlineStr">
        <x:is>
          <x:t xml:space="preserve">go-chee-soh-sah-mah desh-tah</x:t>
        </x:is>
      </x:c>
      <x:c r="F52" s="195" t="inlineStr">
        <x:is>
          <x:t xml:space="preserve">After finishing a meal.</x:t>
        </x:is>
      </x:c>
      <x:c r="G52" s="195" t="inlineStr">
        <x:is>
          <x:t xml:space="preserve">Japan Tips shopping/eating section</x:t>
        </x:is>
      </x:c>
    </x:row>
    <x:row r="53">
      <x:c r="A53" s="195" t="inlineStr">
        <x:is>
          <x:t xml:space="preserve">🍜 Restaurant</x:t>
        </x:is>
      </x:c>
      <x:c r="B53" s="195" t="inlineStr">
        <x:is>
          <x:t xml:space="preserve">The check, please.</x:t>
        </x:is>
      </x:c>
      <x:c r="C53" s="195" t="inlineStr">
        <x:is>
          <x:t xml:space="preserve">お会計お願いします</x:t>
        </x:is>
      </x:c>
      <x:c r="D53" s="195" t="inlineStr">
        <x:is>
          <x:t xml:space="preserve">Okaikei onegaishimasu</x:t>
        </x:is>
      </x:c>
      <x:c r="E53" s="195" t="inlineStr">
        <x:is>
          <x:t xml:space="preserve">oh-kai-kay oh-neh-guy-shee-moss</x:t>
        </x:is>
      </x:c>
      <x:c r="F53" s="195" t="inlineStr">
        <x:is>
          <x:t xml:space="preserve">Ask for the bill if needed.</x:t>
        </x:is>
      </x:c>
      <x:c r="G53" s="195" t="inlineStr">
        <x:is>
          <x:t xml:space="preserve">Useful addition; doc notes paying at cashier</x:t>
        </x:is>
      </x:c>
    </x:row>
    <x:row r="54">
      <x:c r="A54" s="195" t="inlineStr">
        <x:is>
          <x:t xml:space="preserve">🍜 Restaurant</x:t>
        </x:is>
      </x:c>
      <x:c r="B54" s="195" t="inlineStr">
        <x:is>
          <x:t xml:space="preserve">Water, please.</x:t>
        </x:is>
      </x:c>
      <x:c r="C54" s="195" t="inlineStr">
        <x:is>
          <x:t xml:space="preserve">お水お願いします</x:t>
        </x:is>
      </x:c>
      <x:c r="D54" s="195" t="inlineStr">
        <x:is>
          <x:t xml:space="preserve">Omizu onegaishimasu</x:t>
        </x:is>
      </x:c>
      <x:c r="E54" s="195" t="inlineStr">
        <x:is>
          <x:t xml:space="preserve">oh-mee-zoo oh-neh-guy-shee-moss</x:t>
        </x:is>
      </x:c>
      <x:c r="F54" s="195" t="inlineStr">
        <x:is>
          <x:t xml:space="preserve">Asking for water.</x:t>
        </x:is>
      </x:c>
      <x:c r="G54" s="195" t="inlineStr">
        <x:is>
          <x:t xml:space="preserve">Useful addition</x:t>
        </x:is>
      </x:c>
    </x:row>
    <x:row r="55">
      <x:c r="A55" s="195" t="inlineStr">
        <x:is>
          <x:t xml:space="preserve">🏪 Konbini</x:t>
        </x:is>
      </x:c>
      <x:c r="B55" s="195" t="inlineStr">
        <x:is>
          <x:t xml:space="preserve">Bag, please.</x:t>
        </x:is>
      </x:c>
      <x:c r="C55" s="195" t="inlineStr">
        <x:is>
          <x:t xml:space="preserve">袋お願いします</x:t>
        </x:is>
      </x:c>
      <x:c r="D55" s="195" t="inlineStr">
        <x:is>
          <x:t xml:space="preserve">Fukuro onegaishimasu</x:t>
        </x:is>
      </x:c>
      <x:c r="E55" s="195" t="inlineStr">
        <x:is>
          <x:t xml:space="preserve">foo-koo-roh oh-neh-guy-shee-moss</x:t>
        </x:is>
      </x:c>
      <x:c r="F55" s="195" t="inlineStr">
        <x:is>
          <x:t xml:space="preserve">If cashier asks whether you want a bag.</x:t>
        </x:is>
      </x:c>
      <x:c r="G55" s="195" t="inlineStr">
        <x:is>
          <x:t xml:space="preserve">Japan Tips konbini predictable question</x:t>
        </x:is>
      </x:c>
    </x:row>
    <x:row r="56">
      <x:c r="A56" s="195" t="inlineStr">
        <x:is>
          <x:t xml:space="preserve">🏪 Konbini</x:t>
        </x:is>
      </x:c>
      <x:c r="B56" s="195" t="inlineStr">
        <x:is>
          <x:t xml:space="preserve">No bag is okay.</x:t>
        </x:is>
      </x:c>
      <x:c r="C56" s="195" t="inlineStr">
        <x:is>
          <x:t xml:space="preserve">袋は大丈夫です</x:t>
        </x:is>
      </x:c>
      <x:c r="D56" s="195" t="inlineStr">
        <x:is>
          <x:t xml:space="preserve">Fukuro wa daijoubu desu</x:t>
        </x:is>
      </x:c>
      <x:c r="E56" s="195" t="inlineStr">
        <x:is>
          <x:t xml:space="preserve">foo-koo-roh wah die-joe-boo dess</x:t>
        </x:is>
      </x:c>
      <x:c r="F56" s="195" t="inlineStr">
        <x:is>
          <x:t xml:space="preserve">Decline a bag.</x:t>
        </x:is>
      </x:c>
      <x:c r="G56" s="195" t="inlineStr">
        <x:is>
          <x:t xml:space="preserve">Japan Tips konbini predictable question</x:t>
        </x:is>
      </x:c>
    </x:row>
    <x:row r="57">
      <x:c r="A57" s="195" t="inlineStr">
        <x:is>
          <x:t xml:space="preserve">🏪 Konbini</x:t>
        </x:is>
      </x:c>
      <x:c r="B57" s="195" t="inlineStr">
        <x:is>
          <x:t xml:space="preserve">Please heat this up.</x:t>
        </x:is>
      </x:c>
      <x:c r="C57" s="195" t="inlineStr">
        <x:is>
          <x:t xml:space="preserve">温めてください</x:t>
        </x:is>
      </x:c>
      <x:c r="D57" s="195" t="inlineStr">
        <x:is>
          <x:t xml:space="preserve">Atatamete kudasai</x:t>
        </x:is>
      </x:c>
      <x:c r="E57" s="195" t="inlineStr">
        <x:is>
          <x:t xml:space="preserve">ah-tah-tah-meh-teh koo-dah-sigh</x:t>
        </x:is>
      </x:c>
      <x:c r="F57" s="195" t="inlineStr">
        <x:is>
          <x:t xml:space="preserve">Ask to heat bento/meals.</x:t>
        </x:is>
      </x:c>
      <x:c r="G57" s="195" t="inlineStr">
        <x:is>
          <x:t xml:space="preserve">Japan Tips konbini predictable question</x:t>
        </x:is>
      </x:c>
    </x:row>
    <x:row r="58">
      <x:c r="A58" s="195" t="inlineStr">
        <x:is>
          <x:t xml:space="preserve">🏪 Konbini</x:t>
        </x:is>
      </x:c>
      <x:c r="B58" s="195" t="inlineStr">
        <x:is>
          <x:t xml:space="preserve">No heating is okay.</x:t>
        </x:is>
      </x:c>
      <x:c r="C58" s="195" t="inlineStr">
        <x:is>
          <x:t xml:space="preserve">温めは大丈夫です</x:t>
        </x:is>
      </x:c>
      <x:c r="D58" s="195" t="inlineStr">
        <x:is>
          <x:t xml:space="preserve">Atatame wa daijoubu desu</x:t>
        </x:is>
      </x:c>
      <x:c r="E58" s="195" t="inlineStr">
        <x:is>
          <x:t xml:space="preserve">ah-tah-tah-meh wah die-joe-boo dess</x:t>
        </x:is>
      </x:c>
      <x:c r="F58" s="195" t="inlineStr">
        <x:is>
          <x:t xml:space="preserve">Decline heating.</x:t>
        </x:is>
      </x:c>
      <x:c r="G58" s="195" t="inlineStr">
        <x:is>
          <x:t xml:space="preserve">Japan Tips konbini predictable question</x:t>
        </x:is>
      </x:c>
    </x:row>
    <x:row r="59">
      <x:c r="A59" s="195" t="inlineStr">
        <x:is>
          <x:t xml:space="preserve">🏪 Konbini</x:t>
        </x:is>
      </x:c>
      <x:c r="B59" s="195" t="inlineStr">
        <x:is>
          <x:t xml:space="preserve">By card, please.</x:t>
        </x:is>
      </x:c>
      <x:c r="C59" s="195" t="inlineStr">
        <x:is>
          <x:t xml:space="preserve">カードでお願いします</x:t>
        </x:is>
      </x:c>
      <x:c r="D59" s="195" t="inlineStr">
        <x:is>
          <x:t xml:space="preserve">Kaado de onegaishimasu</x:t>
        </x:is>
      </x:c>
      <x:c r="E59" s="195" t="inlineStr">
        <x:is>
          <x:t xml:space="preserve">kah-doh deh oh-neh-guy-shee-moss</x:t>
        </x:is>
      </x:c>
      <x:c r="F59" s="195" t="inlineStr">
        <x:is>
          <x:t xml:space="preserve">Payment answer.</x:t>
        </x:is>
      </x:c>
      <x:c r="G59" s="195" t="inlineStr">
        <x:is>
          <x:t xml:space="preserve">Japan Tips paying question</x:t>
        </x:is>
      </x:c>
    </x:row>
    <x:row r="60">
      <x:c r="A60" s="195" t="inlineStr">
        <x:is>
          <x:t xml:space="preserve">🏪 Konbini</x:t>
        </x:is>
      </x:c>
      <x:c r="B60" s="195" t="inlineStr">
        <x:is>
          <x:t xml:space="preserve">By cash, please.</x:t>
        </x:is>
      </x:c>
      <x:c r="C60" s="195" t="inlineStr">
        <x:is>
          <x:t xml:space="preserve">現金でお願いします</x:t>
        </x:is>
      </x:c>
      <x:c r="D60" s="195" t="inlineStr">
        <x:is>
          <x:t xml:space="preserve">Genkin de onegaishimasu</x:t>
        </x:is>
      </x:c>
      <x:c r="E60" s="195" t="inlineStr">
        <x:is>
          <x:t xml:space="preserve">gen-keen deh oh-neh-guy-shee-moss</x:t>
        </x:is>
      </x:c>
      <x:c r="F60" s="195" t="inlineStr">
        <x:is>
          <x:t xml:space="preserve">Payment answer.</x:t>
        </x:is>
      </x:c>
      <x:c r="G60" s="195" t="inlineStr">
        <x:is>
          <x:t xml:space="preserve">Japan Tips paying question</x:t>
        </x:is>
      </x:c>
    </x:row>
    <x:row r="61">
      <x:c r="A61" s="195" t="inlineStr">
        <x:is>
          <x:t xml:space="preserve">🏪 Konbini</x:t>
        </x:is>
      </x:c>
      <x:c r="B61" s="195" t="inlineStr">
        <x:is>
          <x:t xml:space="preserve">Do you have an ATM?</x:t>
        </x:is>
      </x:c>
      <x:c r="C61" s="195" t="inlineStr">
        <x:is>
          <x:t xml:space="preserve">ATMはありますか？</x:t>
        </x:is>
      </x:c>
      <x:c r="D61" s="195" t="inlineStr">
        <x:is>
          <x:t xml:space="preserve">ATM wa arimasu ka?</x:t>
        </x:is>
      </x:c>
      <x:c r="E61" s="195" t="inlineStr">
        <x:is>
          <x:t xml:space="preserve">ay-tee-em wah ah-ree-moss kah</x:t>
        </x:is>
      </x:c>
      <x:c r="F61" s="195" t="inlineStr">
        <x:is>
          <x:t xml:space="preserve">Finding cash.</x:t>
        </x:is>
      </x:c>
      <x:c r="G61" s="195" t="inlineStr">
        <x:is>
          <x:t xml:space="preserve">Japan Tips says ATMs in konbini/train stations</x:t>
        </x:is>
      </x:c>
    </x:row>
    <x:row r="62">
      <x:c r="A62" s="195" t="inlineStr">
        <x:is>
          <x:t xml:space="preserve">🛍 Shopping</x:t>
        </x:is>
      </x:c>
      <x:c r="B62" s="195" t="inlineStr">
        <x:is>
          <x:t xml:space="preserve">I'm just looking.</x:t>
        </x:is>
      </x:c>
      <x:c r="C62" s="195" t="inlineStr">
        <x:is>
          <x:t xml:space="preserve">見ているだけです</x:t>
        </x:is>
      </x:c>
      <x:c r="D62" s="195" t="inlineStr">
        <x:is>
          <x:t xml:space="preserve">Mite iru dake desu</x:t>
        </x:is>
      </x:c>
      <x:c r="E62" s="195" t="inlineStr">
        <x:is>
          <x:t xml:space="preserve">mee-teh ee-roo dah-keh dess</x:t>
        </x:is>
      </x:c>
      <x:c r="F62" s="195" t="inlineStr">
        <x:is>
          <x:t xml:space="preserve">Politely decline help in a shop.</x:t>
        </x:is>
      </x:c>
      <x:c r="G62" s="195" t="inlineStr">
        <x:is>
          <x:t xml:space="preserve">Useful addition</x:t>
        </x:is>
      </x:c>
    </x:row>
    <x:row r="63">
      <x:c r="A63" s="195" t="inlineStr">
        <x:is>
          <x:t xml:space="preserve">🛍 Shopping</x:t>
        </x:is>
      </x:c>
      <x:c r="B63" s="195" t="inlineStr">
        <x:is>
          <x:t xml:space="preserve">Can I try this on?</x:t>
        </x:is>
      </x:c>
      <x:c r="C63" s="195" t="inlineStr">
        <x:is>
          <x:t xml:space="preserve">試着できますか？</x:t>
        </x:is>
      </x:c>
      <x:c r="D63" s="195" t="inlineStr">
        <x:is>
          <x:t xml:space="preserve">Shichaku dekimasu ka?</x:t>
        </x:is>
      </x:c>
      <x:c r="E63" s="195" t="inlineStr">
        <x:is>
          <x:t xml:space="preserve">shee-chah-koo deh-kee-moss kah</x:t>
        </x:is>
      </x:c>
      <x:c r="F63" s="195" t="inlineStr">
        <x:is>
          <x:t xml:space="preserve">Trying clothes/shoes.</x:t>
        </x:is>
      </x:c>
      <x:c r="G63" s="195" t="inlineStr">
        <x:is>
          <x:t xml:space="preserve">Useful addition</x:t>
        </x:is>
      </x:c>
    </x:row>
    <x:row r="64">
      <x:c r="A64" s="195" t="inlineStr">
        <x:is>
          <x:t xml:space="preserve">🛍 Shopping</x:t>
        </x:is>
      </x:c>
      <x:c r="B64" s="195" t="inlineStr">
        <x:is>
          <x:t xml:space="preserve">Do you have another size?</x:t>
        </x:is>
      </x:c>
      <x:c r="C64" s="195" t="inlineStr">
        <x:is>
          <x:t xml:space="preserve">他のサイズはありますか？</x:t>
        </x:is>
      </x:c>
      <x:c r="D64" s="195" t="inlineStr">
        <x:is>
          <x:t xml:space="preserve">Hoka no saizu wa arimasu ka?</x:t>
        </x:is>
      </x:c>
      <x:c r="E64" s="195" t="inlineStr">
        <x:is>
          <x:t xml:space="preserve">hoh-kah no sigh-zoo wah ah-ree-moss kah</x:t>
        </x:is>
      </x:c>
      <x:c r="F64" s="195" t="inlineStr">
        <x:is>
          <x:t xml:space="preserve">Clothing/shoes.</x:t>
        </x:is>
      </x:c>
      <x:c r="G64" s="195" t="inlineStr">
        <x:is>
          <x:t xml:space="preserve">Useful addition</x:t>
        </x:is>
      </x:c>
    </x:row>
    <x:row r="65">
      <x:c r="A65" s="195" t="inlineStr">
        <x:is>
          <x:t xml:space="preserve">🛍 Shopping</x:t>
        </x:is>
      </x:c>
      <x:c r="B65" s="195" t="inlineStr">
        <x:is>
          <x:t xml:space="preserve">Tax free, please.</x:t>
        </x:is>
      </x:c>
      <x:c r="C65" s="195" t="inlineStr">
        <x:is>
          <x:t xml:space="preserve">免税できますか？</x:t>
        </x:is>
      </x:c>
      <x:c r="D65" s="195" t="inlineStr">
        <x:is>
          <x:t xml:space="preserve">Menzei dekimasu ka?</x:t>
        </x:is>
      </x:c>
      <x:c r="E65" s="195" t="inlineStr">
        <x:is>
          <x:t xml:space="preserve">men-zay deh-kee-moss kah</x:t>
        </x:is>
      </x:c>
      <x:c r="F65" s="195" t="inlineStr">
        <x:is>
          <x:t xml:space="preserve">Tax-free shopping; bring passport.</x:t>
        </x:is>
      </x:c>
      <x:c r="G65" s="195" t="inlineStr">
        <x:is>
          <x:t xml:space="preserve">Paying section from Japan Tips</x:t>
        </x:is>
      </x:c>
    </x:row>
    <x:row r="66">
      <x:c r="A66" s="195" t="inlineStr">
        <x:is>
          <x:t xml:space="preserve">🛍 Shopping</x:t>
        </x:is>
      </x:c>
      <x:c r="B66" s="195" t="inlineStr">
        <x:is>
          <x:t xml:space="preserve">Can I use a credit card?</x:t>
        </x:is>
      </x:c>
      <x:c r="C66" s="195" t="inlineStr">
        <x:is>
          <x:t xml:space="preserve">カードは大丈夫ですか？</x:t>
        </x:is>
      </x:c>
      <x:c r="D66" s="195" t="inlineStr">
        <x:is>
          <x:t xml:space="preserve">Kaado wa daijoubu desu ka?</x:t>
        </x:is>
      </x:c>
      <x:c r="E66" s="195" t="inlineStr">
        <x:is>
          <x:t xml:space="preserve">kah-doh wah die-joe-boo dess kah</x:t>
        </x:is>
      </x:c>
      <x:c r="F66" s="195" t="inlineStr">
        <x:is>
          <x:t xml:space="preserve">Payment question.</x:t>
        </x:is>
      </x:c>
      <x:c r="G66" s="195" t="inlineStr">
        <x:is>
          <x:t xml:space="preserve">Japan Tips shopping/eating section</x:t>
        </x:is>
      </x:c>
    </x:row>
    <x:row r="67">
      <x:c r="A67" s="195" t="inlineStr">
        <x:is>
          <x:t xml:space="preserve">🏨 Hotel</x:t>
        </x:is>
      </x:c>
      <x:c r="B67" s="195" t="inlineStr">
        <x:is>
          <x:t xml:space="preserve">I have a reservation.</x:t>
        </x:is>
      </x:c>
      <x:c r="C67" s="195" t="inlineStr">
        <x:is>
          <x:t xml:space="preserve">予約をしました</x:t>
        </x:is>
      </x:c>
      <x:c r="D67" s="195" t="inlineStr">
        <x:is>
          <x:t xml:space="preserve">Yoyaku o shimashita</x:t>
        </x:is>
      </x:c>
      <x:c r="E67" s="195" t="inlineStr">
        <x:is>
          <x:t xml:space="preserve">yo-yah-koo oh shee-mosh-tah</x:t>
        </x:is>
      </x:c>
      <x:c r="F67" s="195" t="inlineStr">
        <x:is>
          <x:t xml:space="preserve">Hotel or restaurant check-in.</x:t>
        </x:is>
      </x:c>
      <x:c r="G67" s="195" t="inlineStr">
        <x:is>
          <x:t xml:space="preserve">Japan Tips shopping/eating section</x:t>
        </x:is>
      </x:c>
    </x:row>
    <x:row r="68">
      <x:c r="A68" s="195" t="inlineStr">
        <x:is>
          <x:t xml:space="preserve">🏨 Hotel</x:t>
        </x:is>
      </x:c>
      <x:c r="B68" s="195" t="inlineStr">
        <x:is>
          <x:t xml:space="preserve">Can you store our luggage?</x:t>
        </x:is>
      </x:c>
      <x:c r="C68" s="195" t="inlineStr">
        <x:is>
          <x:t xml:space="preserve">荷物を預かっていただけますか？</x:t>
        </x:is>
      </x:c>
      <x:c r="D68" s="195" t="inlineStr">
        <x:is>
          <x:t xml:space="preserve">Nimotsu o azukatte itadakemasu ka?</x:t>
        </x:is>
      </x:c>
      <x:c r="E68" s="195" t="inlineStr">
        <x:is>
          <x:t xml:space="preserve">nee-moht-soo oh ah-zoo-kaht-teh ee-tah-dah-keh-moss kah</x:t>
        </x:is>
      </x:c>
      <x:c r="F68" s="195" t="inlineStr">
        <x:is>
          <x:t xml:space="preserve">Front desk before/after checkout.</x:t>
        </x:is>
      </x:c>
      <x:c r="G68" s="195" t="inlineStr">
        <x:is>
          <x:t xml:space="preserve">Transport section suggests asking front desk</x:t>
        </x:is>
      </x:c>
    </x:row>
    <x:row r="69">
      <x:c r="A69" s="195" t="inlineStr">
        <x:is>
          <x:t xml:space="preserve">🏨 Hotel</x:t>
        </x:is>
      </x:c>
      <x:c r="B69" s="195" t="inlineStr">
        <x:is>
          <x:t xml:space="preserve">Can you send luggage to the next hotel?</x:t>
        </x:is>
      </x:c>
      <x:c r="C69" s="195" t="inlineStr">
        <x:is>
          <x:t xml:space="preserve">次のホテルに荷物を送れますか？</x:t>
        </x:is>
      </x:c>
      <x:c r="D69" s="195" t="inlineStr">
        <x:is>
          <x:t xml:space="preserve">Tsugi no hoteru ni nimotsu o okuremasu ka?</x:t>
        </x:is>
      </x:c>
      <x:c r="E69" s="195" t="inlineStr">
        <x:is>
          <x:t xml:space="preserve">tsoo-gee noh hoh-teh-roo nee nee-moht-soo oh oh-koo-reh-moss kah</x:t>
        </x:is>
      </x:c>
      <x:c r="F69" s="195" t="inlineStr">
        <x:is>
          <x:t xml:space="preserve">Luggage forwarding.</x:t>
        </x:is>
      </x:c>
      <x:c r="G69" s="195" t="inlineStr">
        <x:is>
          <x:t xml:space="preserve">Transport section luggage forwarding</x:t>
        </x:is>
      </x:c>
    </x:row>
    <x:row r="70">
      <x:c r="A70" s="195" t="inlineStr">
        <x:is>
          <x:t xml:space="preserve">🏨 Hotel</x:t>
        </x:is>
      </x:c>
      <x:c r="B70" s="195" t="inlineStr">
        <x:is>
          <x:t xml:space="preserve">Can you call a taxi?</x:t>
        </x:is>
      </x:c>
      <x:c r="C70" s="195" t="inlineStr">
        <x:is>
          <x:t xml:space="preserve">タクシーを呼んでいただけますか？</x:t>
        </x:is>
      </x:c>
      <x:c r="D70" s="195" t="inlineStr">
        <x:is>
          <x:t xml:space="preserve">Takushii o yonde itadakemasu ka?</x:t>
        </x:is>
      </x:c>
      <x:c r="E70" s="195" t="inlineStr">
        <x:is>
          <x:t xml:space="preserve">tah-koo-shee oh yohn-deh ee-tah-dah-keh-moss kah</x:t>
        </x:is>
      </x:c>
      <x:c r="F70" s="195" t="inlineStr">
        <x:is>
          <x:t xml:space="preserve">Hotel desk help.</x:t>
        </x:is>
      </x:c>
      <x:c r="G70" s="195" t="inlineStr">
        <x:is>
          <x:t xml:space="preserve">Useful addition</x:t>
        </x:is>
      </x:c>
    </x:row>
    <x:row r="71">
      <x:c r="A71" s="195" t="inlineStr">
        <x:is>
          <x:t xml:space="preserve">🚨 Emergency</x:t>
        </x:is>
      </x:c>
      <x:c r="B71" s="195" t="inlineStr">
        <x:is>
          <x:t xml:space="preserve">Please help me.</x:t>
        </x:is>
      </x:c>
      <x:c r="C71" s="195" t="inlineStr">
        <x:is>
          <x:t xml:space="preserve">助けてください</x:t>
        </x:is>
      </x:c>
      <x:c r="D71" s="195" t="inlineStr">
        <x:is>
          <x:t xml:space="preserve">Tasukete kudasai</x:t>
        </x:is>
      </x:c>
      <x:c r="E71" s="195" t="inlineStr">
        <x:is>
          <x:t xml:space="preserve">tah-soo-keh-teh koo-dah-sigh</x:t>
        </x:is>
      </x:c>
      <x:c r="F71" s="195" t="inlineStr">
        <x:is>
          <x:t xml:space="preserve">Emergency help.</x:t>
        </x:is>
      </x:c>
      <x:c r="G71" s="195" t="inlineStr">
        <x:is>
          <x:t xml:space="preserve">Useful addition</x:t>
        </x:is>
      </x:c>
    </x:row>
    <x:row r="72">
      <x:c r="A72" s="195" t="inlineStr">
        <x:is>
          <x:t xml:space="preserve">🚨 Emergency</x:t>
        </x:is>
      </x:c>
      <x:c r="B72" s="195" t="inlineStr">
        <x:is>
          <x:t xml:space="preserve">Call an ambulance, please.</x:t>
        </x:is>
      </x:c>
      <x:c r="C72" s="195" t="inlineStr">
        <x:is>
          <x:t xml:space="preserve">救急車を呼んでください</x:t>
        </x:is>
      </x:c>
      <x:c r="D72" s="195" t="inlineStr">
        <x:is>
          <x:t xml:space="preserve">Kyuukyuusha o yonde kudasai</x:t>
        </x:is>
      </x:c>
      <x:c r="E72" s="195" t="inlineStr">
        <x:is>
          <x:t xml:space="preserve">kyoo-kyoo-shah oh yohn-deh koo-dah-sigh</x:t>
        </x:is>
      </x:c>
      <x:c r="F72" s="195" t="inlineStr">
        <x:is>
          <x:t xml:space="preserve">Medical emergency.</x:t>
        </x:is>
      </x:c>
      <x:c r="G72" s="195" t="inlineStr">
        <x:is>
          <x:t xml:space="preserve">Useful addition</x:t>
        </x:is>
      </x:c>
    </x:row>
    <x:row r="73">
      <x:c r="A73" s="195" t="inlineStr">
        <x:is>
          <x:t xml:space="preserve">🚨 Emergency</x:t>
        </x:is>
      </x:c>
      <x:c r="B73" s="195" t="inlineStr">
        <x:is>
          <x:t xml:space="preserve">I need a doctor.</x:t>
        </x:is>
      </x:c>
      <x:c r="C73" s="195" t="inlineStr">
        <x:is>
          <x:t xml:space="preserve">医者が必要です</x:t>
        </x:is>
      </x:c>
      <x:c r="D73" s="195" t="inlineStr">
        <x:is>
          <x:t xml:space="preserve">Isha ga hitsuyou desu</x:t>
        </x:is>
      </x:c>
      <x:c r="E73" s="195" t="inlineStr">
        <x:is>
          <x:t xml:space="preserve">ee-shah gah heet-soo-yoh dess</x:t>
        </x:is>
      </x:c>
      <x:c r="F73" s="195" t="inlineStr">
        <x:is>
          <x:t xml:space="preserve">Medical issue.</x:t>
        </x:is>
      </x:c>
      <x:c r="G73" s="195" t="inlineStr">
        <x:is>
          <x:t xml:space="preserve">Useful addition</x:t>
        </x:is>
      </x:c>
    </x:row>
    <x:row r="74">
      <x:c r="A74" s="195" t="inlineStr">
        <x:is>
          <x:t xml:space="preserve">🚨 Emergency</x:t>
        </x:is>
      </x:c>
      <x:c r="B74" s="195" t="inlineStr">
        <x:is>
          <x:t xml:space="preserve">Where is the hospital?</x:t>
        </x:is>
      </x:c>
      <x:c r="C74" s="195" t="inlineStr">
        <x:is>
          <x:t xml:space="preserve">病院はどこですか？</x:t>
        </x:is>
      </x:c>
      <x:c r="D74" s="195" t="inlineStr">
        <x:is>
          <x:t xml:space="preserve">Byouin wa doko desu ka?</x:t>
        </x:is>
      </x:c>
      <x:c r="E74" s="195" t="inlineStr">
        <x:is>
          <x:t xml:space="preserve">b'yoh-een wah doh-koh dess kah</x:t>
        </x:is>
      </x:c>
      <x:c r="F74" s="195" t="inlineStr">
        <x:is>
          <x:t xml:space="preserve">Finding hospital.</x:t>
        </x:is>
      </x:c>
      <x:c r="G74" s="195" t="inlineStr">
        <x:is>
          <x:t xml:space="preserve">Japan Tips getting places section</x:t>
        </x:is>
      </x:c>
    </x:row>
    <x:row r="75">
      <x:c r="A75" s="195" t="inlineStr">
        <x:is>
          <x:t xml:space="preserve">🚨 Emergency</x:t>
        </x:is>
      </x:c>
      <x:c r="B75" s="195" t="inlineStr">
        <x:is>
          <x:t xml:space="preserve">Where is the police box?</x:t>
        </x:is>
      </x:c>
      <x:c r="C75" s="195" t="inlineStr">
        <x:is>
          <x:t xml:space="preserve">交番はどこですか？</x:t>
        </x:is>
      </x:c>
      <x:c r="D75" s="195" t="inlineStr">
        <x:is>
          <x:t xml:space="preserve">Kouban wa doko desu ka?</x:t>
        </x:is>
      </x:c>
      <x:c r="E75" s="195" t="inlineStr">
        <x:is>
          <x:t xml:space="preserve">kohh-bahn wah doh-koh dess kah</x:t>
        </x:is>
      </x:c>
      <x:c r="F75" s="195" t="inlineStr">
        <x:is>
          <x:t xml:space="preserve">Find police box/security office.</x:t>
        </x:is>
      </x:c>
      <x:c r="G75" s="195" t="inlineStr">
        <x:is>
          <x:t xml:space="preserve">Japan Tips getting places section</x:t>
        </x:is>
      </x:c>
    </x:row>
    <x:row r="76">
      <x:c r="A76" s="195" t="inlineStr">
        <x:is>
          <x:t xml:space="preserve">👨‍👩‍👦 Family</x:t>
        </x:is>
      </x:c>
      <x:c r="B76" s="195" t="inlineStr">
        <x:is>
          <x:t xml:space="preserve">I'm traveling with my family.</x:t>
        </x:is>
      </x:c>
      <x:c r="C76" s="195" t="inlineStr">
        <x:is>
          <x:t xml:space="preserve">家族と旅行しています</x:t>
        </x:is>
      </x:c>
      <x:c r="D76" s="195" t="inlineStr">
        <x:is>
          <x:t xml:space="preserve">Kazoku to ryokou shiteimasu</x:t>
        </x:is>
      </x:c>
      <x:c r="E76" s="195" t="inlineStr">
        <x:is>
          <x:t xml:space="preserve">kah-zoh-koo toh ryoh-koh shee-teh-ee-moss</x:t>
        </x:is>
      </x:c>
      <x:c r="F76" s="195" t="inlineStr">
        <x:is>
          <x:t xml:space="preserve">Useful if explaining your group.</x:t>
        </x:is>
      </x:c>
      <x:c r="G76" s="195" t="inlineStr">
        <x:is>
          <x:t xml:space="preserve">Useful addition</x:t>
        </x:is>
      </x:c>
    </x:row>
    <x:row r="77">
      <x:c r="A77" s="195" t="inlineStr">
        <x:is>
          <x:t xml:space="preserve">👨‍👩‍👦 Family</x:t>
        </x:is>
      </x:c>
      <x:c r="B77" s="195" t="inlineStr">
        <x:is>
          <x:t xml:space="preserve">Please wait here.</x:t>
        </x:is>
      </x:c>
      <x:c r="C77" s="195" t="inlineStr">
        <x:is>
          <x:t xml:space="preserve">ここで待ってください</x:t>
        </x:is>
      </x:c>
      <x:c r="D77" s="195" t="inlineStr">
        <x:is>
          <x:t xml:space="preserve">Koko de matte kudasai</x:t>
        </x:is>
      </x:c>
      <x:c r="E77" s="195" t="inlineStr">
        <x:is>
          <x:t xml:space="preserve">koh-koh deh maht-teh koo-dah-sigh</x:t>
        </x:is>
      </x:c>
      <x:c r="F77" s="195" t="inlineStr">
        <x:is>
          <x:t xml:space="preserve">Polite way to ask someone to wait.</x:t>
        </x:is>
      </x:c>
      <x:c r="G77" s="195" t="inlineStr">
        <x:is>
          <x:t xml:space="preserve">Useful addition</x:t>
        </x:is>
      </x:c>
    </x:row>
    <x:row r="78">
      <x:c r="A78" s="195" t="inlineStr">
        <x:is>
          <x:t xml:space="preserve">👨‍👩‍👦 Family</x:t>
        </x:is>
      </x:c>
      <x:c r="B78" s="195" t="inlineStr">
        <x:is>
          <x:t xml:space="preserve">We are four people.</x:t>
        </x:is>
      </x:c>
      <x:c r="C78" s="195" t="inlineStr">
        <x:is>
          <x:t xml:space="preserve">4人です</x:t>
        </x:is>
      </x:c>
      <x:c r="D78" s="195" t="inlineStr">
        <x:is>
          <x:t xml:space="preserve">Yon-nin desu</x:t>
        </x:is>
      </x:c>
      <x:c r="E78" s="195" t="inlineStr">
        <x:is>
          <x:t xml:space="preserve">yohn-neen dess</x:t>
        </x:is>
      </x:c>
      <x:c r="F78" s="195" t="inlineStr">
        <x:is>
          <x:t xml:space="preserve">Restaurant/group entry.</x:t>
        </x:is>
      </x:c>
      <x:c r="G78" s="195" t="inlineStr">
        <x:is>
          <x:t xml:space="preserve">Japan Tips says fingers also work</x:t>
        </x:is>
      </x:c>
    </x:row>
    <x:row r="79">
      <x:c r="A79" s="195" t="inlineStr">
        <x:is>
          <x:t xml:space="preserve">👨‍👩‍👦 Family</x:t>
        </x:is>
      </x:c>
      <x:c r="B79" s="195" t="inlineStr">
        <x:is>
          <x:t xml:space="preserve">My mother.</x:t>
        </x:is>
      </x:c>
      <x:c r="C79" s="195" t="inlineStr">
        <x:is>
          <x:t xml:space="preserve">母です</x:t>
        </x:is>
      </x:c>
      <x:c r="D79" s="195" t="inlineStr">
        <x:is>
          <x:t xml:space="preserve">Haha desu</x:t>
        </x:is>
      </x:c>
      <x:c r="E79" s="195" t="inlineStr">
        <x:is>
          <x:t xml:space="preserve">hah-hah dess</x:t>
        </x:is>
      </x:c>
      <x:c r="F79" s="195" t="inlineStr">
        <x:is>
          <x:t xml:space="preserve">Explaining relationship.</x:t>
        </x:is>
      </x:c>
      <x:c r="G79" s="195" t="inlineStr">
        <x:is>
          <x:t xml:space="preserve">Useful addition</x:t>
        </x:is>
      </x:c>
    </x:row>
    <x:row r="80">
      <x:c r="A80" s="195" t="inlineStr">
        <x:is>
          <x:t xml:space="preserve">👨‍👩‍👦 Family</x:t>
        </x:is>
      </x:c>
      <x:c r="B80" s="195" t="inlineStr">
        <x:is>
          <x:t xml:space="preserve">My brother.</x:t>
        </x:is>
      </x:c>
      <x:c r="C80" s="195" t="inlineStr">
        <x:is>
          <x:t xml:space="preserve">兄弟です</x:t>
        </x:is>
      </x:c>
      <x:c r="D80" s="195" t="inlineStr">
        <x:is>
          <x:t xml:space="preserve">Kyoudai desu</x:t>
        </x:is>
      </x:c>
      <x:c r="E80" s="195" t="inlineStr">
        <x:is>
          <x:t xml:space="preserve">kyoh-die dess</x:t>
        </x:is>
      </x:c>
      <x:c r="F80" s="195" t="inlineStr">
        <x:is>
          <x:t xml:space="preserve">Explaining relationship.</x:t>
        </x:is>
      </x:c>
      <x:c r="G80" s="195" t="inlineStr">
        <x:is>
          <x:t xml:space="preserve">Useful addition</x:t>
        </x:is>
      </x:c>
    </x:row>
    <x:row r="81">
      <x:c r="A81" s="196" t="n"/>
      <x:c r="B81" s="196" t="n"/>
      <x:c r="C81" s="196" t="n"/>
      <x:c r="D81" s="196" t="n"/>
      <x:c r="E81" s="196" t="n"/>
      <x:c r="F81" s="196" t="n"/>
      <x:c r="G81" s="196" t="n"/>
    </x:row>
    <x:row r="82">
      <x:c r="A82" s="196" t="n"/>
      <x:c r="B82" s="196" t="n"/>
      <x:c r="C82" s="196" t="n"/>
      <x:c r="D82" s="196" t="n"/>
      <x:c r="E82" s="196" t="n"/>
      <x:c r="F82" s="196" t="n"/>
      <x:c r="G82" s="196" t="n"/>
    </x:row>
    <x:row r="83">
      <x:c r="A83" s="196" t="n"/>
      <x:c r="B83" s="196" t="n"/>
      <x:c r="C83" s="196" t="n"/>
      <x:c r="D83" s="196" t="n"/>
      <x:c r="E83" s="196" t="n"/>
      <x:c r="F83" s="196" t="n"/>
      <x:c r="G83" s="196" t="n"/>
    </x:row>
    <x:row r="84">
      <x:c r="A84" s="196" t="n"/>
      <x:c r="B84" s="196" t="n"/>
      <x:c r="C84" s="196" t="n"/>
      <x:c r="D84" s="196" t="n"/>
      <x:c r="E84" s="196" t="n"/>
      <x:c r="F84" s="196" t="n"/>
      <x:c r="G84" s="196" t="n"/>
    </x:row>
    <x:row r="85">
      <x:c r="A85" s="196" t="n"/>
      <x:c r="B85" s="196" t="n"/>
      <x:c r="C85" s="196" t="n"/>
      <x:c r="D85" s="196" t="n"/>
      <x:c r="E85" s="196" t="n"/>
      <x:c r="F85" s="196" t="n"/>
      <x:c r="G85" s="196" t="n"/>
    </x:row>
    <x:row r="86">
      <x:c r="A86" s="196" t="n"/>
      <x:c r="B86" s="196" t="n"/>
      <x:c r="C86" s="196" t="n"/>
      <x:c r="D86" s="196" t="n"/>
      <x:c r="E86" s="196" t="n"/>
      <x:c r="F86" s="196" t="n"/>
      <x:c r="G86" s="196" t="n"/>
    </x:row>
    <x:row r="87">
      <x:c r="A87" s="196" t="n"/>
      <x:c r="B87" s="196" t="n"/>
      <x:c r="C87" s="196" t="n"/>
      <x:c r="D87" s="196" t="n"/>
      <x:c r="E87" s="196" t="n"/>
      <x:c r="F87" s="196" t="n"/>
      <x:c r="G87" s="196" t="n"/>
    </x:row>
    <x:row r="88">
      <x:c r="A88" s="196" t="n"/>
      <x:c r="B88" s="196" t="n"/>
      <x:c r="C88" s="196" t="n"/>
      <x:c r="D88" s="196" t="n"/>
      <x:c r="E88" s="196" t="n"/>
      <x:c r="F88" s="196" t="n"/>
      <x:c r="G88" s="196" t="n"/>
    </x:row>
    <x:row r="89">
      <x:c r="A89" s="196" t="n"/>
      <x:c r="B89" s="196" t="n"/>
      <x:c r="C89" s="196" t="n"/>
      <x:c r="D89" s="196" t="n"/>
      <x:c r="E89" s="196" t="n"/>
      <x:c r="F89" s="196" t="n"/>
      <x:c r="G89" s="196" t="n"/>
    </x:row>
    <x:row r="90">
      <x:c r="A90" s="196" t="n"/>
      <x:c r="B90" s="196" t="n"/>
      <x:c r="C90" s="196" t="n"/>
      <x:c r="D90" s="196" t="n"/>
      <x:c r="E90" s="196" t="n"/>
      <x:c r="F90" s="196" t="n"/>
      <x:c r="G90" s="196" t="n"/>
    </x:row>
    <x:row r="91">
      <x:c r="A91" s="196" t="n"/>
      <x:c r="B91" s="196" t="n"/>
      <x:c r="C91" s="196" t="n"/>
      <x:c r="D91" s="196" t="n"/>
      <x:c r="E91" s="196" t="n"/>
      <x:c r="F91" s="196" t="n"/>
      <x:c r="G91" s="196" t="n"/>
    </x:row>
    <x:row r="92">
      <x:c r="A92" s="196" t="n"/>
      <x:c r="B92" s="196" t="n"/>
      <x:c r="C92" s="196" t="n"/>
      <x:c r="D92" s="196" t="n"/>
      <x:c r="E92" s="196" t="n"/>
      <x:c r="F92" s="196" t="n"/>
      <x:c r="G92" s="196" t="n"/>
    </x:row>
    <x:row r="93">
      <x:c r="A93" s="196" t="n"/>
      <x:c r="B93" s="196" t="n"/>
      <x:c r="C93" s="196" t="n"/>
      <x:c r="D93" s="196" t="n"/>
      <x:c r="E93" s="196" t="n"/>
      <x:c r="F93" s="196" t="n"/>
      <x:c r="G93" s="196" t="n"/>
    </x:row>
    <x:row r="94">
      <x:c r="A94" s="196" t="n"/>
      <x:c r="B94" s="196" t="n"/>
      <x:c r="C94" s="196" t="n"/>
      <x:c r="D94" s="196" t="n"/>
      <x:c r="E94" s="196" t="n"/>
      <x:c r="F94" s="196" t="n"/>
      <x:c r="G94" s="196" t="n"/>
    </x:row>
    <x:row r="95">
      <x:c r="A95" s="196" t="n"/>
      <x:c r="B95" s="196" t="n"/>
      <x:c r="C95" s="196" t="n"/>
      <x:c r="D95" s="196" t="n"/>
      <x:c r="E95" s="196" t="n"/>
      <x:c r="F95" s="196" t="n"/>
      <x:c r="G95" s="196" t="n"/>
    </x:row>
    <x:row r="96">
      <x:c r="A96" s="196" t="n"/>
      <x:c r="B96" s="196" t="n"/>
      <x:c r="C96" s="196" t="n"/>
      <x:c r="D96" s="196" t="n"/>
      <x:c r="E96" s="196" t="n"/>
      <x:c r="F96" s="196" t="n"/>
      <x:c r="G96" s="196" t="n"/>
    </x:row>
    <x:row r="97">
      <x:c r="A97" s="196" t="n"/>
      <x:c r="B97" s="196" t="n"/>
      <x:c r="C97" s="196" t="n"/>
      <x:c r="D97" s="196" t="n"/>
      <x:c r="E97" s="196" t="n"/>
      <x:c r="F97" s="196" t="n"/>
      <x:c r="G97" s="196" t="n"/>
    </x:row>
    <x:row r="98">
      <x:c r="A98" s="196" t="n"/>
      <x:c r="B98" s="196" t="n"/>
      <x:c r="C98" s="196" t="n"/>
      <x:c r="D98" s="196" t="n"/>
      <x:c r="E98" s="196" t="n"/>
      <x:c r="F98" s="196" t="n"/>
      <x:c r="G98" s="196" t="n"/>
    </x:row>
    <x:row r="99">
      <x:c r="A99" s="196" t="n"/>
      <x:c r="B99" s="196" t="n"/>
      <x:c r="C99" s="196" t="n"/>
      <x:c r="D99" s="196" t="n"/>
      <x:c r="E99" s="196" t="n"/>
      <x:c r="F99" s="196" t="n"/>
      <x:c r="G99" s="196" t="n"/>
    </x:row>
    <x:row r="100">
      <x:c r="A100" s="196" t="n"/>
      <x:c r="B100" s="196" t="n"/>
      <x:c r="C100" s="196" t="n"/>
      <x:c r="D100" s="196" t="n"/>
      <x:c r="E100" s="196" t="n"/>
      <x:c r="F100" s="196" t="n"/>
      <x:c r="G100" s="196" t="n"/>
    </x:row>
    <x:row r="101">
      <x:c r="A101" s="196" t="n"/>
      <x:c r="B101" s="196" t="n"/>
      <x:c r="C101" s="196" t="n"/>
      <x:c r="D101" s="196" t="n"/>
      <x:c r="E101" s="196" t="n"/>
      <x:c r="F101" s="196" t="n"/>
      <x:c r="G101" s="196" t="n"/>
    </x:row>
    <x:row r="102">
      <x:c r="A102" s="196" t="n"/>
      <x:c r="B102" s="196" t="n"/>
      <x:c r="C102" s="196" t="n"/>
      <x:c r="D102" s="196" t="n"/>
      <x:c r="E102" s="196" t="n"/>
      <x:c r="F102" s="196" t="n"/>
      <x:c r="G102" s="196" t="n"/>
    </x:row>
    <x:row r="103">
      <x:c r="A103" s="196" t="n"/>
      <x:c r="B103" s="196" t="n"/>
      <x:c r="C103" s="196" t="n"/>
      <x:c r="D103" s="196" t="n"/>
      <x:c r="E103" s="196" t="n"/>
      <x:c r="F103" s="196" t="n"/>
      <x:c r="G103" s="196" t="n"/>
    </x:row>
    <x:row r="104">
      <x:c r="A104" s="196" t="n"/>
      <x:c r="B104" s="196" t="n"/>
      <x:c r="C104" s="196" t="n"/>
      <x:c r="D104" s="196" t="n"/>
      <x:c r="E104" s="196" t="n"/>
      <x:c r="F104" s="196" t="n"/>
      <x:c r="G104" s="196" t="n"/>
    </x:row>
    <x:row r="105">
      <x:c r="A105" s="196" t="n"/>
      <x:c r="B105" s="196" t="n"/>
      <x:c r="C105" s="196" t="n"/>
      <x:c r="D105" s="196" t="n"/>
      <x:c r="E105" s="196" t="n"/>
      <x:c r="F105" s="196" t="n"/>
      <x:c r="G105" s="196" t="n"/>
    </x:row>
    <x:row r="106">
      <x:c r="A106" s="196" t="n"/>
      <x:c r="B106" s="196" t="n"/>
      <x:c r="C106" s="196" t="n"/>
      <x:c r="D106" s="196" t="n"/>
      <x:c r="E106" s="196" t="n"/>
      <x:c r="F106" s="196" t="n"/>
      <x:c r="G106" s="196" t="n"/>
    </x:row>
    <x:row r="107">
      <x:c r="A107" s="196" t="n"/>
      <x:c r="B107" s="196" t="n"/>
      <x:c r="C107" s="196" t="n"/>
      <x:c r="D107" s="196" t="n"/>
      <x:c r="E107" s="196" t="n"/>
      <x:c r="F107" s="196" t="n"/>
      <x:c r="G107" s="196" t="n"/>
    </x:row>
    <x:row r="108">
      <x:c r="A108" s="196" t="n"/>
      <x:c r="B108" s="196" t="n"/>
      <x:c r="C108" s="196" t="n"/>
      <x:c r="D108" s="196" t="n"/>
      <x:c r="E108" s="196" t="n"/>
      <x:c r="F108" s="196" t="n"/>
      <x:c r="G108" s="196" t="n"/>
    </x:row>
    <x:row r="109">
      <x:c r="A109" s="196" t="n"/>
      <x:c r="B109" s="196" t="n"/>
      <x:c r="C109" s="196" t="n"/>
      <x:c r="D109" s="196" t="n"/>
      <x:c r="E109" s="196" t="n"/>
      <x:c r="F109" s="196" t="n"/>
      <x:c r="G109" s="196" t="n"/>
    </x:row>
    <x:row r="110">
      <x:c r="A110" s="196" t="n"/>
      <x:c r="B110" s="196" t="n"/>
      <x:c r="C110" s="196" t="n"/>
      <x:c r="D110" s="196" t="n"/>
      <x:c r="E110" s="196" t="n"/>
      <x:c r="F110" s="196" t="n"/>
      <x:c r="G110" s="196" t="n"/>
    </x:row>
    <x:row r="111">
      <x:c r="A111" s="196" t="n"/>
      <x:c r="B111" s="196" t="n"/>
      <x:c r="C111" s="196" t="n"/>
      <x:c r="D111" s="196" t="n"/>
      <x:c r="E111" s="196" t="n"/>
      <x:c r="F111" s="196" t="n"/>
      <x:c r="G111" s="196" t="n"/>
    </x:row>
    <x:row r="112">
      <x:c r="A112" s="196" t="n"/>
      <x:c r="B112" s="196" t="n"/>
      <x:c r="C112" s="196" t="n"/>
      <x:c r="D112" s="196" t="n"/>
      <x:c r="E112" s="196" t="n"/>
      <x:c r="F112" s="196" t="n"/>
      <x:c r="G112" s="196" t="n"/>
    </x:row>
    <x:row r="113">
      <x:c r="A113" s="196" t="n"/>
      <x:c r="B113" s="196" t="n"/>
      <x:c r="C113" s="196" t="n"/>
      <x:c r="D113" s="196" t="n"/>
      <x:c r="E113" s="196" t="n"/>
      <x:c r="F113" s="196" t="n"/>
      <x:c r="G113" s="196" t="n"/>
    </x:row>
    <x:row r="114">
      <x:c r="A114" s="196" t="n"/>
      <x:c r="B114" s="196" t="n"/>
      <x:c r="C114" s="196" t="n"/>
      <x:c r="D114" s="196" t="n"/>
      <x:c r="E114" s="196" t="n"/>
      <x:c r="F114" s="196" t="n"/>
      <x:c r="G114" s="196" t="n"/>
    </x:row>
    <x:row r="115">
      <x:c r="A115" s="196" t="n"/>
      <x:c r="B115" s="196" t="n"/>
      <x:c r="C115" s="196" t="n"/>
      <x:c r="D115" s="196" t="n"/>
      <x:c r="E115" s="196" t="n"/>
      <x:c r="F115" s="196" t="n"/>
      <x:c r="G115" s="196" t="n"/>
    </x:row>
    <x:row r="116">
      <x:c r="A116" s="196" t="n"/>
      <x:c r="B116" s="196" t="n"/>
      <x:c r="C116" s="196" t="n"/>
      <x:c r="D116" s="196" t="n"/>
      <x:c r="E116" s="196" t="n"/>
      <x:c r="F116" s="196" t="n"/>
      <x:c r="G116" s="196" t="n"/>
    </x:row>
    <x:row r="117">
      <x:c r="A117" s="196" t="n"/>
      <x:c r="B117" s="196" t="n"/>
      <x:c r="C117" s="196" t="n"/>
      <x:c r="D117" s="196" t="n"/>
      <x:c r="E117" s="196" t="n"/>
      <x:c r="F117" s="196" t="n"/>
      <x:c r="G117" s="196" t="n"/>
    </x:row>
    <x:row r="118">
      <x:c r="A118" s="196" t="n"/>
      <x:c r="B118" s="196" t="n"/>
      <x:c r="C118" s="196" t="n"/>
      <x:c r="D118" s="196" t="n"/>
      <x:c r="E118" s="196" t="n"/>
      <x:c r="F118" s="196" t="n"/>
      <x:c r="G118" s="196" t="n"/>
    </x:row>
    <x:row r="119">
      <x:c r="A119" s="196" t="n"/>
      <x:c r="B119" s="196" t="n"/>
      <x:c r="C119" s="196" t="n"/>
      <x:c r="D119" s="196" t="n"/>
      <x:c r="E119" s="196" t="n"/>
      <x:c r="F119" s="196" t="n"/>
      <x:c r="G119" s="196" t="n"/>
    </x:row>
    <x:row r="120">
      <x:c r="A120" s="196" t="n"/>
      <x:c r="B120" s="196" t="n"/>
      <x:c r="C120" s="196" t="n"/>
      <x:c r="D120" s="196" t="n"/>
      <x:c r="E120" s="196" t="n"/>
      <x:c r="F120" s="196" t="n"/>
      <x:c r="G120" s="196" t="n"/>
    </x:row>
    <x:row r="121">
      <x:c r="A121" s="196" t="n"/>
      <x:c r="B121" s="196" t="n"/>
      <x:c r="C121" s="196" t="n"/>
      <x:c r="D121" s="196" t="n"/>
      <x:c r="E121" s="196" t="n"/>
      <x:c r="F121" s="196" t="n"/>
      <x:c r="G121" s="196" t="n"/>
    </x:row>
    <x:row r="122">
      <x:c r="A122" s="196" t="n"/>
      <x:c r="B122" s="196" t="n"/>
      <x:c r="C122" s="196" t="n"/>
      <x:c r="D122" s="196" t="n"/>
      <x:c r="E122" s="196" t="n"/>
      <x:c r="F122" s="196" t="n"/>
      <x:c r="G122" s="196" t="n"/>
    </x:row>
    <x:row r="123">
      <x:c r="A123" s="196" t="n"/>
      <x:c r="B123" s="196" t="n"/>
      <x:c r="C123" s="196" t="n"/>
      <x:c r="D123" s="196" t="n"/>
      <x:c r="E123" s="196" t="n"/>
      <x:c r="F123" s="196" t="n"/>
      <x:c r="G123" s="196" t="n"/>
    </x:row>
    <x:row r="124">
      <x:c r="A124" s="196" t="n"/>
      <x:c r="B124" s="196" t="n"/>
      <x:c r="C124" s="196" t="n"/>
      <x:c r="D124" s="196" t="n"/>
      <x:c r="E124" s="196" t="n"/>
      <x:c r="F124" s="196" t="n"/>
      <x:c r="G124" s="196" t="n"/>
    </x:row>
    <x:row r="125">
      <x:c r="A125" s="196" t="n"/>
      <x:c r="B125" s="196" t="n"/>
      <x:c r="C125" s="196" t="n"/>
      <x:c r="D125" s="196" t="n"/>
      <x:c r="E125" s="196" t="n"/>
      <x:c r="F125" s="196" t="n"/>
      <x:c r="G125" s="196" t="n"/>
    </x:row>
    <x:row r="126">
      <x:c r="A126" s="196" t="n"/>
      <x:c r="B126" s="196" t="n"/>
      <x:c r="C126" s="196" t="n"/>
      <x:c r="D126" s="196" t="n"/>
      <x:c r="E126" s="196" t="n"/>
      <x:c r="F126" s="196" t="n"/>
      <x:c r="G126" s="196" t="n"/>
    </x:row>
    <x:row r="127">
      <x:c r="A127" s="196" t="n"/>
      <x:c r="B127" s="196" t="n"/>
      <x:c r="C127" s="196" t="n"/>
      <x:c r="D127" s="196" t="n"/>
      <x:c r="E127" s="196" t="n"/>
      <x:c r="F127" s="196" t="n"/>
      <x:c r="G127" s="196" t="n"/>
    </x:row>
    <x:row r="128">
      <x:c r="A128" s="196" t="n"/>
      <x:c r="B128" s="196" t="n"/>
      <x:c r="C128" s="196" t="n"/>
      <x:c r="D128" s="196" t="n"/>
      <x:c r="E128" s="196" t="n"/>
      <x:c r="F128" s="196" t="n"/>
      <x:c r="G128" s="196" t="n"/>
    </x:row>
    <x:row r="129">
      <x:c r="A129" s="196" t="n"/>
      <x:c r="B129" s="196" t="n"/>
      <x:c r="C129" s="196" t="n"/>
      <x:c r="D129" s="196" t="n"/>
      <x:c r="E129" s="196" t="n"/>
      <x:c r="F129" s="196" t="n"/>
      <x:c r="G129" s="196" t="n"/>
    </x:row>
    <x:row r="130">
      <x:c r="A130" s="196" t="n"/>
      <x:c r="B130" s="196" t="n"/>
      <x:c r="C130" s="196" t="n"/>
      <x:c r="D130" s="196" t="n"/>
      <x:c r="E130" s="196" t="n"/>
      <x:c r="F130" s="196" t="n"/>
      <x:c r="G130" s="196" t="n"/>
    </x:row>
    <x:row r="131">
      <x:c r="A131" s="196" t="n"/>
      <x:c r="B131" s="196" t="n"/>
      <x:c r="C131" s="196" t="n"/>
      <x:c r="D131" s="196" t="n"/>
      <x:c r="E131" s="196" t="n"/>
      <x:c r="F131" s="196" t="n"/>
      <x:c r="G131" s="196" t="n"/>
    </x:row>
    <x:row r="132">
      <x:c r="A132" s="196" t="n"/>
      <x:c r="B132" s="196" t="n"/>
      <x:c r="C132" s="196" t="n"/>
      <x:c r="D132" s="196" t="n"/>
      <x:c r="E132" s="196" t="n"/>
      <x:c r="F132" s="196" t="n"/>
      <x:c r="G132" s="196" t="n"/>
    </x:row>
    <x:row r="133">
      <x:c r="A133" s="196" t="n"/>
      <x:c r="B133" s="196" t="n"/>
      <x:c r="C133" s="196" t="n"/>
      <x:c r="D133" s="196" t="n"/>
      <x:c r="E133" s="196" t="n"/>
      <x:c r="F133" s="196" t="n"/>
      <x:c r="G133" s="196" t="n"/>
    </x:row>
    <x:row r="134">
      <x:c r="A134" s="196" t="n"/>
      <x:c r="B134" s="196" t="n"/>
      <x:c r="C134" s="196" t="n"/>
      <x:c r="D134" s="196" t="n"/>
      <x:c r="E134" s="196" t="n"/>
      <x:c r="F134" s="196" t="n"/>
      <x:c r="G134" s="196" t="n"/>
    </x:row>
    <x:row r="135">
      <x:c r="A135" s="196" t="n"/>
      <x:c r="B135" s="196" t="n"/>
      <x:c r="C135" s="196" t="n"/>
      <x:c r="D135" s="196" t="n"/>
      <x:c r="E135" s="196" t="n"/>
      <x:c r="F135" s="196" t="n"/>
      <x:c r="G135" s="196" t="n"/>
    </x:row>
    <x:row r="136">
      <x:c r="A136" s="196" t="n"/>
      <x:c r="B136" s="196" t="n"/>
      <x:c r="C136" s="196" t="n"/>
      <x:c r="D136" s="196" t="n"/>
      <x:c r="E136" s="196" t="n"/>
      <x:c r="F136" s="196" t="n"/>
      <x:c r="G136" s="196" t="n"/>
    </x:row>
    <x:row r="137">
      <x:c r="A137" s="196" t="n"/>
      <x:c r="B137" s="196" t="n"/>
      <x:c r="C137" s="196" t="n"/>
      <x:c r="D137" s="196" t="n"/>
      <x:c r="E137" s="196" t="n"/>
      <x:c r="F137" s="196" t="n"/>
      <x:c r="G137" s="196" t="n"/>
    </x:row>
    <x:row r="138">
      <x:c r="A138" s="196" t="n"/>
      <x:c r="B138" s="196" t="n"/>
      <x:c r="C138" s="196" t="n"/>
      <x:c r="D138" s="196" t="n"/>
      <x:c r="E138" s="196" t="n"/>
      <x:c r="F138" s="196" t="n"/>
      <x:c r="G138" s="196" t="n"/>
    </x:row>
    <x:row r="139">
      <x:c r="A139" s="196" t="n"/>
      <x:c r="B139" s="196" t="n"/>
      <x:c r="C139" s="196" t="n"/>
      <x:c r="D139" s="196" t="n"/>
      <x:c r="E139" s="196" t="n"/>
      <x:c r="F139" s="196" t="n"/>
      <x:c r="G139" s="196" t="n"/>
    </x:row>
    <x:row r="140">
      <x:c r="A140" s="196" t="n"/>
      <x:c r="B140" s="196" t="n"/>
      <x:c r="C140" s="196" t="n"/>
      <x:c r="D140" s="196" t="n"/>
      <x:c r="E140" s="196" t="n"/>
      <x:c r="F140" s="196" t="n"/>
      <x:c r="G140" s="196" t="n"/>
    </x:row>
    <x:row r="141">
      <x:c r="A141" s="196" t="n"/>
      <x:c r="B141" s="196" t="n"/>
      <x:c r="C141" s="196" t="n"/>
      <x:c r="D141" s="196" t="n"/>
      <x:c r="E141" s="196" t="n"/>
      <x:c r="F141" s="196" t="n"/>
      <x:c r="G141" s="196" t="n"/>
    </x:row>
    <x:row r="142">
      <x:c r="A142" s="196" t="n"/>
      <x:c r="B142" s="196" t="n"/>
      <x:c r="C142" s="196" t="n"/>
      <x:c r="D142" s="196" t="n"/>
      <x:c r="E142" s="196" t="n"/>
      <x:c r="F142" s="196" t="n"/>
      <x:c r="G142" s="196" t="n"/>
    </x:row>
    <x:row r="143">
      <x:c r="A143" s="196" t="n"/>
      <x:c r="B143" s="196" t="n"/>
      <x:c r="C143" s="196" t="n"/>
      <x:c r="D143" s="196" t="n"/>
      <x:c r="E143" s="196" t="n"/>
      <x:c r="F143" s="196" t="n"/>
      <x:c r="G143" s="196" t="n"/>
    </x:row>
    <x:row r="144">
      <x:c r="A144" s="196" t="n"/>
      <x:c r="B144" s="196" t="n"/>
      <x:c r="C144" s="196" t="n"/>
      <x:c r="D144" s="196" t="n"/>
      <x:c r="E144" s="196" t="n"/>
      <x:c r="F144" s="196" t="n"/>
      <x:c r="G144" s="196" t="n"/>
    </x:row>
    <x:row r="145">
      <x:c r="A145" s="196" t="n"/>
      <x:c r="B145" s="196" t="n"/>
      <x:c r="C145" s="196" t="n"/>
      <x:c r="D145" s="196" t="n"/>
      <x:c r="E145" s="196" t="n"/>
      <x:c r="F145" s="196" t="n"/>
      <x:c r="G145" s="196" t="n"/>
    </x:row>
    <x:row r="146">
      <x:c r="A146" s="196" t="n"/>
      <x:c r="B146" s="196" t="n"/>
      <x:c r="C146" s="196" t="n"/>
      <x:c r="D146" s="196" t="n"/>
      <x:c r="E146" s="196" t="n"/>
      <x:c r="F146" s="196" t="n"/>
      <x:c r="G146" s="196" t="n"/>
    </x:row>
    <x:row r="147">
      <x:c r="A147" s="196" t="n"/>
      <x:c r="B147" s="196" t="n"/>
      <x:c r="C147" s="196" t="n"/>
      <x:c r="D147" s="196" t="n"/>
      <x:c r="E147" s="196" t="n"/>
      <x:c r="F147" s="196" t="n"/>
      <x:c r="G147" s="196" t="n"/>
    </x:row>
    <x:row r="148">
      <x:c r="A148" s="196" t="n"/>
      <x:c r="B148" s="196" t="n"/>
      <x:c r="C148" s="196" t="n"/>
      <x:c r="D148" s="196" t="n"/>
      <x:c r="E148" s="196" t="n"/>
      <x:c r="F148" s="196" t="n"/>
      <x:c r="G148" s="196" t="n"/>
    </x:row>
    <x:row r="149">
      <x:c r="A149" s="196" t="n"/>
      <x:c r="B149" s="196" t="n"/>
      <x:c r="C149" s="196" t="n"/>
      <x:c r="D149" s="196" t="n"/>
      <x:c r="E149" s="196" t="n"/>
      <x:c r="F149" s="196" t="n"/>
      <x:c r="G149" s="196" t="n"/>
    </x:row>
    <x:row r="150">
      <x:c r="A150" s="196" t="n"/>
      <x:c r="B150" s="196" t="n"/>
      <x:c r="C150" s="196" t="n"/>
      <x:c r="D150" s="196" t="n"/>
      <x:c r="E150" s="196" t="n"/>
      <x:c r="F150" s="196" t="n"/>
      <x:c r="G150" s="196" t="n"/>
    </x:row>
    <x:row r="151">
      <x:c r="A151" s="196" t="n"/>
      <x:c r="B151" s="196" t="n"/>
      <x:c r="C151" s="196" t="n"/>
      <x:c r="D151" s="196" t="n"/>
      <x:c r="E151" s="196" t="n"/>
      <x:c r="F151" s="196" t="n"/>
      <x:c r="G151" s="196" t="n"/>
    </x:row>
    <x:row r="152">
      <x:c r="A152" s="196" t="n"/>
      <x:c r="B152" s="196" t="n"/>
      <x:c r="C152" s="196" t="n"/>
      <x:c r="D152" s="196" t="n"/>
      <x:c r="E152" s="196" t="n"/>
      <x:c r="F152" s="196" t="n"/>
      <x:c r="G152" s="196" t="n"/>
    </x:row>
    <x:row r="153">
      <x:c r="A153" s="196" t="n"/>
      <x:c r="B153" s="196" t="n"/>
      <x:c r="C153" s="196" t="n"/>
      <x:c r="D153" s="196" t="n"/>
      <x:c r="E153" s="196" t="n"/>
      <x:c r="F153" s="196" t="n"/>
      <x:c r="G153" s="196" t="n"/>
    </x:row>
    <x:row r="154">
      <x:c r="A154" s="196" t="n"/>
      <x:c r="B154" s="196" t="n"/>
      <x:c r="C154" s="196" t="n"/>
      <x:c r="D154" s="196" t="n"/>
      <x:c r="E154" s="196" t="n"/>
      <x:c r="F154" s="196" t="n"/>
      <x:c r="G154" s="196" t="n"/>
    </x:row>
    <x:row r="155">
      <x:c r="A155" s="196" t="n"/>
      <x:c r="B155" s="196" t="n"/>
      <x:c r="C155" s="196" t="n"/>
      <x:c r="D155" s="196" t="n"/>
      <x:c r="E155" s="196" t="n"/>
      <x:c r="F155" s="196" t="n"/>
      <x:c r="G155" s="196" t="n"/>
    </x:row>
    <x:row r="156">
      <x:c r="A156" s="196" t="n"/>
      <x:c r="B156" s="196" t="n"/>
      <x:c r="C156" s="196" t="n"/>
      <x:c r="D156" s="196" t="n"/>
      <x:c r="E156" s="196" t="n"/>
      <x:c r="F156" s="196" t="n"/>
      <x:c r="G156" s="196" t="n"/>
    </x:row>
    <x:row r="157">
      <x:c r="A157" s="196" t="n"/>
      <x:c r="B157" s="196" t="n"/>
      <x:c r="C157" s="196" t="n"/>
      <x:c r="D157" s="196" t="n"/>
      <x:c r="E157" s="196" t="n"/>
      <x:c r="F157" s="196" t="n"/>
      <x:c r="G157" s="196" t="n"/>
    </x:row>
    <x:row r="158">
      <x:c r="A158" s="196" t="n"/>
      <x:c r="B158" s="196" t="n"/>
      <x:c r="C158" s="196" t="n"/>
      <x:c r="D158" s="196" t="n"/>
      <x:c r="E158" s="196" t="n"/>
      <x:c r="F158" s="196" t="n"/>
      <x:c r="G158" s="196" t="n"/>
    </x:row>
    <x:row r="159">
      <x:c r="A159" s="196" t="n"/>
      <x:c r="B159" s="196" t="n"/>
      <x:c r="C159" s="196" t="n"/>
      <x:c r="D159" s="196" t="n"/>
      <x:c r="E159" s="196" t="n"/>
      <x:c r="F159" s="196" t="n"/>
      <x:c r="G159" s="196" t="n"/>
    </x:row>
    <x:row r="160">
      <x:c r="A160" s="196" t="n"/>
      <x:c r="B160" s="196" t="n"/>
      <x:c r="C160" s="196" t="n"/>
      <x:c r="D160" s="196" t="n"/>
      <x:c r="E160" s="196" t="n"/>
      <x:c r="F160" s="196" t="n"/>
      <x:c r="G160" s="196" t="n"/>
    </x:row>
    <x:row r="161">
      <x:c r="A161" s="196" t="n"/>
      <x:c r="B161" s="196" t="n"/>
      <x:c r="C161" s="196" t="n"/>
      <x:c r="D161" s="196" t="n"/>
      <x:c r="E161" s="196" t="n"/>
      <x:c r="F161" s="196" t="n"/>
      <x:c r="G161" s="196" t="n"/>
    </x:row>
    <x:row r="162">
      <x:c r="A162" s="196" t="n"/>
      <x:c r="B162" s="196" t="n"/>
      <x:c r="C162" s="196" t="n"/>
      <x:c r="D162" s="196" t="n"/>
      <x:c r="E162" s="196" t="n"/>
      <x:c r="F162" s="196" t="n"/>
      <x:c r="G162" s="196" t="n"/>
    </x:row>
    <x:row r="163">
      <x:c r="A163" s="196" t="n"/>
      <x:c r="B163" s="196" t="n"/>
      <x:c r="C163" s="196" t="n"/>
      <x:c r="D163" s="196" t="n"/>
      <x:c r="E163" s="196" t="n"/>
      <x:c r="F163" s="196" t="n"/>
      <x:c r="G163" s="196" t="n"/>
    </x:row>
    <x:row r="164">
      <x:c r="A164" s="196" t="n"/>
      <x:c r="B164" s="196" t="n"/>
      <x:c r="C164" s="196" t="n"/>
      <x:c r="D164" s="196" t="n"/>
      <x:c r="E164" s="196" t="n"/>
      <x:c r="F164" s="196" t="n"/>
      <x:c r="G164" s="196" t="n"/>
    </x:row>
    <x:row r="165">
      <x:c r="A165" s="196" t="n"/>
      <x:c r="B165" s="196" t="n"/>
      <x:c r="C165" s="196" t="n"/>
      <x:c r="D165" s="196" t="n"/>
      <x:c r="E165" s="196" t="n"/>
      <x:c r="F165" s="196" t="n"/>
      <x:c r="G165" s="196" t="n"/>
    </x:row>
    <x:row r="166">
      <x:c r="A166" s="196" t="n"/>
      <x:c r="B166" s="196" t="n"/>
      <x:c r="C166" s="196" t="n"/>
      <x:c r="D166" s="196" t="n"/>
      <x:c r="E166" s="196" t="n"/>
      <x:c r="F166" s="196" t="n"/>
      <x:c r="G166" s="196" t="n"/>
    </x:row>
    <x:row r="167">
      <x:c r="A167" s="196" t="n"/>
      <x:c r="B167" s="196" t="n"/>
      <x:c r="C167" s="196" t="n"/>
      <x:c r="D167" s="196" t="n"/>
      <x:c r="E167" s="196" t="n"/>
      <x:c r="F167" s="196" t="n"/>
      <x:c r="G167" s="196" t="n"/>
    </x:row>
    <x:row r="168">
      <x:c r="A168" s="196" t="n"/>
      <x:c r="B168" s="196" t="n"/>
      <x:c r="C168" s="196" t="n"/>
      <x:c r="D168" s="196" t="n"/>
      <x:c r="E168" s="196" t="n"/>
      <x:c r="F168" s="196" t="n"/>
      <x:c r="G168" s="196" t="n"/>
    </x:row>
    <x:row r="169">
      <x:c r="A169" s="196" t="n"/>
      <x:c r="B169" s="196" t="n"/>
      <x:c r="C169" s="196" t="n"/>
      <x:c r="D169" s="196" t="n"/>
      <x:c r="E169" s="196" t="n"/>
      <x:c r="F169" s="196" t="n"/>
      <x:c r="G169" s="196" t="n"/>
    </x:row>
    <x:row r="170">
      <x:c r="A170" s="196" t="n"/>
      <x:c r="B170" s="196" t="n"/>
      <x:c r="C170" s="196" t="n"/>
      <x:c r="D170" s="196" t="n"/>
      <x:c r="E170" s="196" t="n"/>
      <x:c r="F170" s="196" t="n"/>
      <x:c r="G170" s="196" t="n"/>
    </x:row>
    <x:row r="171">
      <x:c r="A171" s="196" t="n"/>
      <x:c r="B171" s="196" t="n"/>
      <x:c r="C171" s="196" t="n"/>
      <x:c r="D171" s="196" t="n"/>
      <x:c r="E171" s="196" t="n"/>
      <x:c r="F171" s="196" t="n"/>
      <x:c r="G171" s="196" t="n"/>
    </x:row>
    <x:row r="172">
      <x:c r="A172" s="196" t="n"/>
      <x:c r="B172" s="196" t="n"/>
      <x:c r="C172" s="196" t="n"/>
      <x:c r="D172" s="196" t="n"/>
      <x:c r="E172" s="196" t="n"/>
      <x:c r="F172" s="196" t="n"/>
      <x:c r="G172" s="196" t="n"/>
    </x:row>
    <x:row r="173">
      <x:c r="A173" s="196" t="n"/>
      <x:c r="B173" s="196" t="n"/>
      <x:c r="C173" s="196" t="n"/>
      <x:c r="D173" s="196" t="n"/>
      <x:c r="E173" s="196" t="n"/>
      <x:c r="F173" s="196" t="n"/>
      <x:c r="G173" s="196" t="n"/>
    </x:row>
    <x:row r="174">
      <x:c r="A174" s="196" t="n"/>
      <x:c r="B174" s="196" t="n"/>
      <x:c r="C174" s="196" t="n"/>
      <x:c r="D174" s="196" t="n"/>
      <x:c r="E174" s="196" t="n"/>
      <x:c r="F174" s="196" t="n"/>
      <x:c r="G174" s="196" t="n"/>
    </x:row>
    <x:row r="175">
      <x:c r="A175" s="196" t="n"/>
      <x:c r="B175" s="196" t="n"/>
      <x:c r="C175" s="196" t="n"/>
      <x:c r="D175" s="196" t="n"/>
      <x:c r="E175" s="196" t="n"/>
      <x:c r="F175" s="196" t="n"/>
      <x:c r="G175" s="196" t="n"/>
    </x:row>
    <x:row r="176">
      <x:c r="A176" s="196" t="n"/>
      <x:c r="B176" s="196" t="n"/>
      <x:c r="C176" s="196" t="n"/>
      <x:c r="D176" s="196" t="n"/>
      <x:c r="E176" s="196" t="n"/>
      <x:c r="F176" s="196" t="n"/>
      <x:c r="G176" s="196" t="n"/>
    </x:row>
    <x:row r="177">
      <x:c r="A177" s="196" t="n"/>
      <x:c r="B177" s="196" t="n"/>
      <x:c r="C177" s="196" t="n"/>
      <x:c r="D177" s="196" t="n"/>
      <x:c r="E177" s="196" t="n"/>
      <x:c r="F177" s="196" t="n"/>
      <x:c r="G177" s="196" t="n"/>
    </x:row>
    <x:row r="178">
      <x:c r="A178" s="196" t="n"/>
      <x:c r="B178" s="196" t="n"/>
      <x:c r="C178" s="196" t="n"/>
      <x:c r="D178" s="196" t="n"/>
      <x:c r="E178" s="196" t="n"/>
      <x:c r="F178" s="196" t="n"/>
      <x:c r="G178" s="196" t="n"/>
    </x:row>
    <x:row r="179">
      <x:c r="A179" s="196" t="n"/>
      <x:c r="B179" s="196" t="n"/>
      <x:c r="C179" s="196" t="n"/>
      <x:c r="D179" s="196" t="n"/>
      <x:c r="E179" s="196" t="n"/>
      <x:c r="F179" s="196" t="n"/>
      <x:c r="G179" s="196" t="n"/>
    </x:row>
    <x:row r="180">
      <x:c r="A180" s="196" t="n"/>
      <x:c r="B180" s="196" t="n"/>
      <x:c r="C180" s="196" t="n"/>
      <x:c r="D180" s="196" t="n"/>
      <x:c r="E180" s="196" t="n"/>
      <x:c r="F180" s="196" t="n"/>
      <x:c r="G180" s="196" t="n"/>
    </x:row>
    <x:row r="181">
      <x:c r="A181" s="196" t="n"/>
      <x:c r="B181" s="196" t="n"/>
      <x:c r="C181" s="196" t="n"/>
      <x:c r="D181" s="196" t="n"/>
      <x:c r="E181" s="196" t="n"/>
      <x:c r="F181" s="196" t="n"/>
      <x:c r="G181" s="196" t="n"/>
    </x:row>
    <x:row r="182">
      <x:c r="A182" s="196" t="n"/>
      <x:c r="B182" s="196" t="n"/>
      <x:c r="C182" s="196" t="n"/>
      <x:c r="D182" s="196" t="n"/>
      <x:c r="E182" s="196" t="n"/>
      <x:c r="F182" s="196" t="n"/>
      <x:c r="G182" s="196" t="n"/>
    </x:row>
    <x:row r="183">
      <x:c r="A183" s="196" t="n"/>
      <x:c r="B183" s="196" t="n"/>
      <x:c r="C183" s="196" t="n"/>
      <x:c r="D183" s="196" t="n"/>
      <x:c r="E183" s="196" t="n"/>
      <x:c r="F183" s="196" t="n"/>
      <x:c r="G183" s="196" t="n"/>
    </x:row>
    <x:row r="184">
      <x:c r="A184" s="196" t="n"/>
      <x:c r="B184" s="196" t="n"/>
      <x:c r="C184" s="196" t="n"/>
      <x:c r="D184" s="196" t="n"/>
      <x:c r="E184" s="196" t="n"/>
      <x:c r="F184" s="196" t="n"/>
      <x:c r="G184" s="196" t="n"/>
    </x:row>
    <x:row r="185">
      <x:c r="A185" s="196" t="n"/>
      <x:c r="B185" s="196" t="n"/>
      <x:c r="C185" s="196" t="n"/>
      <x:c r="D185" s="196" t="n"/>
      <x:c r="E185" s="196" t="n"/>
      <x:c r="F185" s="196" t="n"/>
      <x:c r="G185" s="196" t="n"/>
    </x:row>
    <x:row r="186">
      <x:c r="A186" s="196" t="n"/>
      <x:c r="B186" s="196" t="n"/>
      <x:c r="C186" s="196" t="n"/>
      <x:c r="D186" s="196" t="n"/>
      <x:c r="E186" s="196" t="n"/>
      <x:c r="F186" s="196" t="n"/>
      <x:c r="G186" s="196" t="n"/>
    </x:row>
    <x:row r="187">
      <x:c r="A187" s="196" t="n"/>
      <x:c r="B187" s="196" t="n"/>
      <x:c r="C187" s="196" t="n"/>
      <x:c r="D187" s="196" t="n"/>
      <x:c r="E187" s="196" t="n"/>
      <x:c r="F187" s="196" t="n"/>
      <x:c r="G187" s="196" t="n"/>
    </x:row>
    <x:row r="188">
      <x:c r="A188" s="196" t="n"/>
      <x:c r="B188" s="196" t="n"/>
      <x:c r="C188" s="196" t="n"/>
      <x:c r="D188" s="196" t="n"/>
      <x:c r="E188" s="196" t="n"/>
      <x:c r="F188" s="196" t="n"/>
      <x:c r="G188" s="196" t="n"/>
    </x:row>
    <x:row r="189">
      <x:c r="A189" s="196" t="n"/>
      <x:c r="B189" s="196" t="n"/>
      <x:c r="C189" s="196" t="n"/>
      <x:c r="D189" s="196" t="n"/>
      <x:c r="E189" s="196" t="n"/>
      <x:c r="F189" s="196" t="n"/>
      <x:c r="G189" s="196" t="n"/>
    </x:row>
    <x:row r="190">
      <x:c r="A190" s="196" t="n"/>
      <x:c r="B190" s="196" t="n"/>
      <x:c r="C190" s="196" t="n"/>
      <x:c r="D190" s="196" t="n"/>
      <x:c r="E190" s="196" t="n"/>
      <x:c r="F190" s="196" t="n"/>
      <x:c r="G190" s="196" t="n"/>
    </x:row>
    <x:row r="191">
      <x:c r="A191" s="196" t="n"/>
      <x:c r="B191" s="196" t="n"/>
      <x:c r="C191" s="196" t="n"/>
      <x:c r="D191" s="196" t="n"/>
      <x:c r="E191" s="196" t="n"/>
      <x:c r="F191" s="196" t="n"/>
      <x:c r="G191" s="196" t="n"/>
    </x:row>
    <x:row r="192">
      <x:c r="A192" s="196" t="n"/>
      <x:c r="B192" s="196" t="n"/>
      <x:c r="C192" s="196" t="n"/>
      <x:c r="D192" s="196" t="n"/>
      <x:c r="E192" s="196" t="n"/>
      <x:c r="F192" s="196" t="n"/>
      <x:c r="G192" s="196" t="n"/>
    </x:row>
    <x:row r="193">
      <x:c r="A193" s="196" t="n"/>
      <x:c r="B193" s="196" t="n"/>
      <x:c r="C193" s="196" t="n"/>
      <x:c r="D193" s="196" t="n"/>
      <x:c r="E193" s="196" t="n"/>
      <x:c r="F193" s="196" t="n"/>
      <x:c r="G193" s="196" t="n"/>
    </x:row>
    <x:row r="194">
      <x:c r="A194" s="196" t="n"/>
      <x:c r="B194" s="196" t="n"/>
      <x:c r="C194" s="196" t="n"/>
      <x:c r="D194" s="196" t="n"/>
      <x:c r="E194" s="196" t="n"/>
      <x:c r="F194" s="196" t="n"/>
      <x:c r="G194" s="196" t="n"/>
    </x:row>
    <x:row r="195">
      <x:c r="A195" s="196" t="n"/>
      <x:c r="B195" s="196" t="n"/>
      <x:c r="C195" s="196" t="n"/>
      <x:c r="D195" s="196" t="n"/>
      <x:c r="E195" s="196" t="n"/>
      <x:c r="F195" s="196" t="n"/>
      <x:c r="G195" s="196" t="n"/>
    </x:row>
    <x:row r="196">
      <x:c r="A196" s="196" t="n"/>
      <x:c r="B196" s="196" t="n"/>
      <x:c r="C196" s="196" t="n"/>
      <x:c r="D196" s="196" t="n"/>
      <x:c r="E196" s="196" t="n"/>
      <x:c r="F196" s="196" t="n"/>
      <x:c r="G196" s="196" t="n"/>
    </x:row>
    <x:row r="197">
      <x:c r="A197" s="196" t="n"/>
      <x:c r="B197" s="196" t="n"/>
      <x:c r="C197" s="196" t="n"/>
      <x:c r="D197" s="196" t="n"/>
      <x:c r="E197" s="196" t="n"/>
      <x:c r="F197" s="196" t="n"/>
      <x:c r="G197" s="196" t="n"/>
    </x:row>
    <x:row r="198">
      <x:c r="A198" s="196" t="n"/>
      <x:c r="B198" s="196" t="n"/>
      <x:c r="C198" s="196" t="n"/>
      <x:c r="D198" s="196" t="n"/>
      <x:c r="E198" s="196" t="n"/>
      <x:c r="F198" s="196" t="n"/>
      <x:c r="G198" s="196" t="n"/>
    </x:row>
    <x:row r="199">
      <x:c r="A199" s="196" t="n"/>
      <x:c r="B199" s="196" t="n"/>
      <x:c r="C199" s="196" t="n"/>
      <x:c r="D199" s="196" t="n"/>
      <x:c r="E199" s="196" t="n"/>
      <x:c r="F199" s="196" t="n"/>
      <x:c r="G199" s="196" t="n"/>
    </x:row>
    <x:row r="200">
      <x:c r="A200" s="196" t="n"/>
      <x:c r="B200" s="196" t="n"/>
      <x:c r="C200" s="196" t="n"/>
      <x:c r="D200" s="196" t="n"/>
      <x:c r="E200" s="196" t="n"/>
      <x:c r="F200" s="196" t="n"/>
      <x:c r="G200" s="196" t="n"/>
    </x:row>
  </x:sheetData>
  <x:dataValidations count="1">
    <x:dataValidation type="list" allowBlank="0" showDropDown="0" showInputMessage="0" showErrorMessage="0" sqref="A5:A200">
      <x:formula1>"⭐ Favorites,🍜 Restaurant,🏨 Hotel,🏪 Konbini,👋 Greetings,👨‍👩‍👦 Family,🗺 Directions,🙏 Polite,🚆 Transit,🚨 Emergency,🛍 Shopping"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30" style="146" customWidth="1"/>
    <x:col min="3" max="3" width="22" style="146" customWidth="1"/>
    <x:col min="4" max="4" width="26" style="146" customWidth="1"/>
    <x:col min="5" max="5" width="12" style="146" customWidth="1"/>
    <x:col min="6" max="6" width="34" style="146" customWidth="1"/>
  </x:cols>
  <x:sheetData>
    <x:row r="1">
      <x:c r="A1" s="12" t="inlineStr">
        <x:is>
          <x:t xml:space="preserve">🚨 Offline + Emergency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Item</x:t>
        </x:is>
      </x:c>
      <x:c r="B4" s="22" t="inlineStr">
        <x:is>
          <x:t xml:space="preserve">Details</x:t>
        </x:is>
      </x:c>
      <x:c r="C4" s="22" t="inlineStr">
        <x:is>
          <x:t xml:space="preserve">Phone / Link</x:t>
        </x:is>
      </x:c>
      <x:c r="D4" s="22" t="inlineStr">
        <x:is>
          <x:t xml:space="preserve">Japanese Address</x:t>
        </x:is>
      </x:c>
      <x:c r="E4" s="22" t="inlineStr">
        <x:is>
          <x:t xml:space="preserve">Owner</x:t>
        </x:is>
      </x:c>
      <x:c r="F4" s="22" t="inlineStr">
        <x:is>
          <x:t xml:space="preserve">Notes</x:t>
        </x:is>
      </x:c>
    </x:row>
    <x:row r="5">
      <x:c r="A5" s="17" t="inlineStr">
        <x:is>
          <x:t xml:space="preserve">Police</x:t>
        </x:is>
      </x:c>
      <x:c r="B5" s="17" t="inlineStr">
        <x:is>
          <x:t xml:space="preserve">Emergency police</x:t>
        </x:is>
      </x:c>
      <x:c r="C5" s="17" t="inlineStr">
        <x:is>
          <x:t xml:space="preserve">110</x:t>
        </x:is>
      </x:c>
      <x:c r="D5" s="17" t="str"/>
      <x:c r="E5" s="17" t="inlineStr">
        <x:is>
          <x:t xml:space="preserve">All</x:t>
        </x:is>
      </x:c>
      <x:c r="F5" s="17" t="str"/>
    </x:row>
    <x:row r="6">
      <x:c r="A6" s="17" t="inlineStr">
        <x:is>
          <x:t xml:space="preserve">Ambulance / Fire</x:t>
        </x:is>
      </x:c>
      <x:c r="B6" s="17" t="inlineStr">
        <x:is>
          <x:t xml:space="preserve">Emergency medical/fire</x:t>
        </x:is>
      </x:c>
      <x:c r="C6" s="17" t="inlineStr">
        <x:is>
          <x:t xml:space="preserve">119</x:t>
        </x:is>
      </x:c>
      <x:c r="D6" s="17" t="str"/>
      <x:c r="E6" s="17" t="inlineStr">
        <x:is>
          <x:t xml:space="preserve">All</x:t>
        </x:is>
      </x:c>
      <x:c r="F6" s="17" t="str"/>
    </x:row>
    <x:row r="7">
      <x:c r="A7" s="17" t="inlineStr">
        <x:is>
          <x:t xml:space="preserve">Tokyo Hotel</x:t>
        </x:is>
      </x:c>
      <x:c r="B7" s="17" t="inlineStr">
        <x:is>
          <x:t xml:space="preserve">Akasaka hotel TBD</x:t>
        </x:is>
      </x:c>
      <x:c r="C7" s="17" t="str"/>
      <x:c r="D7" s="17" t="str"/>
      <x:c r="E7" s="17" t="inlineStr">
        <x:is>
          <x:t xml:space="preserve">David</x:t>
        </x:is>
      </x:c>
      <x:c r="F7" s="17" t="inlineStr">
        <x:is>
          <x:t xml:space="preserve">Fill after booking</x:t>
        </x:is>
      </x:c>
    </x:row>
    <x:row r="8">
      <x:c r="A8" s="17" t="inlineStr">
        <x:is>
          <x:t xml:space="preserve">Hakone Ryokan</x:t>
        </x:is>
      </x:c>
      <x:c r="B8" s="17" t="inlineStr">
        <x:is>
          <x:t xml:space="preserve">TBD</x:t>
        </x:is>
      </x:c>
      <x:c r="C8" s="17" t="str"/>
      <x:c r="D8" s="17" t="str"/>
      <x:c r="E8" s="17" t="inlineStr">
        <x:is>
          <x:t xml:space="preserve">David</x:t>
        </x:is>
      </x:c>
      <x:c r="F8" s="17" t="inlineStr">
        <x:is>
          <x:t xml:space="preserve">Fill after booking</x:t>
        </x:is>
      </x:c>
    </x:row>
    <x:row r="9">
      <x:c r="A9" s="17" t="inlineStr">
        <x:is>
          <x:t xml:space="preserve">Kyoto Hotel</x:t>
        </x:is>
      </x:c>
      <x:c r="B9" s="17" t="inlineStr">
        <x:is>
          <x:t xml:space="preserve">TBD</x:t>
        </x:is>
      </x:c>
      <x:c r="C9" s="17" t="str"/>
      <x:c r="D9" s="17" t="str"/>
      <x:c r="E9" s="17" t="inlineStr">
        <x:is>
          <x:t xml:space="preserve">David</x:t>
        </x:is>
      </x:c>
      <x:c r="F9" s="17" t="inlineStr">
        <x:is>
          <x:t xml:space="preserve">Fill after booking</x:t>
        </x:is>
      </x:c>
    </x:row>
    <x:row r="10">
      <x:c r="A10" s="17" t="inlineStr">
        <x:is>
          <x:t xml:space="preserve">US Embassy Tokyo</x:t>
        </x:is>
      </x:c>
      <x:c r="B10" s="17" t="inlineStr">
        <x:is>
          <x:t xml:space="preserve">Add official contact</x:t>
        </x:is>
      </x:c>
      <x:c r="C10" s="17" t="str"/>
      <x:c r="D10" s="17" t="str"/>
      <x:c r="E10" s="17" t="inlineStr">
        <x:is>
          <x:t xml:space="preserve">David</x:t>
        </x:is>
      </x:c>
      <x:c r="F10" s="17" t="str"/>
    </x:row>
    <x:row r="11">
      <x:c r="A11" s="17" t="inlineStr">
        <x:is>
          <x:t xml:space="preserve">Travel insurance</x:t>
        </x:is>
      </x:c>
      <x:c r="B11" s="17" t="inlineStr">
        <x:is>
          <x:t xml:space="preserve">Policy info</x:t>
        </x:is>
      </x:c>
      <x:c r="C11" s="17" t="str"/>
      <x:c r="D11" s="17" t="str"/>
      <x:c r="E11" s="17" t="inlineStr">
        <x:is>
          <x:t xml:space="preserve">David</x:t>
        </x:is>
      </x:c>
      <x:c r="F11" s="17" t="str"/>
    </x:row>
    <x:row r="12">
      <x:c r="A12" s="17" t="inlineStr">
        <x:is>
          <x:t xml:space="preserve">If separated</x:t>
        </x:is>
      </x:c>
      <x:c r="B12" s="17" t="inlineStr">
        <x:is>
          <x:t xml:space="preserve">Go to hotel lobby / station staff</x:t>
        </x:is>
      </x:c>
      <x:c r="C12" s="17" t="str"/>
      <x:c r="D12" s="17" t="str"/>
      <x:c r="E12" s="17" t="inlineStr">
        <x:is>
          <x:t xml:space="preserve">All</x:t>
        </x:is>
      </x:c>
      <x:c r="F12" s="17" t="str"/>
    </x:row>
    <x:row r="13">
      <x:c r="A13" s="17" t="inlineStr">
        <x:is>
          <x:t xml:space="preserve">Pharmacy clue</x:t>
        </x:is>
      </x:c>
      <x:c r="B13" s="17" t="inlineStr">
        <x:is>
          <x:t xml:space="preserve">Drugstores use 薬 sign</x:t>
        </x:is>
      </x:c>
      <x:c r="C13" s="17" t="str"/>
      <x:c r="D13" s="17" t="str"/>
      <x:c r="E13" s="17" t="inlineStr">
        <x:is>
          <x:t xml:space="preserve">All</x:t>
        </x:is>
      </x:c>
      <x:c r="F13" s="17" t="inlineStr">
        <x:is>
          <x:t xml:space="preserve">Medicine usually not at konbini</x:t>
        </x:is>
      </x:c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24" style="146" customWidth="1"/>
    <x:col min="4" max="4" width="14" style="146" customWidth="1"/>
    <x:col min="5" max="5" width="24" style="146" customWidth="1"/>
    <x:col min="6" max="6" width="18" style="146" customWidth="1"/>
    <x:col min="7" max="7" width="12" style="146" customWidth="1"/>
    <x:col min="8" max="8" width="28" style="146" customWidth="1"/>
    <x:col min="9" max="9" width="12" style="146" customWidth="1"/>
  </x:cols>
  <x:sheetData>
    <x:row r="1">
      <x:c r="A1" s="12" t="inlineStr">
        <x:is>
          <x:t xml:space="preserve">🗺 Meetups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</x:row>
    <x:row r="4">
      <x:c r="A4" s="22" t="inlineStr">
        <x:is>
          <x:t xml:space="preserve">Date</x:t>
        </x:is>
      </x:c>
      <x:c r="B4" s="22" t="inlineStr">
        <x:is>
          <x:t xml:space="preserve">City</x:t>
        </x:is>
      </x:c>
      <x:c r="C4" s="22" t="inlineStr">
        <x:is>
          <x:t xml:space="preserve">Meet Point</x:t>
        </x:is>
      </x:c>
      <x:c r="D4" s="22" t="inlineStr">
        <x:is>
          <x:t xml:space="preserve">Time</x:t>
        </x:is>
      </x:c>
      <x:c r="E4" s="22" t="inlineStr">
        <x:is>
          <x:t xml:space="preserve">Backup</x:t>
        </x:is>
      </x:c>
      <x:c r="F4" s="22" t="inlineStr">
        <x:is>
          <x:t xml:space="preserve">Maps Link</x:t>
        </x:is>
      </x:c>
      <x:c r="G4" s="22" t="inlineStr">
        <x:is>
          <x:t xml:space="preserve">Who</x:t>
        </x:is>
      </x:c>
      <x:c r="H4" s="22" t="inlineStr">
        <x:is>
          <x:t xml:space="preserve">Notes</x:t>
        </x:is>
      </x:c>
      <x:c r="I4" s="22" t="inlineStr">
        <x:is>
          <x:t xml:space="preserve">Status</x:t>
        </x:is>
      </x:c>
    </x:row>
    <x:row r="5">
      <x:c r="A5" s="264" t="n">
        <x:v>46297</x:v>
      </x:c>
      <x:c r="B5" s="17" t="inlineStr">
        <x:is>
          <x:t xml:space="preserve">Tokyo</x:t>
        </x:is>
      </x:c>
      <x:c r="C5" s="17" t="inlineStr">
        <x:is>
          <x:t xml:space="preserve">Hotel lobby</x:t>
        </x:is>
      </x:c>
      <x:c r="D5" s="17" t="inlineStr">
        <x:is>
          <x:t xml:space="preserve">TBD</x:t>
        </x:is>
      </x:c>
      <x:c r="E5" s="17" t="inlineStr">
        <x:is>
          <x:t xml:space="preserve">Hotel front desk</x:t>
        </x:is>
      </x:c>
      <x:c r="F5" s="17" t="str"/>
      <x:c r="G5" s="17" t="inlineStr">
        <x:is>
          <x:t xml:space="preserve">All</x:t>
        </x:is>
      </x:c>
      <x:c r="H5" s="17" t="inlineStr">
        <x:is>
          <x:t xml:space="preserve">Default meetup</x:t>
        </x:is>
      </x:c>
      <x:c r="I5" s="17" t="str"/>
    </x:row>
    <x:row r="6">
      <x:c r="A6" s="264" t="n">
        <x:v>46300</x:v>
      </x:c>
      <x:c r="B6" s="17" t="inlineStr">
        <x:is>
          <x:t xml:space="preserve">Tokyo</x:t>
        </x:is>
      </x:c>
      <x:c r="C6" s="17" t="inlineStr">
        <x:is>
          <x:t xml:space="preserve">Ghibli Museum entrance</x:t>
        </x:is>
      </x:c>
      <x:c r="D6" s="17" t="inlineStr">
        <x:is>
          <x:t xml:space="preserve">Ticket time</x:t>
        </x:is>
      </x:c>
      <x:c r="E6" s="17" t="inlineStr">
        <x:is>
          <x:t xml:space="preserve">Kichijoji Station exit</x:t>
        </x:is>
      </x:c>
      <x:c r="F6" s="17" t="str"/>
      <x:c r="G6" s="17" t="inlineStr">
        <x:is>
          <x:t xml:space="preserve">All</x:t>
        </x:is>
      </x:c>
      <x:c r="H6" s="17" t="inlineStr">
        <x:is>
          <x:t xml:space="preserve">Build around tickets</x:t>
        </x:is>
      </x:c>
      <x:c r="I6" s="17" t="str"/>
    </x:row>
    <x:row r="7">
      <x:c r="A7" s="264" t="n">
        <x:v>46309</x:v>
      </x:c>
      <x:c r="B7" s="17" t="inlineStr">
        <x:is>
          <x:t xml:space="preserve">Tokyo</x:t>
        </x:is>
      </x:c>
      <x:c r="C7" s="17" t="inlineStr">
        <x:is>
          <x:t xml:space="preserve">Hotel lobby / Hachiko</x:t>
        </x:is>
      </x:c>
      <x:c r="D7" s="17" t="inlineStr">
        <x:is>
          <x:t xml:space="preserve">TBD</x:t>
        </x:is>
      </x:c>
      <x:c r="E7" s="17" t="inlineStr">
        <x:is>
          <x:t xml:space="preserve">Akasaka hotel</x:t>
        </x:is>
      </x:c>
      <x:c r="F7" s="17" t="str"/>
      <x:c r="G7" s="17" t="inlineStr">
        <x:is>
          <x:t xml:space="preserve">All</x:t>
        </x:is>
      </x:c>
      <x:c r="H7" s="17" t="inlineStr">
        <x:is>
          <x:t xml:space="preserve">Split-up shopping day</x:t>
        </x:is>
      </x:c>
      <x:c r="I7" s="17" t="str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36" style="146" customWidth="1"/>
    <x:col min="2" max="2" width="48" style="146" customWidth="1"/>
    <x:col min="3" max="3" width="48" style="146" customWidth="1"/>
  </x:cols>
  <x:sheetData>
    <x:row r="1">
      <x:c r="A1" s="12" t="inlineStr">
        <x:is>
          <x:t xml:space="preserve">📚 Sources + Notes</x:t>
        </x:is>
      </x:c>
      <x:c r="B1" s="12" t="n"/>
      <x:c r="C1" s="12" t="n"/>
    </x:row>
    <x:row r="2">
      <x:c r="A2" s="12" t="n"/>
      <x:c r="B2" s="12" t="n"/>
      <x:c r="C2" s="12" t="n"/>
    </x:row>
    <x:row r="3">
      <x:c r="A3" s="5" t="n"/>
      <x:c r="B3" s="5" t="n"/>
      <x:c r="C3" s="5" t="n"/>
    </x:row>
    <x:row r="4">
      <x:c r="A4" s="22" t="inlineStr">
        <x:is>
          <x:t xml:space="preserve">Source</x:t>
        </x:is>
      </x:c>
      <x:c r="B4" s="22" t="inlineStr">
        <x:is>
          <x:t xml:space="preserve">Used for</x:t>
        </x:is>
      </x:c>
      <x:c r="C4" s="22" t="inlineStr">
        <x:is>
          <x:t xml:space="preserve">Notes</x:t>
        </x:is>
      </x:c>
    </x:row>
    <x:row r="5">
      <x:c r="A5" s="17" t="inlineStr">
        <x:is>
          <x:t xml:space="preserve">Japan Tips(1).docx</x:t>
        </x:is>
      </x:c>
      <x:c r="B5" s="17" t="inlineStr">
        <x:is>
          <x:t xml:space="preserve">Pre-trip checklist, packing, transit, payment, konbini, etiquette, phrases, Tokyo/Kyoto/Hakone/Nara guide tabs</x:t>
        </x:is>
      </x:c>
      <x:c r="C5" s="17" t="inlineStr">
        <x:is>
          <x:t xml:space="preserve">Uploaded by user in this conversation</x:t>
        </x:is>
      </x:c>
    </x:row>
    <x:row r="6">
      <x:c r="A6" s="17" t="inlineStr">
        <x:is>
          <x:t xml:space="preserve">Japan_October_2026_Travel_OS_v5_Designed.xlsx</x:t>
        </x:is>
      </x:c>
      <x:c r="B6" s="17" t="inlineStr">
        <x:is>
          <x:t xml:space="preserve">Visual/layout direction</x:t>
        </x:is>
      </x:c>
      <x:c r="C6" s="17" t="inlineStr">
        <x:is>
          <x:t xml:space="preserve">Previous version</x:t>
        </x:is>
      </x:c>
    </x:row>
    <x:row r="7">
      <x:c r="A7" s="17" t="inlineStr">
        <x:is>
          <x:t xml:space="preserve">User constraints in conversation</x:t>
        </x:is>
      </x:c>
      <x:c r="B7" s="17" t="inlineStr">
        <x:is>
          <x:t xml:space="preserve">Trip window, JAL, Narita, Akasaka, Ghibli, Hilda-friendly design</x:t>
        </x:is>
      </x:c>
      <x:c r="C7" s="17" t="inlineStr">
        <x:is>
          <x:t xml:space="preserve">Current planning assumptions</x:t>
        </x:is>
      </x:c>
    </x:row>
    <x:row r="8">
      <x:c r="A8" s="160" t="inlineStr">
        <x:is>
          <x:t xml:space="preserve">Google Apps Script helper</x:t>
        </x:is>
      </x:c>
      <x:c r="B8" s="160" t="inlineStr">
        <x:is>
          <x:t xml:space="preserve">User-friendly menus, navigation, and setup polish</x:t>
        </x:is>
      </x:c>
      <x:c r="C8" s="160" t="inlineStr">
        <x:is>
          <x:t xml:space="preserve">Install through Extensions → Apps Script after converting to Google Sheets</x:t>
        </x:is>
      </x:c>
    </x:row>
    <x:row r="9">
      <x:c r="A9" s="160" t="inlineStr">
        <x:is>
          <x:t xml:space="preserve">Google Sheets conversion note</x:t>
        </x:is>
      </x:c>
      <x:c r="B9" s="160" t="inlineStr">
        <x:is>
          <x:t xml:space="preserve">Some visual styling is improved by running Initial Setup / Polish Sheet in the custom menu.</x:t>
        </x:is>
      </x:c>
      <x:c r="C9" s="160" t="inlineStr">
        <x:is>
          <x:t xml:space="preserve">Run once after import</x:t>
        </x:is>
      </x:c>
    </x:row>
    <x:row r="10">
      <x:c r="A10" s="160" t="inlineStr">
        <x:is>
          <x:t xml:space="preserve">Professional workflow</x:t>
        </x:is>
      </x:c>
      <x:c r="B10" s="160" t="inlineStr">
        <x:is>
          <x:t xml:space="preserve">Edit source tabs only, use dashboards for viewing.</x:t>
        </x:is>
      </x:c>
      <x:c r="C10" s="160" t="inlineStr">
        <x:is>
          <x:t xml:space="preserve">Reduces accidental broken formulas</x:t>
        </x:is>
      </x:c>
    </x:row>
    <x:row r="11">
      <x:c r="A11" s="5" t="n"/>
      <x:c r="B11" s="5" t="n"/>
      <x:c r="C11" s="5" t="n"/>
    </x:row>
    <x:row r="12">
      <x:c r="A12" s="278" t="str">
        <x:v>Restaurant research</x:v>
      </x:c>
      <x:c r="B12" s="278" t="str">
        <x:v>MICHELIN Guide Japan 2026</x:v>
      </x:c>
      <x:c r="C12" s="278" t="str">
        <x:v>https://guide.michelin.com/en/jp/restaurants</x:v>
      </x:c>
    </x:row>
    <x:row r="13">
      <x:c r="A13" s="278" t="str">
        <x:v>Tokyo restaurants</x:v>
      </x:c>
      <x:c r="B13" s="278" t="str">
        <x:v>MICHELIN Guide Tokyo</x:v>
      </x:c>
      <x:c r="C13" s="278" t="str">
        <x:v>https://guide.michelin.com/us/en/tokyo-region/tokyo/restaurants</x:v>
      </x:c>
    </x:row>
    <x:row r="14">
      <x:c r="A14" s="278" t="str">
        <x:v>Kyoto restaurants</x:v>
      </x:c>
      <x:c r="B14" s="278" t="str">
        <x:v>MICHELIN Guide Kyoto</x:v>
      </x:c>
      <x:c r="C14" s="278" t="str">
        <x:v>https://guide.michelin.com/us/en/kyoto-region/restaurants</x:v>
      </x:c>
    </x:row>
    <x:row r="15">
      <x:c r="A15" s="278" t="str">
        <x:v>Osaka restaurants</x:v>
      </x:c>
      <x:c r="B15" s="278" t="str">
        <x:v>MICHELIN Guide Osaka</x:v>
      </x:c>
      <x:c r="C15" s="278" t="str">
        <x:v>https://guide.michelin.com/us/en/osaka-region/osaka/restaurants</x:v>
      </x:c>
    </x:row>
    <x:row r="16">
      <x:c r="A16" s="278" t="str">
        <x:v>Local restaurant research</x:v>
      </x:c>
      <x:c r="B16" s="278" t="str">
        <x:v>Tabelog English</x:v>
      </x:c>
      <x:c r="C16" s="278" t="str">
        <x:v>https://tabelog.com/en/</x:v>
      </x:c>
    </x:row>
    <x:row r="17">
      <x:c r="A17" s="278" t="str">
        <x:v>Hakone local research</x:v>
      </x:c>
      <x:c r="B17" s="278" t="str">
        <x:v>Tabelog Kanagawa / Hakone</x:v>
      </x:c>
      <x:c r="C17" s="278" t="str">
        <x:v>https://tabelog.com/en/kanagawa/A1410/A141001/rstLst/</x:v>
      </x:c>
    </x:row>
    <x:row r="18">
      <x:c r="A18" s="5" t="n"/>
      <x:c r="B18" s="5" t="n"/>
      <x:c r="C18" s="5" t="n"/>
    </x:row>
    <x:row r="19">
      <x:c r="A19" s="5" t="n"/>
      <x:c r="B19" s="5" t="n"/>
      <x:c r="C19" s="5" t="n"/>
    </x:row>
    <x:row r="20">
      <x:c r="A20" s="5" t="n"/>
      <x:c r="B20" s="5" t="n"/>
      <x:c r="C20" s="5" t="n"/>
    </x:row>
    <x:row r="21">
      <x:c r="A21" s="5" t="n"/>
      <x:c r="B21" s="5" t="n"/>
      <x:c r="C21" s="5" t="n"/>
    </x:row>
    <x:row r="22">
      <x:c r="A22" s="5" t="n"/>
      <x:c r="B22" s="5" t="n"/>
      <x:c r="C22" s="5" t="n"/>
    </x:row>
    <x:row r="23">
      <x:c r="A23" s="5" t="n"/>
      <x:c r="B23" s="5" t="n"/>
      <x:c r="C23" s="5" t="n"/>
    </x:row>
    <x:row r="24">
      <x:c r="A24" s="5" t="n"/>
      <x:c r="B24" s="5" t="n"/>
      <x:c r="C24" s="5" t="n"/>
    </x:row>
    <x:row r="25">
      <x:c r="A25" s="5" t="n"/>
      <x:c r="B25" s="5" t="n"/>
      <x:c r="C25" s="5" t="n"/>
    </x:row>
    <x:row r="26">
      <x:c r="A26" s="5" t="n"/>
      <x:c r="B26" s="5" t="n"/>
      <x:c r="C26" s="5" t="n"/>
    </x:row>
    <x:row r="27">
      <x:c r="A27" s="5" t="n"/>
      <x:c r="B27" s="5" t="n"/>
      <x:c r="C27" s="5" t="n"/>
    </x:row>
    <x:row r="28">
      <x:c r="A28" s="5" t="n"/>
      <x:c r="B28" s="5" t="n"/>
      <x:c r="C28" s="5" t="n"/>
    </x:row>
    <x:row r="29">
      <x:c r="A29" s="5" t="n"/>
      <x:c r="B29" s="5" t="n"/>
      <x:c r="C29" s="5" t="n"/>
    </x:row>
    <x:row r="30">
      <x:c r="A30" s="5" t="n"/>
      <x:c r="B30" s="5" t="n"/>
      <x:c r="C30" s="5" t="n"/>
    </x:row>
    <x:row r="31">
      <x:c r="A31" s="5" t="n"/>
      <x:c r="B31" s="5" t="n"/>
      <x:c r="C31" s="5" t="n"/>
    </x:row>
    <x:row r="32">
      <x:c r="A32" s="5" t="n"/>
      <x:c r="B32" s="5" t="n"/>
      <x:c r="C32" s="5" t="n"/>
    </x:row>
    <x:row r="33">
      <x:c r="A33" s="5" t="n"/>
      <x:c r="B33" s="5" t="n"/>
      <x:c r="C33" s="5" t="n"/>
    </x:row>
    <x:row r="34">
      <x:c r="A34" s="5" t="n"/>
      <x:c r="B34" s="5" t="n"/>
      <x:c r="C34" s="5" t="n"/>
    </x:row>
    <x:row r="35">
      <x:c r="A35" s="5" t="n"/>
      <x:c r="B35" s="5" t="n"/>
      <x:c r="C35" s="5" t="n"/>
    </x:row>
    <x:row r="36">
      <x:c r="A36" s="5" t="n"/>
      <x:c r="B36" s="5" t="n"/>
      <x:c r="C36" s="5" t="n"/>
    </x:row>
    <x:row r="37">
      <x:c r="A37" s="5" t="n"/>
      <x:c r="B37" s="5" t="n"/>
      <x:c r="C37" s="5" t="n"/>
    </x:row>
    <x:row r="38">
      <x:c r="A38" s="5" t="n"/>
      <x:c r="B38" s="5" t="n"/>
      <x:c r="C38" s="5" t="n"/>
    </x:row>
    <x:row r="39">
      <x:c r="A39" s="5" t="n"/>
      <x:c r="B39" s="5" t="n"/>
      <x:c r="C39" s="5" t="n"/>
    </x:row>
    <x:row r="40">
      <x:c r="A40" s="5" t="n"/>
      <x:c r="B40" s="5" t="n"/>
      <x:c r="C40" s="5" t="n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8" style="146" customWidth="1"/>
    <x:col min="3" max="3" width="28" style="146" customWidth="1"/>
    <x:col min="4" max="4" width="16" style="146" customWidth="1"/>
    <x:col min="5" max="5" width="24" style="146" customWidth="1"/>
    <x:col min="6" max="6" width="34" style="146" customWidth="1"/>
    <x:col min="7" max="7" width="34" style="146" customWidth="1"/>
    <x:col min="8" max="8" width="34" style="146" customWidth="1"/>
    <x:col min="9" max="9" width="12" style="146" customWidth="1"/>
  </x:cols>
  <x:sheetData>
    <x:row r="1">
      <x:c r="A1" s="233" t="inlineStr">
        <x:is>
          <x:t xml:space="preserve">📍 Maps + One-Tap Directions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</x:row>
    <x:row r="4">
      <x:c r="A4" s="236" t="inlineStr">
        <x:is>
          <x:t xml:space="preserve">City</x:t>
        </x:is>
      </x:c>
      <x:c r="B4" s="236" t="inlineStr">
        <x:is>
          <x:t xml:space="preserve">Area</x:t>
        </x:is>
      </x:c>
      <x:c r="C4" s="236" t="inlineStr">
        <x:is>
          <x:t xml:space="preserve">Place</x:t>
        </x:is>
      </x:c>
      <x:c r="D4" s="236" t="inlineStr">
        <x:is>
          <x:t xml:space="preserve">Type</x:t>
        </x:is>
      </x:c>
      <x:c r="E4" s="236" t="inlineStr">
        <x:is>
          <x:t xml:space="preserve">Nearest Station</x:t>
        </x:is>
      </x:c>
      <x:c r="F4" s="236" t="inlineStr">
        <x:is>
          <x:t xml:space="preserve">Google Maps Link</x:t>
        </x:is>
      </x:c>
      <x:c r="G4" s="236" t="inlineStr">
        <x:is>
          <x:t xml:space="preserve">Apple Maps Link</x:t>
        </x:is>
      </x:c>
      <x:c r="H4" s="236" t="inlineStr">
        <x:is>
          <x:t xml:space="preserve">Notes</x:t>
        </x:is>
      </x:c>
      <x:c r="I4" s="236" t="inlineStr">
        <x:is>
          <x:t xml:space="preserve">Priority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Akasaka</x:t>
        </x:is>
      </x:c>
      <x:c r="C5" s="237" t="inlineStr">
        <x:is>
          <x:t xml:space="preserve">Akasaka hotel TBD</x:t>
        </x:is>
      </x:c>
      <x:c r="D5" s="237" t="inlineStr">
        <x:is>
          <x:t xml:space="preserve">Hotel</x:t>
        </x:is>
      </x:c>
      <x:c r="E5" s="237" t="inlineStr">
        <x:is>
          <x:t xml:space="preserve">Akasaka / Akasaka-mitsuke</x:t>
        </x:is>
      </x:c>
      <x:c r="F5" s="237" t="str"/>
      <x:c r="G5" s="237" t="str"/>
      <x:c r="H5" s="237" t="inlineStr">
        <x:is>
          <x:t xml:space="preserve">Fill after booking</x:t>
        </x:is>
      </x:c>
      <x:c r="I5" s="237" t="inlineStr">
        <x:is>
          <x:t xml:space="preserve">High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Akasaka</x:t>
        </x:is>
      </x:c>
      <x:c r="C6" s="237" t="inlineStr">
        <x:is>
          <x:t xml:space="preserve">Hie Shrine</x:t>
        </x:is>
      </x:c>
      <x:c r="D6" s="237" t="inlineStr">
        <x:is>
          <x:t xml:space="preserve">Shrine</x:t>
        </x:is>
      </x:c>
      <x:c r="E6" s="237" t="inlineStr">
        <x:is>
          <x:t xml:space="preserve">Akasaka-mitsuke</x:t>
        </x:is>
      </x:c>
      <x:c r="F6" s="237" t="str"/>
      <x:c r="G6" s="237" t="str"/>
      <x:c r="H6" s="237" t="inlineStr">
        <x:is>
          <x:t xml:space="preserve">Easy first-day walk</x:t>
        </x:is>
      </x:c>
      <x:c r="I6" s="237" t="inlineStr">
        <x:is>
          <x:t xml:space="preserve">Medium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Mitaka</x:t>
        </x:is>
      </x:c>
      <x:c r="C7" s="237" t="inlineStr">
        <x:is>
          <x:t xml:space="preserve">Ghibli Museum</x:t>
        </x:is>
      </x:c>
      <x:c r="D7" s="237" t="inlineStr">
        <x:is>
          <x:t xml:space="preserve">Museum</x:t>
        </x:is>
      </x:c>
      <x:c r="E7" s="237" t="inlineStr">
        <x:is>
          <x:t xml:space="preserve">Mitaka / Kichijoji</x:t>
        </x:is>
      </x:c>
      <x:c r="F7" s="237" t="str"/>
      <x:c r="G7" s="237" t="str"/>
      <x:c r="H7" s="237" t="inlineStr">
        <x:is>
          <x:t xml:space="preserve">Advance ticket required</x:t>
        </x:is>
      </x:c>
      <x:c r="I7" s="237" t="inlineStr">
        <x:is>
          <x:t xml:space="preserve">High</x:t>
        </x:is>
      </x:c>
    </x:row>
    <x:row r="8">
      <x:c r="A8" s="237" t="inlineStr">
        <x:is>
          <x:t xml:space="preserve">Tokyo</x:t>
        </x:is>
      </x:c>
      <x:c r="B8" s="237" t="inlineStr">
        <x:is>
          <x:t xml:space="preserve">Shibuya</x:t>
        </x:is>
      </x:c>
      <x:c r="C8" s="237" t="inlineStr">
        <x:is>
          <x:t xml:space="preserve">Shibuya Sky</x:t>
        </x:is>
      </x:c>
      <x:c r="D8" s="237" t="inlineStr">
        <x:is>
          <x:t xml:space="preserve">Viewpoint</x:t>
        </x:is>
      </x:c>
      <x:c r="E8" s="237" t="inlineStr">
        <x:is>
          <x:t xml:space="preserve">Shibuya</x:t>
        </x:is>
      </x:c>
      <x:c r="F8" s="237" t="str"/>
      <x:c r="G8" s="237" t="str"/>
      <x:c r="H8" s="237" t="inlineStr">
        <x:is>
          <x:t xml:space="preserve">Book sunset if possible</x:t>
        </x:is>
      </x:c>
      <x:c r="I8" s="237" t="inlineStr">
        <x:is>
          <x:t xml:space="preserve">Medium</x:t>
        </x:is>
      </x:c>
    </x:row>
    <x:row r="9">
      <x:c r="A9" s="237" t="inlineStr">
        <x:is>
          <x:t xml:space="preserve">Tokyo</x:t>
        </x:is>
      </x:c>
      <x:c r="B9" s="237" t="inlineStr">
        <x:is>
          <x:t xml:space="preserve">Toyosu/Odaiba</x:t>
        </x:is>
      </x:c>
      <x:c r="C9" s="237" t="inlineStr">
        <x:is>
          <x:t xml:space="preserve">teamLab Planets</x:t>
        </x:is>
      </x:c>
      <x:c r="D9" s="237" t="inlineStr">
        <x:is>
          <x:t xml:space="preserve">Museum</x:t>
        </x:is>
      </x:c>
      <x:c r="E9" s="237" t="inlineStr">
        <x:is>
          <x:t xml:space="preserve">Shin-Toyosu</x:t>
        </x:is>
      </x:c>
      <x:c r="F9" s="237" t="str"/>
      <x:c r="G9" s="237" t="str"/>
      <x:c r="H9" s="237" t="inlineStr">
        <x:is>
          <x:t xml:space="preserve">Ticket day</x:t>
        </x:is>
      </x:c>
      <x:c r="I9" s="237" t="inlineStr">
        <x:is>
          <x:t xml:space="preserve">Medium</x:t>
        </x:is>
      </x:c>
    </x:row>
    <x:row r="10">
      <x:c r="A10" s="237" t="inlineStr">
        <x:is>
          <x:t xml:space="preserve">Kyoto</x:t>
        </x:is>
      </x:c>
      <x:c r="B10" s="237" t="inlineStr">
        <x:is>
          <x:t xml:space="preserve">Fushimi</x:t>
        </x:is>
      </x:c>
      <x:c r="C10" s="237" t="inlineStr">
        <x:is>
          <x:t xml:space="preserve">Fushimi Inari</x:t>
        </x:is>
      </x:c>
      <x:c r="D10" s="237" t="inlineStr">
        <x:is>
          <x:t xml:space="preserve">Shrine</x:t>
        </x:is>
      </x:c>
      <x:c r="E10" s="237" t="inlineStr">
        <x:is>
          <x:t xml:space="preserve">Inari</x:t>
        </x:is>
      </x:c>
      <x:c r="F10" s="237" t="str"/>
      <x:c r="G10" s="237" t="str"/>
      <x:c r="H10" s="237" t="inlineStr">
        <x:is>
          <x:t xml:space="preserve">Go before 7:30 AM</x:t>
        </x:is>
      </x:c>
      <x:c r="I10" s="237" t="inlineStr">
        <x:is>
          <x:t xml:space="preserve">High</x:t>
        </x:is>
      </x:c>
    </x:row>
    <x:row r="11">
      <x:c r="A11" s="237" t="inlineStr">
        <x:is>
          <x:t xml:space="preserve">Kyoto</x:t>
        </x:is>
      </x:c>
      <x:c r="B11" s="237" t="inlineStr">
        <x:is>
          <x:t xml:space="preserve">Higashiyama</x:t>
        </x:is>
      </x:c>
      <x:c r="C11" s="237" t="inlineStr">
        <x:is>
          <x:t xml:space="preserve">Kiyomizu-dera</x:t>
        </x:is>
      </x:c>
      <x:c r="D11" s="237" t="inlineStr">
        <x:is>
          <x:t xml:space="preserve">Temple</x:t>
        </x:is>
      </x:c>
      <x:c r="E11" s="237" t="inlineStr">
        <x:is>
          <x:t xml:space="preserve">Kiyomizu-Gojo</x:t>
        </x:is>
      </x:c>
      <x:c r="F11" s="237" t="str"/>
      <x:c r="G11" s="237" t="str"/>
      <x:c r="H11" s="237" t="inlineStr">
        <x:is>
          <x:t xml:space="preserve">Go before 8 AM</x:t>
        </x:is>
      </x:c>
      <x:c r="I11" s="237" t="inlineStr">
        <x:is>
          <x:t xml:space="preserve">High</x:t>
        </x:is>
      </x:c>
    </x:row>
    <x:row r="12">
      <x:c r="A12" s="237" t="inlineStr">
        <x:is>
          <x:t xml:space="preserve">Kyoto</x:t>
        </x:is>
      </x:c>
      <x:c r="B12" s="237" t="inlineStr">
        <x:is>
          <x:t xml:space="preserve">Arashiyama</x:t>
        </x:is>
      </x:c>
      <x:c r="C12" s="237" t="inlineStr">
        <x:is>
          <x:t xml:space="preserve">Bamboo Grove</x:t>
        </x:is>
      </x:c>
      <x:c r="D12" s="237" t="inlineStr">
        <x:is>
          <x:t xml:space="preserve">Sight</x:t>
        </x:is>
      </x:c>
      <x:c r="E12" s="237" t="inlineStr">
        <x:is>
          <x:t xml:space="preserve">Saga-Arashiyama</x:t>
        </x:is>
      </x:c>
      <x:c r="F12" s="237" t="str"/>
      <x:c r="G12" s="237" t="str"/>
      <x:c r="H12" s="237" t="inlineStr">
        <x:is>
          <x:t xml:space="preserve">Go before 7:30 AM</x:t>
        </x:is>
      </x:c>
      <x:c r="I12" s="237" t="inlineStr">
        <x:is>
          <x:t xml:space="preserve">High</x:t>
        </x:is>
      </x:c>
    </x:row>
    <x:row r="13">
      <x:c r="A13" s="237" t="inlineStr">
        <x:is>
          <x:t xml:space="preserve">Nara</x:t>
        </x:is>
      </x:c>
      <x:c r="B13" s="237" t="inlineStr">
        <x:is>
          <x:t xml:space="preserve">Nara Park</x:t>
        </x:is>
      </x:c>
      <x:c r="C13" s="237" t="inlineStr">
        <x:is>
          <x:t xml:space="preserve">Nara Park / Todai-ji</x:t>
        </x:is>
      </x:c>
      <x:c r="D13" s="237" t="inlineStr">
        <x:is>
          <x:t xml:space="preserve">Day trip</x:t>
        </x:is>
      </x:c>
      <x:c r="E13" s="237" t="inlineStr">
        <x:is>
          <x:t xml:space="preserve">Kintetsu Nara</x:t>
        </x:is>
      </x:c>
      <x:c r="F13" s="237" t="str"/>
      <x:c r="G13" s="237" t="str"/>
      <x:c r="H13" s="237" t="inlineStr">
        <x:is>
          <x:t xml:space="preserve">Simple day trip</x:t>
        </x:is>
      </x:c>
      <x:c r="I13" s="237" t="inlineStr">
        <x:is>
          <x:t xml:space="preserve">Medium</x:t>
        </x:is>
      </x:c>
    </x:row>
    <x:row r="14">
      <x:c r="A14" s="237" t="inlineStr">
        <x:is>
          <x:t xml:space="preserve">Hakone</x:t>
        </x:is>
      </x:c>
      <x:c r="B14" s="237" t="inlineStr">
        <x:is>
          <x:t xml:space="preserve">Hakone</x:t>
        </x:is>
      </x:c>
      <x:c r="C14" s="237" t="inlineStr">
        <x:is>
          <x:t xml:space="preserve">Ryokan TBD</x:t>
        </x:is>
      </x:c>
      <x:c r="D14" s="237" t="inlineStr">
        <x:is>
          <x:t xml:space="preserve">Ryokan</x:t>
        </x:is>
      </x:c>
      <x:c r="E14" s="237" t="inlineStr">
        <x:is>
          <x:t xml:space="preserve">TBD</x:t>
        </x:is>
      </x:c>
      <x:c r="F14" s="237" t="str"/>
      <x:c r="G14" s="237" t="str"/>
      <x:c r="H14" s="237" t="inlineStr">
        <x:is>
          <x:t xml:space="preserve">Relax day</x:t>
        </x:is>
      </x:c>
      <x:c r="I14" s="237" t="inlineStr">
        <x:is>
          <x:t xml:space="preserve">High</x:t>
        </x:is>
      </x:c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0" style="146" hidden="0" customWidth="1"/>
    <x:col min="2" max="2" width="11" style="146" hidden="0" customWidth="1"/>
    <x:col min="3" max="3" width="18" style="146" hidden="0" customWidth="1"/>
    <x:col min="4" max="4" width="30" style="146" hidden="0" customWidth="1"/>
    <x:col min="5" max="5" width="20" style="146" hidden="0" customWidth="1"/>
    <x:col min="6" max="6" width="18" style="146" hidden="0" customWidth="1"/>
    <x:col min="7" max="7" width="22" style="146" hidden="0" customWidth="1"/>
    <x:col min="8" max="8" width="11" style="146" hidden="0" customWidth="1"/>
    <x:col min="9" max="9" width="9" style="146" hidden="0" customWidth="1"/>
    <x:col min="10" max="10" width="9" style="146" hidden="0" customWidth="1"/>
    <x:col min="11" max="11" width="13" style="146" hidden="0" customWidth="1"/>
    <x:col min="12" max="12" width="24" hidden="0" customWidth="1"/>
    <x:col min="13" max="13" width="20" hidden="0" customWidth="1"/>
    <x:col min="14" max="14" width="25" hidden="0" customWidth="1"/>
    <x:col min="15" max="15" width="27" hidden="0" customWidth="1"/>
    <x:col min="16" max="16" width="10" hidden="0" customWidth="1"/>
    <x:col min="17" max="17" width="16" hidden="0" customWidth="1"/>
    <x:col min="18" max="18" width="28" hidden="0" customWidth="1"/>
    <x:col min="19" max="19" width="38" hidden="0" customWidth="1"/>
    <x:col min="20" max="20" width="12" hidden="0" customWidth="1"/>
    <x:col min="21" max="21" width="12" hidden="0" customWidth="1"/>
    <x:col min="22" max="22" width="10" hidden="0" customWidth="1"/>
    <x:col min="23" max="23" width="18" hidden="0" customWidth="1"/>
    <x:col min="24" max="24" width="18" hidden="0" customWidth="1"/>
    <x:col min="25" max="25" width="11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13" hidden="0" customWidth="1"/>
    <x:col min="31" max="31" width="42" hidden="0" customWidth="1"/>
  </x:cols>
  <x:sheetData>
    <x:row r="1" ht="30" customHeight="1">
      <x:c r="A1" s="593" t="str">
        <x:v>🍣 TRAVEL OS RC5 — FOOD EXPLORER DATABASE</x:v>
      </x:c>
      <x:c r="B1" s="593"/>
      <x:c r="C1" s="593"/>
      <x:c r="D1" s="593"/>
      <x:c r="E1" s="593"/>
      <x:c r="F1" s="593"/>
      <x:c r="G1" s="593"/>
      <x:c r="H1" s="593"/>
      <x:c r="I1" s="593"/>
      <x:c r="J1" s="593"/>
      <x:c r="K1" s="593"/>
      <x:c r="L1" s="595"/>
      <x:c r="M1" s="595"/>
      <x:c r="N1" s="595"/>
      <x:c r="O1" s="595"/>
      <x:c r="P1" s="595"/>
      <x:c r="Q1" s="595"/>
      <x:c r="R1" s="595"/>
      <x:c r="S1" s="595"/>
      <x:c r="T1" s="595"/>
      <x:c r="U1" s="595"/>
      <x:c r="V1" s="595"/>
      <x:c r="W1" s="595"/>
      <x:c r="X1" s="595"/>
      <x:c r="Y1" s="595"/>
      <x:c r="Z1" s="595"/>
      <x:c r="AA1" s="595"/>
      <x:c r="AB1" s="595"/>
      <x:c r="AC1" s="595"/>
      <x:c r="AD1" s="595"/>
      <x:c r="AE1" s="595"/>
    </x:row>
    <x:row r="2" ht="36" customHeight="1">
      <x:c r="A2" s="598" t="str">
        <x:v>128 curated candidates across Tokyo, Kyoto, Osaka, and Hakone. Tabelog/Michelin status, hours, and dietary accommodation must be rechecked before booking.</x:v>
      </x:c>
      <x:c r="B2" s="598"/>
      <x:c r="C2" s="598"/>
      <x:c r="D2" s="598"/>
      <x:c r="E2" s="598"/>
      <x:c r="F2" s="598"/>
      <x:c r="G2" s="598"/>
      <x:c r="H2" s="598"/>
      <x:c r="I2" s="598"/>
      <x:c r="J2" s="598"/>
      <x:c r="K2" s="598"/>
      <x:c r="L2" s="600"/>
      <x:c r="M2" s="600"/>
      <x:c r="N2" s="600"/>
      <x:c r="O2" s="600"/>
      <x:c r="P2" s="600"/>
      <x:c r="Q2" s="600"/>
      <x:c r="R2" s="600"/>
      <x:c r="S2" s="600"/>
      <x:c r="T2" s="600"/>
      <x:c r="U2" s="600"/>
      <x:c r="V2" s="600"/>
      <x:c r="W2" s="600"/>
      <x:c r="X2" s="600"/>
      <x:c r="Y2" s="600"/>
      <x:c r="Z2" s="600"/>
      <x:c r="AA2" s="600"/>
      <x:c r="AB2" s="600"/>
      <x:c r="AC2" s="600"/>
      <x:c r="AD2" s="600"/>
      <x:c r="AE2" s="600"/>
    </x:row>
    <x:row r="3">
      <x:c r="A3" s="230"/>
      <x:c r="B3" s="230"/>
      <x:c r="C3" s="230"/>
      <x:c r="D3" s="230"/>
      <x:c r="E3" s="230"/>
      <x:c r="F3" s="230"/>
      <x:c r="G3" s="230"/>
      <x:c r="H3" s="230"/>
      <x:c r="I3" s="230"/>
      <x:c r="J3" s="230"/>
      <x:c r="K3" s="230"/>
    </x:row>
    <x:row r="4" ht="42" customHeight="1">
      <x:c r="A4" s="601" t="str">
        <x:v>ID</x:v>
      </x:c>
      <x:c r="B4" s="601" t="str">
        <x:v>City</x:v>
      </x:c>
      <x:c r="C4" s="601" t="str">
        <x:v>Area</x:v>
      </x:c>
      <x:c r="D4" s="601" t="str">
        <x:v>Name</x:v>
      </x:c>
      <x:c r="E4" s="601" t="str">
        <x:v>Cuisine</x:v>
      </x:c>
      <x:c r="F4" s="601" t="str">
        <x:v>Category</x:v>
      </x:c>
      <x:c r="G4" s="601" t="str">
        <x:v>Meal Tags</x:v>
      </x:c>
      <x:c r="H4" s="601" t="str">
        <x:v>Breakfast</x:v>
      </x:c>
      <x:c r="I4" s="601" t="str">
        <x:v>Lunch</x:v>
      </x:c>
      <x:c r="J4" s="601" t="str">
        <x:v>Dinner</x:v>
      </x:c>
      <x:c r="K4" s="601" t="str">
        <x:v>Cafe/Dessert</x:v>
      </x:c>
      <x:c r="L4" s="606" t="str">
        <x:v>Michelin</x:v>
      </x:c>
      <x:c r="M4" s="606" t="str">
        <x:v>Tabelog Research</x:v>
      </x:c>
      <x:c r="N4" s="606" t="str">
        <x:v>GF Confidence</x:v>
      </x:c>
      <x:c r="O4" s="606" t="str">
        <x:v>Lactose-Free Confidence</x:v>
      </x:c>
      <x:c r="P4" s="606" t="str">
        <x:v>Price</x:v>
      </x:c>
      <x:c r="Q4" s="606" t="str">
        <x:v>Reservation</x:v>
      </x:c>
      <x:c r="R4" s="606" t="str">
        <x:v>Must Order / Experience</x:v>
      </x:c>
      <x:c r="S4" s="606" t="str">
        <x:v>Notes</x:v>
      </x:c>
      <x:c r="T4" s="606" t="str">
        <x:v>Priority</x:v>
      </x:c>
      <x:c r="U4" s="606" t="str">
        <x:v>Status</x:v>
      </x:c>
      <x:c r="V4" s="606" t="str">
        <x:v>Favorite</x:v>
      </x:c>
      <x:c r="W4" s="606" t="str">
        <x:v>Reservation Status</x:v>
      </x:c>
      <x:c r="X4" s="606" t="str">
        <x:v>Opening Hours Check</x:v>
      </x:c>
      <x:c r="Y4" s="606" t="str">
        <x:v>Open Early</x:v>
      </x:c>
      <x:c r="Z4" s="606" t="str">
        <x:v>Google Maps Link</x:v>
      </x:c>
      <x:c r="AA4" s="606" t="str">
        <x:v>Tabelog Link</x:v>
      </x:c>
      <x:c r="AB4" s="606" t="str">
        <x:v>Michelin Source</x:v>
      </x:c>
      <x:c r="AC4" s="606" t="str">
        <x:v>Official / Booking Link</x:v>
      </x:c>
      <x:c r="AD4" s="606" t="str">
        <x:v>Last Checked</x:v>
      </x:c>
      <x:c r="AE4" s="606" t="str">
        <x:v>Dietary Note</x:v>
      </x:c>
    </x:row>
    <x:row r="5">
      <x:c r="A5" s="282" t="str">
        <x:v>TO-001</x:v>
      </x:c>
      <x:c r="B5" s="282" t="str">
        <x:v>Tokyo</x:v>
      </x:c>
      <x:c r="C5" s="282" t="str">
        <x:v>Akasaka</x:v>
      </x:c>
      <x:c r="D5" s="282" t="str">
        <x:v>FARO</x:v>
      </x:c>
      <x:c r="E5" s="282" t="str">
        <x:v>Italian / Japanese</x:v>
      </x:c>
      <x:c r="F5" s="282" t="str">
        <x:v>Italian / Japanese</x:v>
      </x:c>
      <x:c r="G5" s="282" t="str">
        <x:v>Lunch,Dinner</x:v>
      </x:c>
      <x:c r="H5" s="282" t="str">
        <x:v>No</x:v>
      </x:c>
      <x:c r="I5" s="282" t="str">
        <x:v>Yes</x:v>
      </x:c>
      <x:c r="J5" s="282" t="str">
        <x:v>Yes</x:v>
      </x:c>
      <x:c r="K5" s="282" t="str">
        <x:v>No</x:v>
      </x:c>
      <x:c r="L5" s="376" t="str">
        <x:v>1★ / MICHELIN Guide</x:v>
      </x:c>
      <x:c r="M5" s="376" t="str">
        <x:v>Tabelog candidate</x:v>
      </x:c>
      <x:c r="N5" s="376" t="str">
        <x:v>Advance request required</x:v>
      </x:c>
      <x:c r="O5" s="376" t="str">
        <x:v>Advance request required</x:v>
      </x:c>
      <x:c r="P5" s="376" t="str">
        <x:v>¥¥¥¥</x:v>
      </x:c>
      <x:c r="Q5" s="376" t="str">
        <x:v>Required</x:v>
      </x:c>
      <x:c r="R5" s="376" t="str">
        <x:v>Vegetable-forward tasting menu</x:v>
      </x:c>
      <x:c r="S5" s="376" t="str">
        <x:v>Strong fine-dining candidate for dietary requests.</x:v>
      </x:c>
      <x:c r="T5" s="376" t="str">
        <x:v>Top pick</x:v>
      </x:c>
      <x:c r="U5" s="376" t="str">
        <x:v>Research</x:v>
      </x:c>
      <x:c r="V5" s="376" t="str">
        <x:v>No</x:v>
      </x:c>
      <x:c r="W5" s="376" t="str">
        <x:v>Not booked</x:v>
      </x:c>
      <x:c r="X5" s="376" t="str">
        <x:v>Verify live</x:v>
      </x:c>
      <x:c r="Y5" s="376" t="str">
        <x:v>No</x:v>
      </x:c>
      <x:c r="Z5" s="376" t="str">
        <x:v>https://www.google.com/maps/search/?api=1&amp;query=FARO+Tokyo+Japan</x:v>
      </x:c>
      <x:c r="AA5" s="376" t="str">
        <x:v>https://tabelog.com/en/rstLst/?sk=FARO</x:v>
      </x:c>
      <x:c r="AB5" s="376" t="str">
        <x:v>https://guide.michelin.com/us/en/tokyo-region/tokyo/restaurants</x:v>
      </x:c>
      <x:c r="AC5" s="376" t="str"/>
      <x:c r="AD5" s="376" t="str">
        <x:v>2026-07-23</x:v>
      </x:c>
      <x:c r="AE5" s="376" t="str">
        <x:v>Gluten-free and lactose-free accommodation must be reconfirmed directly; cross-contact is not assumed safe.</x:v>
      </x:c>
    </x:row>
    <x:row r="6">
      <x:c r="A6" s="282" t="str">
        <x:v>TO-002</x:v>
      </x:c>
      <x:c r="B6" s="282" t="str">
        <x:v>Tokyo</x:v>
      </x:c>
      <x:c r="C6" s="282" t="str">
        <x:v>Minami-Aoyama</x:v>
      </x:c>
      <x:c r="D6" s="282" t="str">
        <x:v>NARISAWA</x:v>
      </x:c>
      <x:c r="E6" s="282" t="str">
        <x:v>Innovative Japanese</x:v>
      </x:c>
      <x:c r="F6" s="282" t="str">
        <x:v>Innovative Japanese</x:v>
      </x:c>
      <x:c r="G6" s="282" t="str">
        <x:v>Lunch,Dinner</x:v>
      </x:c>
      <x:c r="H6" s="282" t="str">
        <x:v>No</x:v>
      </x:c>
      <x:c r="I6" s="282" t="str">
        <x:v>Yes</x:v>
      </x:c>
      <x:c r="J6" s="282" t="str">
        <x:v>Yes</x:v>
      </x:c>
      <x:c r="K6" s="282" t="str">
        <x:v>No</x:v>
      </x:c>
      <x:c r="L6" s="376" t="str">
        <x:v>2★ / MICHELIN Guide</x:v>
      </x:c>
      <x:c r="M6" s="376" t="str">
        <x:v>Tabelog highly rated</x:v>
      </x:c>
      <x:c r="N6" s="376" t="str">
        <x:v>Confirm before booking</x:v>
      </x:c>
      <x:c r="O6" s="376" t="str">
        <x:v>Confirm before booking</x:v>
      </x:c>
      <x:c r="P6" s="376" t="str">
        <x:v>¥¥¥¥</x:v>
      </x:c>
      <x:c r="Q6" s="376" t="str">
        <x:v>Required</x:v>
      </x:c>
      <x:c r="R6" s="376" t="str">
        <x:v>Satoyama-inspired tasting menu</x:v>
      </x:c>
      <x:c r="S6" s="376" t="str">
        <x:v>Only book after written dietary confirmation.</x:v>
      </x:c>
      <x:c r="T6" s="376" t="str">
        <x:v>Bucket list</x:v>
      </x:c>
      <x:c r="U6" s="376" t="str">
        <x:v>Research</x:v>
      </x:c>
      <x:c r="V6" s="376" t="str">
        <x:v>No</x:v>
      </x:c>
      <x:c r="W6" s="376" t="str">
        <x:v>Not booked</x:v>
      </x:c>
      <x:c r="X6" s="376" t="str">
        <x:v>Verify live</x:v>
      </x:c>
      <x:c r="Y6" s="376" t="str">
        <x:v>No</x:v>
      </x:c>
      <x:c r="Z6" s="376" t="str">
        <x:v>https://www.google.com/maps/search/?api=1&amp;query=NARISAWA+Tokyo+Japan</x:v>
      </x:c>
      <x:c r="AA6" s="376" t="str">
        <x:v>https://tabelog.com/en/rstLst/?sk=NARISAWA</x:v>
      </x:c>
      <x:c r="AB6" s="376" t="str">
        <x:v>https://guide.michelin.com/us/en/tokyo-region/tokyo/restaurants</x:v>
      </x:c>
      <x:c r="AC6" s="376" t="str"/>
      <x:c r="AD6" s="376" t="str">
        <x:v>2026-07-23</x:v>
      </x:c>
      <x:c r="AE6" s="376" t="str">
        <x:v>Gluten-free and lactose-free accommodation must be reconfirmed directly; cross-contact is not assumed safe.</x:v>
      </x:c>
    </x:row>
    <x:row r="7">
      <x:c r="A7" s="282" t="str">
        <x:v>TO-003</x:v>
      </x:c>
      <x:c r="B7" s="282" t="str">
        <x:v>Tokyo</x:v>
      </x:c>
      <x:c r="C7" s="282" t="str">
        <x:v>Ginza</x:v>
      </x:c>
      <x:c r="D7" s="282" t="str">
        <x:v>L'Effervescence</x:v>
      </x:c>
      <x:c r="E7" s="282" t="str">
        <x:v>French / Japanese</x:v>
      </x:c>
      <x:c r="F7" s="282" t="str">
        <x:v>French / Japanese</x:v>
      </x:c>
      <x:c r="G7" s="282" t="str">
        <x:v>Lunch,Dinner</x:v>
      </x:c>
      <x:c r="H7" s="282" t="str">
        <x:v>No</x:v>
      </x:c>
      <x:c r="I7" s="282" t="str">
        <x:v>Yes</x:v>
      </x:c>
      <x:c r="J7" s="282" t="str">
        <x:v>Yes</x:v>
      </x:c>
      <x:c r="K7" s="282" t="str">
        <x:v>No</x:v>
      </x:c>
      <x:c r="L7" s="376" t="str">
        <x:v>3★ / MICHELIN Guide</x:v>
      </x:c>
      <x:c r="M7" s="376" t="str">
        <x:v>Tabelog highly rated</x:v>
      </x:c>
      <x:c r="N7" s="376" t="str">
        <x:v>Confirm before booking</x:v>
      </x:c>
      <x:c r="O7" s="376" t="str">
        <x:v>Confirm before booking</x:v>
      </x:c>
      <x:c r="P7" s="376" t="str">
        <x:v>¥¥¥¥</x:v>
      </x:c>
      <x:c r="Q7" s="376" t="str">
        <x:v>Required</x:v>
      </x:c>
      <x:c r="R7" s="376" t="str">
        <x:v>Chef's tasting menu</x:v>
      </x:c>
      <x:c r="S7" s="376" t="str">
        <x:v>High-end; restrictions must be disclosed at booking.</x:v>
      </x:c>
      <x:c r="T7" s="376" t="str">
        <x:v>Bucket list</x:v>
      </x:c>
      <x:c r="U7" s="376" t="str">
        <x:v>Research</x:v>
      </x:c>
      <x:c r="V7" s="376" t="str">
        <x:v>No</x:v>
      </x:c>
      <x:c r="W7" s="376" t="str">
        <x:v>Not booked</x:v>
      </x:c>
      <x:c r="X7" s="376" t="str">
        <x:v>Verify live</x:v>
      </x:c>
      <x:c r="Y7" s="376" t="str">
        <x:v>No</x:v>
      </x:c>
      <x:c r="Z7" s="376" t="str">
        <x:v>https://www.google.com/maps/search/?api=1&amp;query=L%27Effervescence+Tokyo+Japan</x:v>
      </x:c>
      <x:c r="AA7" s="376" t="str">
        <x:v>https://tabelog.com/en/rstLst/?sk=L%27Effervescence</x:v>
      </x:c>
      <x:c r="AB7" s="376" t="str">
        <x:v>https://guide.michelin.com/us/en/tokyo-region/tokyo/restaurants</x:v>
      </x:c>
      <x:c r="AC7" s="376" t="str"/>
      <x:c r="AD7" s="376" t="str">
        <x:v>2026-07-23</x:v>
      </x:c>
      <x:c r="AE7" s="376" t="str">
        <x:v>Gluten-free and lactose-free accommodation must be reconfirmed directly; cross-contact is not assumed safe.</x:v>
      </x:c>
    </x:row>
    <x:row r="8">
      <x:c r="A8" s="282" t="str">
        <x:v>TO-004</x:v>
      </x:c>
      <x:c r="B8" s="282" t="str">
        <x:v>Tokyo</x:v>
      </x:c>
      <x:c r="C8" s="282" t="str">
        <x:v>Marunouchi</x:v>
      </x:c>
      <x:c r="D8" s="282" t="str">
        <x:v>SÉZANNE</x:v>
      </x:c>
      <x:c r="E8" s="282" t="str">
        <x:v>French</x:v>
      </x:c>
      <x:c r="F8" s="282" t="str">
        <x:v>French</x:v>
      </x:c>
      <x:c r="G8" s="282" t="str">
        <x:v>Lunch,Dinner</x:v>
      </x:c>
      <x:c r="H8" s="282" t="str">
        <x:v>No</x:v>
      </x:c>
      <x:c r="I8" s="282" t="str">
        <x:v>Yes</x:v>
      </x:c>
      <x:c r="J8" s="282" t="str">
        <x:v>Yes</x:v>
      </x:c>
      <x:c r="K8" s="282" t="str">
        <x:v>No</x:v>
      </x:c>
      <x:c r="L8" s="376" t="str">
        <x:v>3★ / MICHELIN Guide</x:v>
      </x:c>
      <x:c r="M8" s="376" t="str">
        <x:v>Tabelog highly rated</x:v>
      </x:c>
      <x:c r="N8" s="376" t="str">
        <x:v>Confirm before booking</x:v>
      </x:c>
      <x:c r="O8" s="376" t="str">
        <x:v>Confirm before booking</x:v>
      </x:c>
      <x:c r="P8" s="376" t="str">
        <x:v>¥¥¥¥</x:v>
      </x:c>
      <x:c r="Q8" s="376" t="str">
        <x:v>Required</x:v>
      </x:c>
      <x:c r="R8" s="376" t="str">
        <x:v>Tasting menu</x:v>
      </x:c>
      <x:c r="S8" s="376" t="str">
        <x:v>Luxury option; dairy commonly appears in French cuisine.</x:v>
      </x:c>
      <x:c r="T8" s="376" t="str">
        <x:v>Bucket list</x:v>
      </x:c>
      <x:c r="U8" s="376" t="str">
        <x:v>Research</x:v>
      </x:c>
      <x:c r="V8" s="376" t="str">
        <x:v>No</x:v>
      </x:c>
      <x:c r="W8" s="376" t="str">
        <x:v>Not booked</x:v>
      </x:c>
      <x:c r="X8" s="376" t="str">
        <x:v>Verify live</x:v>
      </x:c>
      <x:c r="Y8" s="376" t="str">
        <x:v>No</x:v>
      </x:c>
      <x:c r="Z8" s="376" t="str">
        <x:v>https://www.google.com/maps/search/?api=1&amp;query=S%C3%89ZANNE+Tokyo+Japan</x:v>
      </x:c>
      <x:c r="AA8" s="376" t="str">
        <x:v>https://tabelog.com/en/rstLst/?sk=S%C3%89ZANNE</x:v>
      </x:c>
      <x:c r="AB8" s="376" t="str">
        <x:v>https://guide.michelin.com/us/en/tokyo-region/tokyo/restaurants</x:v>
      </x:c>
      <x:c r="AC8" s="376" t="str"/>
      <x:c r="AD8" s="376" t="str">
        <x:v>2026-07-23</x:v>
      </x:c>
      <x:c r="AE8" s="376" t="str">
        <x:v>Gluten-free and lactose-free accommodation must be reconfirmed directly; cross-contact is not assumed safe.</x:v>
      </x:c>
    </x:row>
    <x:row r="9">
      <x:c r="A9" s="282" t="str">
        <x:v>TO-005</x:v>
      </x:c>
      <x:c r="B9" s="282" t="str">
        <x:v>Tokyo</x:v>
      </x:c>
      <x:c r="C9" s="282" t="str">
        <x:v>Azabudai</x:v>
      </x:c>
      <x:c r="D9" s="282" t="str">
        <x:v>Florilège</x:v>
      </x:c>
      <x:c r="E9" s="282" t="str">
        <x:v>Contemporary</x:v>
      </x:c>
      <x:c r="F9" s="282" t="str">
        <x:v>Contemporary</x:v>
      </x:c>
      <x:c r="G9" s="282" t="str">
        <x:v>Lunch,Dinner</x:v>
      </x:c>
      <x:c r="H9" s="282" t="str">
        <x:v>No</x:v>
      </x:c>
      <x:c r="I9" s="282" t="str">
        <x:v>Yes</x:v>
      </x:c>
      <x:c r="J9" s="282" t="str">
        <x:v>Yes</x:v>
      </x:c>
      <x:c r="K9" s="282" t="str">
        <x:v>No</x:v>
      </x:c>
      <x:c r="L9" s="376" t="str">
        <x:v>2★ / MICHELIN Guide</x:v>
      </x:c>
      <x:c r="M9" s="376" t="str">
        <x:v>Tabelog highly rated</x:v>
      </x:c>
      <x:c r="N9" s="376" t="str">
        <x:v>Confirm before booking</x:v>
      </x:c>
      <x:c r="O9" s="376" t="str">
        <x:v>Confirm before booking</x:v>
      </x:c>
      <x:c r="P9" s="376" t="str">
        <x:v>¥¥¥¥</x:v>
      </x:c>
      <x:c r="Q9" s="376" t="str">
        <x:v>Required</x:v>
      </x:c>
      <x:c r="R9" s="376" t="str">
        <x:v>Counter tasting menu</x:v>
      </x:c>
      <x:c r="S9" s="376" t="str">
        <x:v>Creative menu; ask about soy sauce and butter.</x:v>
      </x:c>
      <x:c r="T9" s="376" t="str">
        <x:v>Top pick</x:v>
      </x:c>
      <x:c r="U9" s="376" t="str">
        <x:v>Research</x:v>
      </x:c>
      <x:c r="V9" s="376" t="str">
        <x:v>No</x:v>
      </x:c>
      <x:c r="W9" s="376" t="str">
        <x:v>Not booked</x:v>
      </x:c>
      <x:c r="X9" s="376" t="str">
        <x:v>Verify live</x:v>
      </x:c>
      <x:c r="Y9" s="376" t="str">
        <x:v>No</x:v>
      </x:c>
      <x:c r="Z9" s="376" t="str">
        <x:v>https://www.google.com/maps/search/?api=1&amp;query=Floril%C3%A8ge+Tokyo+Japan</x:v>
      </x:c>
      <x:c r="AA9" s="376" t="str">
        <x:v>https://tabelog.com/en/rstLst/?sk=Floril%C3%A8ge</x:v>
      </x:c>
      <x:c r="AB9" s="376" t="str">
        <x:v>https://guide.michelin.com/us/en/tokyo-region/tokyo/restaurants</x:v>
      </x:c>
      <x:c r="AC9" s="376" t="str"/>
      <x:c r="AD9" s="376" t="str">
        <x:v>2026-07-23</x:v>
      </x:c>
      <x:c r="AE9" s="376" t="str">
        <x:v>Gluten-free and lactose-free accommodation must be reconfirmed directly; cross-contact is not assumed safe.</x:v>
      </x:c>
    </x:row>
    <x:row r="10">
      <x:c r="A10" s="282" t="str">
        <x:v>TO-006</x:v>
      </x:c>
      <x:c r="B10" s="282" t="str">
        <x:v>Tokyo</x:v>
      </x:c>
      <x:c r="C10" s="282" t="str">
        <x:v>Asakusa</x:v>
      </x:c>
      <x:c r="D10" s="282" t="str">
        <x:v>Onigiri Asakusa Yadoroku</x:v>
      </x:c>
      <x:c r="E10" s="282" t="str">
        <x:v>Onigiri</x:v>
      </x:c>
      <x:c r="F10" s="282" t="str">
        <x:v>Rice / Breakfast</x:v>
      </x:c>
      <x:c r="G10" s="282" t="str">
        <x:v>Breakfast,Lunch</x:v>
      </x:c>
      <x:c r="H10" s="282" t="str">
        <x:v>Yes</x:v>
      </x:c>
      <x:c r="I10" s="282" t="str">
        <x:v>Yes</x:v>
      </x:c>
      <x:c r="J10" s="282" t="str">
        <x:v>No</x:v>
      </x:c>
      <x:c r="K10" s="282" t="str">
        <x:v>No</x:v>
      </x:c>
      <x:c r="L10" s="376" t="str">
        <x:v>Bib Gourmand / MICHELIN Guide</x:v>
      </x:c>
      <x:c r="M10" s="376" t="str">
        <x:v>Tabelog popular</x:v>
      </x:c>
      <x:c r="N10" s="376" t="str">
        <x:v>Good candidate; verify fillings and soy</x:v>
      </x:c>
      <x:c r="O10" s="376" t="str">
        <x:v>Usually easy; verify fillings</x:v>
      </x:c>
      <x:c r="P10" s="376" t="str">
        <x:v>¥</x:v>
      </x:c>
      <x:c r="Q10" s="376" t="str">
        <x:v>Queue</x:v>
      </x:c>
      <x:c r="R10" s="376" t="str">
        <x:v>Onigiri set</x:v>
      </x:c>
      <x:c r="S10" s="376" t="str">
        <x:v>Excellent simple rice-based breakfast/lunch candidate.</x:v>
      </x:c>
      <x:c r="T10" s="376" t="str">
        <x:v>Top pick</x:v>
      </x:c>
      <x:c r="U10" s="376" t="str">
        <x:v>Research</x:v>
      </x:c>
      <x:c r="V10" s="376" t="str">
        <x:v>No</x:v>
      </x:c>
      <x:c r="W10" s="376" t="str">
        <x:v>Not booked</x:v>
      </x:c>
      <x:c r="X10" s="376" t="str">
        <x:v>Verify live</x:v>
      </x:c>
      <x:c r="Y10" s="376" t="str">
        <x:v>Yes</x:v>
      </x:c>
      <x:c r="Z10" s="376" t="str">
        <x:v>https://www.google.com/maps/search/?api=1&amp;query=Onigiri+Asakusa+Yadoroku+Tokyo+Japan</x:v>
      </x:c>
      <x:c r="AA10" s="376" t="str">
        <x:v>https://tabelog.com/en/rstLst/?sk=Onigiri+Asakusa+Yadoroku</x:v>
      </x:c>
      <x:c r="AB10" s="376" t="str">
        <x:v>https://guide.michelin.com/us/en/tokyo-region/tokyo/restaurants</x:v>
      </x:c>
      <x:c r="AC10" s="376" t="str"/>
      <x:c r="AD10" s="376" t="str">
        <x:v>2026-07-23</x:v>
      </x:c>
      <x:c r="AE10" s="376" t="str">
        <x:v>Gluten-free and lactose-free accommodation must be reconfirmed directly; cross-contact is not assumed safe.</x:v>
      </x:c>
    </x:row>
    <x:row r="11">
      <x:c r="A11" s="278" t="str">
        <x:v>TO-007</x:v>
      </x:c>
      <x:c r="B11" s="278" t="str">
        <x:v>Tokyo</x:v>
      </x:c>
      <x:c r="C11" s="278" t="str">
        <x:v>Roppongi</x:v>
      </x:c>
      <x:c r="D11" s="278" t="str">
        <x:v>Gluten Free T's Kitchen</x:v>
      </x:c>
      <x:c r="E11" s="278" t="str">
        <x:v>Gluten-free Japanese</x:v>
      </x:c>
      <x:c r="F11" s="278" t="str">
        <x:v>GF Specialist</x:v>
      </x:c>
      <x:c r="G11" s="278" t="str">
        <x:v>Lunch,Dinner</x:v>
      </x:c>
      <x:c r="H11" s="278" t="str">
        <x:v>No</x:v>
      </x:c>
      <x:c r="I11" s="278" t="str">
        <x:v>Yes</x:v>
      </x:c>
      <x:c r="J11" s="278" t="str">
        <x:v>Yes</x:v>
      </x:c>
      <x:c r="K11" s="278" t="str">
        <x:v>No</x:v>
      </x:c>
      <x:c r="L11" s="376" t="str">
        <x:v>—</x:v>
      </x:c>
      <x:c r="M11" s="376" t="str">
        <x:v>Tabelog GF specialist</x:v>
      </x:c>
      <x:c r="N11" s="376" t="str">
        <x:v>GF-focused restaurant</x:v>
      </x:c>
      <x:c r="O11" s="376" t="str">
        <x:v>Many lactose-free options; confirm dish</x:v>
      </x:c>
      <x:c r="P11" s="376" t="str">
        <x:v>¥¥</x:v>
      </x:c>
      <x:c r="Q11" s="376" t="str">
        <x:v>Recommended</x:v>
      </x:c>
      <x:c r="R11" s="376" t="str">
        <x:v>Okonomiyaki, ramen, karaage</x:v>
      </x:c>
      <x:c r="S11" s="376" t="str">
        <x:v>One of the strongest practical dietary anchors.</x:v>
      </x:c>
      <x:c r="T11" s="376" t="str">
        <x:v>Top pick</x:v>
      </x:c>
      <x:c r="U11" s="376" t="str">
        <x:v>Research</x:v>
      </x:c>
      <x:c r="V11" s="376" t="str">
        <x:v>No</x:v>
      </x:c>
      <x:c r="W11" s="376" t="str">
        <x:v>Not booked</x:v>
      </x:c>
      <x:c r="X11" s="376" t="str">
        <x:v>Verify live</x:v>
      </x:c>
      <x:c r="Y11" s="376" t="str">
        <x:v>No</x:v>
      </x:c>
      <x:c r="Z11" s="376" t="str">
        <x:v>https://www.google.com/maps/search/?api=1&amp;query=Gluten+Free+T%27s+Kitchen+Tokyo+Japan</x:v>
      </x:c>
      <x:c r="AA11" s="376" t="str">
        <x:v>https://tabelog.com/en/rstLst/?sk=Gluten+Free+T%27s+Kitchen</x:v>
      </x:c>
      <x:c r="AB11" s="376" t="str"/>
      <x:c r="AC11" s="376" t="str"/>
      <x:c r="AD11" s="376" t="str">
        <x:v>2026-07-23</x:v>
      </x:c>
      <x:c r="AE11" s="376" t="str">
        <x:v>Gluten-free and lactose-free accommodation must be reconfirmed directly; cross-contact is not assumed safe.</x:v>
      </x:c>
    </x:row>
    <x:row r="12">
      <x:c r="A12" s="278" t="str">
        <x:v>TO-008</x:v>
      </x:c>
      <x:c r="B12" s="278" t="str">
        <x:v>Tokyo</x:v>
      </x:c>
      <x:c r="C12" s="278" t="str">
        <x:v>Shibuya</x:v>
      </x:c>
      <x:c r="D12" s="278" t="str">
        <x:v>Where is a Dog?</x:v>
      </x:c>
      <x:c r="E12" s="278" t="str">
        <x:v>Gluten-free cafe</x:v>
      </x:c>
      <x:c r="F12" s="278" t="str">
        <x:v>GF Specialist</x:v>
      </x:c>
      <x:c r="G12" s="278" t="str">
        <x:v>Breakfast,Lunch,Cafe,Dessert</x:v>
      </x:c>
      <x:c r="H12" s="278" t="str">
        <x:v>Yes</x:v>
      </x:c>
      <x:c r="I12" s="278" t="str">
        <x:v>Yes</x:v>
      </x:c>
      <x:c r="J12" s="278" t="str">
        <x:v>No</x:v>
      </x:c>
      <x:c r="K12" s="278" t="str">
        <x:v>Yes</x:v>
      </x:c>
      <x:c r="L12" s="376" t="str">
        <x:v>—</x:v>
      </x:c>
      <x:c r="M12" s="376" t="str">
        <x:v>Tabelog GF candidate</x:v>
      </x:c>
      <x:c r="N12" s="376" t="str">
        <x:v>GF-focused; verify current menu</x:v>
      </x:c>
      <x:c r="O12" s="376" t="str">
        <x:v>Good options; verify</x:v>
      </x:c>
      <x:c r="P12" s="376" t="str">
        <x:v>¥¥</x:v>
      </x:c>
      <x:c r="Q12" s="376" t="str">
        <x:v>No/varies</x:v>
      </x:c>
      <x:c r="R12" s="376" t="str">
        <x:v>Pancakes / café plate</x:v>
      </x:c>
      <x:c r="S12" s="376" t="str">
        <x:v>Useful breakfast and café option.</x:v>
      </x:c>
      <x:c r="T12" s="376" t="str">
        <x:v>Top pick</x:v>
      </x:c>
      <x:c r="U12" s="376" t="str">
        <x:v>Research</x:v>
      </x:c>
      <x:c r="V12" s="376" t="str">
        <x:v>No</x:v>
      </x:c>
      <x:c r="W12" s="376" t="str">
        <x:v>Not booked</x:v>
      </x:c>
      <x:c r="X12" s="376" t="str">
        <x:v>Verify live</x:v>
      </x:c>
      <x:c r="Y12" s="376" t="str">
        <x:v>Yes</x:v>
      </x:c>
      <x:c r="Z12" s="376" t="str">
        <x:v>https://www.google.com/maps/search/?api=1&amp;query=Where+is+a+Dog%3F+Tokyo+Japan</x:v>
      </x:c>
      <x:c r="AA12" s="376" t="str">
        <x:v>https://tabelog.com/en/rstLst/?sk=Where+is+a+Dog%3F</x:v>
      </x:c>
      <x:c r="AB12" s="376" t="str"/>
      <x:c r="AC12" s="376" t="str"/>
      <x:c r="AD12" s="376" t="str">
        <x:v>2026-07-23</x:v>
      </x:c>
      <x:c r="AE12" s="376" t="str">
        <x:v>Gluten-free and lactose-free accommodation must be reconfirmed directly; cross-contact is not assumed safe.</x:v>
      </x:c>
    </x:row>
    <x:row r="13">
      <x:c r="A13" s="278" t="str">
        <x:v>TO-009</x:v>
      </x:c>
      <x:c r="B13" s="278" t="str">
        <x:v>Tokyo</x:v>
      </x:c>
      <x:c r="C13" s="278" t="str">
        <x:v>Kichijoji</x:v>
      </x:c>
      <x:c r="D13" s="278" t="str">
        <x:v>Little Bird</x:v>
      </x:c>
      <x:c r="E13" s="278" t="str">
        <x:v>Gluten-free cafe</x:v>
      </x:c>
      <x:c r="F13" s="278" t="str">
        <x:v>GF Specialist</x:v>
      </x:c>
      <x:c r="G13" s="278" t="str">
        <x:v>Breakfast,Lunch,Cafe,Dessert</x:v>
      </x:c>
      <x:c r="H13" s="278" t="str">
        <x:v>Yes</x:v>
      </x:c>
      <x:c r="I13" s="278" t="str">
        <x:v>Yes</x:v>
      </x:c>
      <x:c r="J13" s="278" t="str">
        <x:v>No</x:v>
      </x:c>
      <x:c r="K13" s="278" t="str">
        <x:v>Yes</x:v>
      </x:c>
      <x:c r="L13" s="376" t="str">
        <x:v>—</x:v>
      </x:c>
      <x:c r="M13" s="376" t="str">
        <x:v>Tabelog GF candidate</x:v>
      </x:c>
      <x:c r="N13" s="376" t="str">
        <x:v>GF-focused; verify current menu</x:v>
      </x:c>
      <x:c r="O13" s="376" t="str">
        <x:v>Good options; verify</x:v>
      </x:c>
      <x:c r="P13" s="376" t="str">
        <x:v>¥¥</x:v>
      </x:c>
      <x:c r="Q13" s="376" t="str">
        <x:v>No/varies</x:v>
      </x:c>
      <x:c r="R13" s="376" t="str">
        <x:v>Rice-flour sweets / lunch plate</x:v>
      </x:c>
      <x:c r="S13" s="376" t="str">
        <x:v>Good pairing with Ghibli/Kichijoji day.</x:v>
      </x:c>
      <x:c r="T13" s="376" t="str">
        <x:v>Top pick</x:v>
      </x:c>
      <x:c r="U13" s="376" t="str">
        <x:v>Research</x:v>
      </x:c>
      <x:c r="V13" s="376" t="str">
        <x:v>No</x:v>
      </x:c>
      <x:c r="W13" s="376" t="str">
        <x:v>Not booked</x:v>
      </x:c>
      <x:c r="X13" s="376" t="str">
        <x:v>Verify live</x:v>
      </x:c>
      <x:c r="Y13" s="376" t="str">
        <x:v>Yes</x:v>
      </x:c>
      <x:c r="Z13" s="376" t="str">
        <x:v>https://www.google.com/maps/search/?api=1&amp;query=Little+Bird+Tokyo+Japan</x:v>
      </x:c>
      <x:c r="AA13" s="376" t="str">
        <x:v>https://tabelog.com/en/rstLst/?sk=Little+Bird</x:v>
      </x:c>
      <x:c r="AB13" s="376" t="str"/>
      <x:c r="AC13" s="376" t="str"/>
      <x:c r="AD13" s="376" t="str">
        <x:v>2026-07-23</x:v>
      </x:c>
      <x:c r="AE13" s="376" t="str">
        <x:v>Gluten-free and lactose-free accommodation must be reconfirmed directly; cross-contact is not assumed safe.</x:v>
      </x:c>
    </x:row>
    <x:row r="14">
      <x:c r="A14" s="278" t="str">
        <x:v>TO-010</x:v>
      </x:c>
      <x:c r="B14" s="278" t="str">
        <x:v>Tokyo</x:v>
      </x:c>
      <x:c r="C14" s="278" t="str">
        <x:v>Ginza</x:v>
      </x:c>
      <x:c r="D14" s="278" t="str">
        <x:v>Sushi Kanesaka</x:v>
      </x:c>
      <x:c r="E14" s="278" t="str">
        <x:v>Sushi</x:v>
      </x:c>
      <x:c r="F14" s="278" t="str">
        <x:v>Sushi</x:v>
      </x:c>
      <x:c r="G14" s="278" t="str">
        <x:v>Lunch,Dinner</x:v>
      </x:c>
      <x:c r="H14" s="278" t="str">
        <x:v>No</x:v>
      </x:c>
      <x:c r="I14" s="278" t="str">
        <x:v>Yes</x:v>
      </x:c>
      <x:c r="J14" s="278" t="str">
        <x:v>Yes</x:v>
      </x:c>
      <x:c r="K14" s="278" t="str">
        <x:v>No</x:v>
      </x:c>
      <x:c r="L14" s="376" t="str">
        <x:v>MICHELIN Guide selection</x:v>
      </x:c>
      <x:c r="M14" s="376" t="str">
        <x:v>Tabelog highly rated</x:v>
      </x:c>
      <x:c r="N14" s="376" t="str">
        <x:v>Confirm GF soy sauce and seasoning</x:v>
      </x:c>
      <x:c r="O14" s="376" t="str">
        <x:v>Naturally low dairy</x:v>
      </x:c>
      <x:c r="P14" s="376" t="str">
        <x:v>¥¥¥¥</x:v>
      </x:c>
      <x:c r="Q14" s="376" t="str">
        <x:v>Required</x:v>
      </x:c>
      <x:c r="R14" s="376" t="str">
        <x:v>Edomae omakase</x:v>
      </x:c>
      <x:c r="S14" s="376" t="str">
        <x:v>Sushi can work well if wheat-containing soy/marinades are addressed.</x:v>
      </x:c>
      <x:c r="T14" s="376" t="str">
        <x:v>Top pick</x:v>
      </x:c>
      <x:c r="U14" s="376" t="str">
        <x:v>Research</x:v>
      </x:c>
      <x:c r="V14" s="376" t="str">
        <x:v>No</x:v>
      </x:c>
      <x:c r="W14" s="376" t="str">
        <x:v>Not booked</x:v>
      </x:c>
      <x:c r="X14" s="376" t="str">
        <x:v>Verify live</x:v>
      </x:c>
      <x:c r="Y14" s="376" t="str">
        <x:v>No</x:v>
      </x:c>
      <x:c r="Z14" s="376" t="str">
        <x:v>https://www.google.com/maps/search/?api=1&amp;query=Sushi+Kanesaka+Tokyo+Japan</x:v>
      </x:c>
      <x:c r="AA14" s="376" t="str">
        <x:v>https://tabelog.com/en/rstLst/?sk=Sushi+Kanesaka</x:v>
      </x:c>
      <x:c r="AB14" s="376" t="str">
        <x:v>https://guide.michelin.com/us/en/tokyo-region/tokyo/restaurants</x:v>
      </x:c>
      <x:c r="AC14" s="376" t="str"/>
      <x:c r="AD14" s="376" t="str">
        <x:v>2026-07-23</x:v>
      </x:c>
      <x:c r="AE14" s="376" t="str">
        <x:v>Gluten-free and lactose-free accommodation must be reconfirmed directly; cross-contact is not assumed safe.</x:v>
      </x:c>
    </x:row>
    <x:row r="15">
      <x:c r="A15" s="278" t="str">
        <x:v>TO-011</x:v>
      </x:c>
      <x:c r="B15" s="278" t="str">
        <x:v>Tokyo</x:v>
      </x:c>
      <x:c r="C15" s="278" t="str">
        <x:v>Ginza</x:v>
      </x:c>
      <x:c r="D15" s="278" t="str">
        <x:v>Sushi Yoshitake</x:v>
      </x:c>
      <x:c r="E15" s="278" t="str">
        <x:v>Sushi</x:v>
      </x:c>
      <x:c r="F15" s="278" t="str">
        <x:v>Sushi</x:v>
      </x:c>
      <x:c r="G15" s="278" t="str">
        <x:v>Dinner</x:v>
      </x:c>
      <x:c r="H15" s="278" t="str">
        <x:v>No</x:v>
      </x:c>
      <x:c r="I15" s="278" t="str">
        <x:v>No</x:v>
      </x:c>
      <x:c r="J15" s="278" t="str">
        <x:v>Yes</x:v>
      </x:c>
      <x:c r="K15" s="278" t="str">
        <x:v>No</x:v>
      </x:c>
      <x:c r="L15" s="376" t="str">
        <x:v>2★ / MICHELIN Guide</x:v>
      </x:c>
      <x:c r="M15" s="376" t="str">
        <x:v>Tabelog highly rated</x:v>
      </x:c>
      <x:c r="N15" s="376" t="str">
        <x:v>Confirm before booking</x:v>
      </x:c>
      <x:c r="O15" s="376" t="str">
        <x:v>Naturally low dairy</x:v>
      </x:c>
      <x:c r="P15" s="376" t="str">
        <x:v>¥¥¥¥</x:v>
      </x:c>
      <x:c r="Q15" s="376" t="str">
        <x:v>Required</x:v>
      </x:c>
      <x:c r="R15" s="376" t="str">
        <x:v>Omakase</x:v>
      </x:c>
      <x:c r="S15" s="376" t="str">
        <x:v>Strict cancellation and dietary policies likely.</x:v>
      </x:c>
      <x:c r="T15" s="376" t="str">
        <x:v>Bucket list</x:v>
      </x:c>
      <x:c r="U15" s="376" t="str">
        <x:v>Research</x:v>
      </x:c>
      <x:c r="V15" s="376" t="str">
        <x:v>No</x:v>
      </x:c>
      <x:c r="W15" s="376" t="str">
        <x:v>Not booked</x:v>
      </x:c>
      <x:c r="X15" s="376" t="str">
        <x:v>Verify live</x:v>
      </x:c>
      <x:c r="Y15" s="376" t="str">
        <x:v>No</x:v>
      </x:c>
      <x:c r="Z15" s="376" t="str">
        <x:v>https://www.google.com/maps/search/?api=1&amp;query=Sushi+Yoshitake+Tokyo+Japan</x:v>
      </x:c>
      <x:c r="AA15" s="376" t="str">
        <x:v>https://tabelog.com/en/rstLst/?sk=Sushi+Yoshitake</x:v>
      </x:c>
      <x:c r="AB15" s="376" t="str">
        <x:v>https://guide.michelin.com/us/en/tokyo-region/tokyo/restaurants</x:v>
      </x:c>
      <x:c r="AC15" s="376" t="str"/>
      <x:c r="AD15" s="376" t="str">
        <x:v>2026-07-23</x:v>
      </x:c>
      <x:c r="AE15" s="376" t="str">
        <x:v>Gluten-free and lactose-free accommodation must be reconfirmed directly; cross-contact is not assumed safe.</x:v>
      </x:c>
    </x:row>
    <x:row r="16">
      <x:c r="A16" s="278" t="str">
        <x:v>TO-012</x:v>
      </x:c>
      <x:c r="B16" s="278" t="str">
        <x:v>Tokyo</x:v>
      </x:c>
      <x:c r="C16" s="278" t="str">
        <x:v>Ginza</x:v>
      </x:c>
      <x:c r="D16" s="278" t="str">
        <x:v>Harutaka</x:v>
      </x:c>
      <x:c r="E16" s="278" t="str">
        <x:v>Sushi</x:v>
      </x:c>
      <x:c r="F16" s="278" t="str">
        <x:v>Sushi</x:v>
      </x:c>
      <x:c r="G16" s="278" t="str">
        <x:v>Dinner</x:v>
      </x:c>
      <x:c r="H16" s="278" t="str">
        <x:v>No</x:v>
      </x:c>
      <x:c r="I16" s="278" t="str">
        <x:v>No</x:v>
      </x:c>
      <x:c r="J16" s="278" t="str">
        <x:v>Yes</x:v>
      </x:c>
      <x:c r="K16" s="278" t="str">
        <x:v>No</x:v>
      </x:c>
      <x:c r="L16" s="376" t="str">
        <x:v>MICHELIN Guide selection</x:v>
      </x:c>
      <x:c r="M16" s="376" t="str">
        <x:v>Tabelog highly rated</x:v>
      </x:c>
      <x:c r="N16" s="376" t="str">
        <x:v>Confirm before booking</x:v>
      </x:c>
      <x:c r="O16" s="376" t="str">
        <x:v>Naturally low dairy</x:v>
      </x:c>
      <x:c r="P16" s="376" t="str">
        <x:v>¥¥¥¥</x:v>
      </x:c>
      <x:c r="Q16" s="376" t="str">
        <x:v>Required</x:v>
      </x:c>
      <x:c r="R16" s="376" t="str">
        <x:v>Omakase</x:v>
      </x:c>
      <x:c r="S16" s="376" t="str">
        <x:v>Ask about soy sauce, vinegar, and marinated items.</x:v>
      </x:c>
      <x:c r="T16" s="376" t="str">
        <x:v>Bucket list</x:v>
      </x:c>
      <x:c r="U16" s="376" t="str">
        <x:v>Research</x:v>
      </x:c>
      <x:c r="V16" s="376" t="str">
        <x:v>No</x:v>
      </x:c>
      <x:c r="W16" s="376" t="str">
        <x:v>Not booked</x:v>
      </x:c>
      <x:c r="X16" s="376" t="str">
        <x:v>Verify live</x:v>
      </x:c>
      <x:c r="Y16" s="376" t="str">
        <x:v>No</x:v>
      </x:c>
      <x:c r="Z16" s="376" t="str">
        <x:v>https://www.google.com/maps/search/?api=1&amp;query=Harutaka+Tokyo+Japan</x:v>
      </x:c>
      <x:c r="AA16" s="376" t="str">
        <x:v>https://tabelog.com/en/rstLst/?sk=Harutaka</x:v>
      </x:c>
      <x:c r="AB16" s="376" t="str">
        <x:v>https://guide.michelin.com/us/en/tokyo-region/tokyo/restaurants</x:v>
      </x:c>
      <x:c r="AC16" s="376" t="str"/>
      <x:c r="AD16" s="376" t="str">
        <x:v>2026-07-23</x:v>
      </x:c>
      <x:c r="AE16" s="376" t="str">
        <x:v>Gluten-free and lactose-free accommodation must be reconfirmed directly; cross-contact is not assumed safe.</x:v>
      </x:c>
    </x:row>
    <x:row r="17">
      <x:c r="A17" s="278" t="str">
        <x:v>TO-013</x:v>
      </x:c>
      <x:c r="B17" s="278" t="str">
        <x:v>Tokyo</x:v>
      </x:c>
      <x:c r="C17" s="278" t="str">
        <x:v>Nihonbashi</x:v>
      </x:c>
      <x:c r="D17" s="278" t="str">
        <x:v>GINZA HACHIGO</x:v>
      </x:c>
      <x:c r="E17" s="278" t="str">
        <x:v>Ramen</x:v>
      </x:c>
      <x:c r="F17" s="278" t="str">
        <x:v>Ramen</x:v>
      </x:c>
      <x:c r="G17" s="278" t="str">
        <x:v>Lunch</x:v>
      </x:c>
      <x:c r="H17" s="278" t="str">
        <x:v>No</x:v>
      </x:c>
      <x:c r="I17" s="278" t="str">
        <x:v>Yes</x:v>
      </x:c>
      <x:c r="J17" s="278" t="str">
        <x:v>No</x:v>
      </x:c>
      <x:c r="K17" s="278" t="str">
        <x:v>No</x:v>
      </x:c>
      <x:c r="L17" s="376" t="str">
        <x:v>MICHELIN Guide / verify distinction</x:v>
      </x:c>
      <x:c r="M17" s="376" t="str">
        <x:v>Tabelog highly rated</x:v>
      </x:c>
      <x:c r="N17" s="376" t="str">
        <x:v>Usually not GF</x:v>
      </x:c>
      <x:c r="O17" s="376" t="str">
        <x:v>Often dairy-free but verify broth</x:v>
      </x:c>
      <x:c r="P17" s="376" t="str">
        <x:v>¥¥</x:v>
      </x:c>
      <x:c r="Q17" s="376" t="str">
        <x:v>Queue/Reservation</x:v>
      </x:c>
      <x:c r="R17" s="376" t="str">
        <x:v>Signature ramen</x:v>
      </x:c>
      <x:c r="S17" s="376" t="str">
        <x:v>Not a practical GF choice; included for group options.</x:v>
      </x:c>
      <x:c r="T17" s="376" t="str">
        <x:v>Consider</x:v>
      </x:c>
      <x:c r="U17" s="376" t="str">
        <x:v>Research</x:v>
      </x:c>
      <x:c r="V17" s="376" t="str">
        <x:v>No</x:v>
      </x:c>
      <x:c r="W17" s="376" t="str">
        <x:v>Not booked</x:v>
      </x:c>
      <x:c r="X17" s="376" t="str">
        <x:v>Verify live</x:v>
      </x:c>
      <x:c r="Y17" s="376" t="str">
        <x:v>No</x:v>
      </x:c>
      <x:c r="Z17" s="376" t="str">
        <x:v>https://www.google.com/maps/search/?api=1&amp;query=GINZA+HACHIGO+Tokyo+Japan</x:v>
      </x:c>
      <x:c r="AA17" s="376" t="str">
        <x:v>https://tabelog.com/en/rstLst/?sk=GINZA+HACHIGO</x:v>
      </x:c>
      <x:c r="AB17" s="376" t="str">
        <x:v>https://guide.michelin.com/us/en/tokyo-region/tokyo/restaurants</x:v>
      </x:c>
      <x:c r="AC17" s="376" t="str"/>
      <x:c r="AD17" s="376" t="str">
        <x:v>2026-07-23</x:v>
      </x:c>
      <x:c r="AE17" s="376" t="str">
        <x:v>Gluten-free and lactose-free accommodation must be reconfirmed directly; cross-contact is not assumed safe.</x:v>
      </x:c>
    </x:row>
    <x:row r="18">
      <x:c r="A18" s="278" t="str">
        <x:v>TO-014</x:v>
      </x:c>
      <x:c r="B18" s="278" t="str">
        <x:v>Tokyo</x:v>
      </x:c>
      <x:c r="C18" s="278" t="str">
        <x:v>Tokyo Station</x:v>
      </x:c>
      <x:c r="D18" s="278" t="str">
        <x:v>Soranoiro NIPPON</x:v>
      </x:c>
      <x:c r="E18" s="278" t="str">
        <x:v>Ramen</x:v>
      </x:c>
      <x:c r="F18" s="278" t="str">
        <x:v>Ramen</x:v>
      </x:c>
      <x:c r="G18" s="278" t="str">
        <x:v>Breakfast,Lunch,Dinner</x:v>
      </x:c>
      <x:c r="H18" s="278" t="str">
        <x:v>Yes</x:v>
      </x:c>
      <x:c r="I18" s="278" t="str">
        <x:v>Yes</x:v>
      </x:c>
      <x:c r="J18" s="278" t="str">
        <x:v>Yes</x:v>
      </x:c>
      <x:c r="K18" s="278" t="str">
        <x:v>No</x:v>
      </x:c>
      <x:c r="L18" s="376" t="str">
        <x:v>—</x:v>
      </x:c>
      <x:c r="M18" s="376" t="str">
        <x:v>Tabelog popular</x:v>
      </x:c>
      <x:c r="N18" s="376" t="str">
        <x:v>GF noodle option reported; verify current menu</x:v>
      </x:c>
      <x:c r="O18" s="376" t="str">
        <x:v>Verify broth and toppings</x:v>
      </x:c>
      <x:c r="P18" s="376" t="str">
        <x:v>¥¥</x:v>
      </x:c>
      <x:c r="Q18" s="376" t="str">
        <x:v>No</x:v>
      </x:c>
      <x:c r="R18" s="376" t="str">
        <x:v>Gluten-free ramen option</x:v>
      </x:c>
      <x:c r="S18" s="376" t="str">
        <x:v>Convenient arrival/departure backup.</x:v>
      </x:c>
      <x:c r="T18" s="376" t="str">
        <x:v>Top pick</x:v>
      </x:c>
      <x:c r="U18" s="376" t="str">
        <x:v>Research</x:v>
      </x:c>
      <x:c r="V18" s="376" t="str">
        <x:v>No</x:v>
      </x:c>
      <x:c r="W18" s="376" t="str">
        <x:v>Not booked</x:v>
      </x:c>
      <x:c r="X18" s="376" t="str">
        <x:v>Verify live</x:v>
      </x:c>
      <x:c r="Y18" s="376" t="str">
        <x:v>Yes</x:v>
      </x:c>
      <x:c r="Z18" s="376" t="str">
        <x:v>https://www.google.com/maps/search/?api=1&amp;query=Soranoiro+NIPPON+Tokyo+Japan</x:v>
      </x:c>
      <x:c r="AA18" s="376" t="str">
        <x:v>https://tabelog.com/en/rstLst/?sk=Soranoiro+NIPPON</x:v>
      </x:c>
      <x:c r="AB18" s="376" t="str"/>
      <x:c r="AC18" s="376" t="str"/>
      <x:c r="AD18" s="376" t="str">
        <x:v>2026-07-23</x:v>
      </x:c>
      <x:c r="AE18" s="376" t="str">
        <x:v>Gluten-free and lactose-free accommodation must be reconfirmed directly; cross-contact is not assumed safe.</x:v>
      </x:c>
    </x:row>
    <x:row r="19">
      <x:c r="A19" s="278" t="str">
        <x:v>TO-015</x:v>
      </x:c>
      <x:c r="B19" s="278" t="str">
        <x:v>Tokyo</x:v>
      </x:c>
      <x:c r="C19" s="278" t="str">
        <x:v>Ebisu</x:v>
      </x:c>
      <x:c r="D19" s="278" t="str">
        <x:v>AFURI</x:v>
      </x:c>
      <x:c r="E19" s="278" t="str">
        <x:v>Ramen</x:v>
      </x:c>
      <x:c r="F19" s="278" t="str">
        <x:v>Ramen</x:v>
      </x:c>
      <x:c r="G19" s="278" t="str">
        <x:v>Lunch,Dinner</x:v>
      </x:c>
      <x:c r="H19" s="278" t="str">
        <x:v>No</x:v>
      </x:c>
      <x:c r="I19" s="278" t="str">
        <x:v>Yes</x:v>
      </x:c>
      <x:c r="J19" s="278" t="str">
        <x:v>Yes</x:v>
      </x:c>
      <x:c r="K19" s="278" t="str">
        <x:v>No</x:v>
      </x:c>
      <x:c r="L19" s="376" t="str">
        <x:v>—</x:v>
      </x:c>
      <x:c r="M19" s="376" t="str">
        <x:v>Tabelog popular</x:v>
      </x:c>
      <x:c r="N19" s="376" t="str">
        <x:v>Usually not GF; some locations may have alternative noodles</x:v>
      </x:c>
      <x:c r="O19" s="376" t="str">
        <x:v>Verify broth/toppings</x:v>
      </x:c>
      <x:c r="P19" s="376" t="str">
        <x:v>¥¥</x:v>
      </x:c>
      <x:c r="Q19" s="376" t="str">
        <x:v>No</x:v>
      </x:c>
      <x:c r="R19" s="376" t="str">
        <x:v>Yuzu shio ramen</x:v>
      </x:c>
      <x:c r="S19" s="376" t="str">
        <x:v>Useful for other travelers; not a GF anchor.</x:v>
      </x:c>
      <x:c r="T19" s="376" t="str">
        <x:v>Consider</x:v>
      </x:c>
      <x:c r="U19" s="376" t="str">
        <x:v>Research</x:v>
      </x:c>
      <x:c r="V19" s="376" t="str">
        <x:v>No</x:v>
      </x:c>
      <x:c r="W19" s="376" t="str">
        <x:v>Not booked</x:v>
      </x:c>
      <x:c r="X19" s="376" t="str">
        <x:v>Verify live</x:v>
      </x:c>
      <x:c r="Y19" s="376" t="str">
        <x:v>No</x:v>
      </x:c>
      <x:c r="Z19" s="376" t="str">
        <x:v>https://www.google.com/maps/search/?api=1&amp;query=AFURI+Tokyo+Japan</x:v>
      </x:c>
      <x:c r="AA19" s="376" t="str">
        <x:v>https://tabelog.com/en/rstLst/?sk=AFURI</x:v>
      </x:c>
      <x:c r="AB19" s="376" t="str"/>
      <x:c r="AC19" s="376" t="str"/>
      <x:c r="AD19" s="376" t="str">
        <x:v>2026-07-23</x:v>
      </x:c>
      <x:c r="AE19" s="376" t="str">
        <x:v>Gluten-free and lactose-free accommodation must be reconfirmed directly; cross-contact is not assumed safe.</x:v>
      </x:c>
    </x:row>
    <x:row r="20">
      <x:c r="A20" s="278" t="str">
        <x:v>TO-016</x:v>
      </x:c>
      <x:c r="B20" s="278" t="str">
        <x:v>Tokyo</x:v>
      </x:c>
      <x:c r="C20" s="278" t="str">
        <x:v>Shinjuku</x:v>
      </x:c>
      <x:c r="D20" s="278" t="str">
        <x:v>Gyukatsu Motomura</x:v>
      </x:c>
      <x:c r="E20" s="278" t="str">
        <x:v>Gyukatsu</x:v>
      </x:c>
      <x:c r="F20" s="278" t="str">
        <x:v>Gyukatsu</x:v>
      </x:c>
      <x:c r="G20" s="278" t="str">
        <x:v>Lunch,Dinner</x:v>
      </x:c>
      <x:c r="H20" s="278" t="str">
        <x:v>No</x:v>
      </x:c>
      <x:c r="I20" s="278" t="str">
        <x:v>Yes</x:v>
      </x:c>
      <x:c r="J20" s="278" t="str">
        <x:v>Yes</x:v>
      </x:c>
      <x:c r="K20" s="278" t="str">
        <x:v>No</x:v>
      </x:c>
      <x:c r="L20" s="376" t="str">
        <x:v>—</x:v>
      </x:c>
      <x:c r="M20" s="376" t="str">
        <x:v>Tabelog popular</x:v>
      </x:c>
      <x:c r="N20" s="376" t="str">
        <x:v>Not GF in standard form</x:v>
      </x:c>
      <x:c r="O20" s="376" t="str">
        <x:v>Usually low dairy; verify batter/sauce</x:v>
      </x:c>
      <x:c r="P20" s="376" t="str">
        <x:v>¥¥</x:v>
      </x:c>
      <x:c r="Q20" s="376" t="str">
        <x:v>Queue</x:v>
      </x:c>
      <x:c r="R20" s="376" t="str">
        <x:v>Gyukatsu</x:v>
      </x:c>
      <x:c r="S20" s="376" t="str">
        <x:v>From the user's Japan Tips; standard breading contains gluten.</x:v>
      </x:c>
      <x:c r="T20" s="376" t="str">
        <x:v>Group option</x:v>
      </x:c>
      <x:c r="U20" s="376" t="str">
        <x:v>Research</x:v>
      </x:c>
      <x:c r="V20" s="376" t="str">
        <x:v>No</x:v>
      </x:c>
      <x:c r="W20" s="376" t="str">
        <x:v>Not booked</x:v>
      </x:c>
      <x:c r="X20" s="376" t="str">
        <x:v>Verify live</x:v>
      </x:c>
      <x:c r="Y20" s="376" t="str">
        <x:v>No</x:v>
      </x:c>
      <x:c r="Z20" s="376" t="str">
        <x:v>https://www.google.com/maps/search/?api=1&amp;query=Gyukatsu+Motomura+Tokyo+Japan</x:v>
      </x:c>
      <x:c r="AA20" s="376" t="str">
        <x:v>https://tabelog.com/en/rstLst/?sk=Gyukatsu+Motomura</x:v>
      </x:c>
      <x:c r="AB20" s="376" t="str"/>
      <x:c r="AC20" s="376" t="str"/>
      <x:c r="AD20" s="376" t="str">
        <x:v>2026-07-23</x:v>
      </x:c>
      <x:c r="AE20" s="376" t="str">
        <x:v>Gluten-free and lactose-free accommodation must be reconfirmed directly; cross-contact is not assumed safe.</x:v>
      </x:c>
    </x:row>
    <x:row r="21">
      <x:c r="A21" s="278" t="str">
        <x:v>TO-017</x:v>
      </x:c>
      <x:c r="B21" s="278" t="str">
        <x:v>Tokyo</x:v>
      </x:c>
      <x:c r="C21" s="278" t="str">
        <x:v>Shinjuku</x:v>
      </x:c>
      <x:c r="D21" s="278" t="str">
        <x:v>Mo-Mo-Paradise Kabukicho</x:v>
      </x:c>
      <x:c r="E21" s="278" t="str">
        <x:v>Shabu-shabu</x:v>
      </x:c>
      <x:c r="F21" s="278" t="str">
        <x:v>Shabu-shabu</x:v>
      </x:c>
      <x:c r="G21" s="278" t="str">
        <x:v>Lunch,Dinner</x:v>
      </x:c>
      <x:c r="H21" s="278" t="str">
        <x:v>No</x:v>
      </x:c>
      <x:c r="I21" s="278" t="str">
        <x:v>Yes</x:v>
      </x:c>
      <x:c r="J21" s="278" t="str">
        <x:v>Yes</x:v>
      </x:c>
      <x:c r="K21" s="278" t="str">
        <x:v>No</x:v>
      </x:c>
      <x:c r="L21" s="376" t="str">
        <x:v>—</x:v>
      </x:c>
      <x:c r="M21" s="376" t="str">
        <x:v>Tabelog popular</x:v>
      </x:c>
      <x:c r="N21" s="376" t="str">
        <x:v>Potentially adaptable; verify sauces/broth</x:v>
      </x:c>
      <x:c r="O21" s="376" t="str">
        <x:v>Usually adaptable</x:v>
      </x:c>
      <x:c r="P21" s="376" t="str">
        <x:v>¥¥¥</x:v>
      </x:c>
      <x:c r="Q21" s="376" t="str">
        <x:v>Recommended</x:v>
      </x:c>
      <x:c r="R21" s="376" t="str">
        <x:v>Shabu-shabu</x:v>
      </x:c>
      <x:c r="S21" s="376" t="str">
        <x:v>From the user's Japan Tips; request plain broth/meat/vegetables.</x:v>
      </x:c>
      <x:c r="T21" s="376" t="str">
        <x:v>Group option</x:v>
      </x:c>
      <x:c r="U21" s="376" t="str">
        <x:v>Research</x:v>
      </x:c>
      <x:c r="V21" s="376" t="str">
        <x:v>No</x:v>
      </x:c>
      <x:c r="W21" s="376" t="str">
        <x:v>Not booked</x:v>
      </x:c>
      <x:c r="X21" s="376" t="str">
        <x:v>Verify live</x:v>
      </x:c>
      <x:c r="Y21" s="376" t="str">
        <x:v>No</x:v>
      </x:c>
      <x:c r="Z21" s="376" t="str">
        <x:v>https://www.google.com/maps/search/?api=1&amp;query=Mo-Mo-Paradise+Kabukicho+Tokyo+Japan</x:v>
      </x:c>
      <x:c r="AA21" s="376" t="str">
        <x:v>https://tabelog.com/en/rstLst/?sk=Mo-Mo-Paradise+Kabukicho</x:v>
      </x:c>
      <x:c r="AB21" s="376" t="str"/>
      <x:c r="AC21" s="376" t="str"/>
      <x:c r="AD21" s="376" t="str">
        <x:v>2026-07-23</x:v>
      </x:c>
      <x:c r="AE21" s="376" t="str">
        <x:v>Gluten-free and lactose-free accommodation must be reconfirmed directly; cross-contact is not assumed safe.</x:v>
      </x:c>
    </x:row>
    <x:row r="22">
      <x:c r="A22" s="278" t="str">
        <x:v>TO-018</x:v>
      </x:c>
      <x:c r="B22" s="278" t="str">
        <x:v>Tokyo</x:v>
      </x:c>
      <x:c r="C22" s="278" t="str">
        <x:v>Toyosu</x:v>
      </x:c>
      <x:c r="D22" s="278" t="str">
        <x:v>Wagyu to Worldwide</x:v>
      </x:c>
      <x:c r="E22" s="278" t="str">
        <x:v>Wagyu burger</x:v>
      </x:c>
      <x:c r="F22" s="278" t="str">
        <x:v>Wagyu burger</x:v>
      </x:c>
      <x:c r="G22" s="278" t="str">
        <x:v>Lunch,Dinner</x:v>
      </x:c>
      <x:c r="H22" s="278" t="str">
        <x:v>No</x:v>
      </x:c>
      <x:c r="I22" s="278" t="str">
        <x:v>Yes</x:v>
      </x:c>
      <x:c r="J22" s="278" t="str">
        <x:v>Yes</x:v>
      </x:c>
      <x:c r="K22" s="278" t="str">
        <x:v>No</x:v>
      </x:c>
      <x:c r="L22" s="376" t="str">
        <x:v>—</x:v>
      </x:c>
      <x:c r="M22" s="376" t="str">
        <x:v>Tabelog candidate</x:v>
      </x:c>
      <x:c r="N22" s="376" t="str">
        <x:v>Standard bun/sauces not GF</x:v>
      </x:c>
      <x:c r="O22" s="376" t="str">
        <x:v>Cheese can be omitted</x:v>
      </x:c>
      <x:c r="P22" s="376" t="str">
        <x:v>¥¥</x:v>
      </x:c>
      <x:c r="Q22" s="376" t="str">
        <x:v>No/varies</x:v>
      </x:c>
      <x:c r="R22" s="376" t="str">
        <x:v>Wagyu burger</x:v>
      </x:c>
      <x:c r="S22" s="376" t="str">
        <x:v>From the user's Japan Tips; ask about bun-free preparation.</x:v>
      </x:c>
      <x:c r="T22" s="376" t="str">
        <x:v>Group option</x:v>
      </x:c>
      <x:c r="U22" s="376" t="str">
        <x:v>Research</x:v>
      </x:c>
      <x:c r="V22" s="376" t="str">
        <x:v>No</x:v>
      </x:c>
      <x:c r="W22" s="376" t="str">
        <x:v>Not booked</x:v>
      </x:c>
      <x:c r="X22" s="376" t="str">
        <x:v>Verify live</x:v>
      </x:c>
      <x:c r="Y22" s="376" t="str">
        <x:v>No</x:v>
      </x:c>
      <x:c r="Z22" s="376" t="str">
        <x:v>https://www.google.com/maps/search/?api=1&amp;query=Wagyu+to+Worldwide+Tokyo+Japan</x:v>
      </x:c>
      <x:c r="AA22" s="376" t="str">
        <x:v>https://tabelog.com/en/rstLst/?sk=Wagyu+to+Worldwide</x:v>
      </x:c>
      <x:c r="AB22" s="376" t="str"/>
      <x:c r="AC22" s="376" t="str"/>
      <x:c r="AD22" s="376" t="str">
        <x:v>2026-07-23</x:v>
      </x:c>
      <x:c r="AE22" s="376" t="str">
        <x:v>Gluten-free and lactose-free accommodation must be reconfirmed directly; cross-contact is not assumed safe.</x:v>
      </x:c>
    </x:row>
    <x:row r="23">
      <x:c r="A23" s="278" t="str">
        <x:v>TO-019</x:v>
      </x:c>
      <x:c r="B23" s="278" t="str">
        <x:v>Tokyo</x:v>
      </x:c>
      <x:c r="C23" s="278" t="str">
        <x:v>Akasaka</x:v>
      </x:c>
      <x:c r="D23" s="278" t="str">
        <x:v>Akasaka Kikunoi</x:v>
      </x:c>
      <x:c r="E23" s="278" t="str">
        <x:v>Kaiseki</x:v>
      </x:c>
      <x:c r="F23" s="278" t="str">
        <x:v>Kaiseki</x:v>
      </x:c>
      <x:c r="G23" s="278" t="str">
        <x:v>Lunch,Dinner</x:v>
      </x:c>
      <x:c r="H23" s="278" t="str">
        <x:v>No</x:v>
      </x:c>
      <x:c r="I23" s="278" t="str">
        <x:v>Yes</x:v>
      </x:c>
      <x:c r="J23" s="278" t="str">
        <x:v>Yes</x:v>
      </x:c>
      <x:c r="K23" s="278" t="str">
        <x:v>No</x:v>
      </x:c>
      <x:c r="L23" s="376" t="str">
        <x:v>2★ / MICHELIN Guide</x:v>
      </x:c>
      <x:c r="M23" s="376" t="str">
        <x:v>Tabelog highly rated</x:v>
      </x:c>
      <x:c r="N23" s="376" t="str">
        <x:v>Confirm before booking</x:v>
      </x:c>
      <x:c r="O23" s="376" t="str">
        <x:v>Confirm before booking</x:v>
      </x:c>
      <x:c r="P23" s="376" t="str">
        <x:v>¥¥¥¥</x:v>
      </x:c>
      <x:c r="Q23" s="376" t="str">
        <x:v>Required</x:v>
      </x:c>
      <x:c r="R23" s="376" t="str">
        <x:v>Kaiseki</x:v>
      </x:c>
      <x:c r="S23" s="376" t="str">
        <x:v>Convenient to Akasaka base; ideal only with written accommodation.</x:v>
      </x:c>
      <x:c r="T23" s="376" t="str">
        <x:v>Bucket list</x:v>
      </x:c>
      <x:c r="U23" s="376" t="str">
        <x:v>Research</x:v>
      </x:c>
      <x:c r="V23" s="376" t="str">
        <x:v>No</x:v>
      </x:c>
      <x:c r="W23" s="376" t="str">
        <x:v>Not booked</x:v>
      </x:c>
      <x:c r="X23" s="376" t="str">
        <x:v>Verify live</x:v>
      </x:c>
      <x:c r="Y23" s="376" t="str">
        <x:v>No</x:v>
      </x:c>
      <x:c r="Z23" s="376" t="str">
        <x:v>https://www.google.com/maps/search/?api=1&amp;query=Akasaka+Kikunoi+Tokyo+Japan</x:v>
      </x:c>
      <x:c r="AA23" s="376" t="str">
        <x:v>https://tabelog.com/en/rstLst/?sk=Akasaka+Kikunoi</x:v>
      </x:c>
      <x:c r="AB23" s="376" t="str">
        <x:v>https://guide.michelin.com/us/en/tokyo-region/tokyo/restaurants</x:v>
      </x:c>
      <x:c r="AC23" s="376" t="str"/>
      <x:c r="AD23" s="376" t="str">
        <x:v>2026-07-23</x:v>
      </x:c>
      <x:c r="AE23" s="376" t="str">
        <x:v>Gluten-free and lactose-free accommodation must be reconfirmed directly; cross-contact is not assumed safe.</x:v>
      </x:c>
    </x:row>
    <x:row r="24">
      <x:c r="A24" s="278" t="str">
        <x:v>TO-020</x:v>
      </x:c>
      <x:c r="B24" s="278" t="str">
        <x:v>Tokyo</x:v>
      </x:c>
      <x:c r="C24" s="278" t="str">
        <x:v>Ginza</x:v>
      </x:c>
      <x:c r="D24" s="278" t="str">
        <x:v>GINZA KUKI</x:v>
      </x:c>
      <x:c r="E24" s="278" t="str">
        <x:v>Japanese</x:v>
      </x:c>
      <x:c r="F24" s="278" t="str">
        <x:v>Japanese</x:v>
      </x:c>
      <x:c r="G24" s="278" t="str">
        <x:v>Dinner</x:v>
      </x:c>
      <x:c r="H24" s="278" t="str">
        <x:v>No</x:v>
      </x:c>
      <x:c r="I24" s="278" t="str">
        <x:v>No</x:v>
      </x:c>
      <x:c r="J24" s="278" t="str">
        <x:v>Yes</x:v>
      </x:c>
      <x:c r="K24" s="278" t="str">
        <x:v>No</x:v>
      </x:c>
      <x:c r="L24" s="376" t="str">
        <x:v>MICHELIN Guide selection</x:v>
      </x:c>
      <x:c r="M24" s="376" t="str">
        <x:v>Tabelog candidate</x:v>
      </x:c>
      <x:c r="N24" s="376" t="str">
        <x:v>Confirm before booking</x:v>
      </x:c>
      <x:c r="O24" s="376" t="str">
        <x:v>Confirm before booking</x:v>
      </x:c>
      <x:c r="P24" s="376" t="str">
        <x:v>¥¥¥</x:v>
      </x:c>
      <x:c r="Q24" s="376" t="str">
        <x:v>Required</x:v>
      </x:c>
      <x:c r="R24" s="376" t="str">
        <x:v>Fermentation-focused menu</x:v>
      </x:c>
      <x:c r="S24" s="376" t="str">
        <x:v>Potentially interesting, but soy/miso requires careful checking.</x:v>
      </x:c>
      <x:c r="T24" s="376" t="str">
        <x:v>Top pick</x:v>
      </x:c>
      <x:c r="U24" s="376" t="str">
        <x:v>Research</x:v>
      </x:c>
      <x:c r="V24" s="376" t="str">
        <x:v>No</x:v>
      </x:c>
      <x:c r="W24" s="376" t="str">
        <x:v>Not booked</x:v>
      </x:c>
      <x:c r="X24" s="376" t="str">
        <x:v>Verify live</x:v>
      </x:c>
      <x:c r="Y24" s="376" t="str">
        <x:v>No</x:v>
      </x:c>
      <x:c r="Z24" s="376" t="str">
        <x:v>https://www.google.com/maps/search/?api=1&amp;query=GINZA+KUKI+Tokyo+Japan</x:v>
      </x:c>
      <x:c r="AA24" s="376" t="str">
        <x:v>https://tabelog.com/en/rstLst/?sk=GINZA+KUKI</x:v>
      </x:c>
      <x:c r="AB24" s="376" t="str">
        <x:v>https://guide.michelin.com/us/en/tokyo-region/tokyo/restaurants</x:v>
      </x:c>
      <x:c r="AC24" s="376" t="str"/>
      <x:c r="AD24" s="376" t="str">
        <x:v>2026-07-23</x:v>
      </x:c>
      <x:c r="AE24" s="376" t="str">
        <x:v>Gluten-free and lactose-free accommodation must be reconfirmed directly; cross-contact is not assumed safe.</x:v>
      </x:c>
    </x:row>
    <x:row r="25">
      <x:c r="A25" s="278" t="str">
        <x:v>TO-021</x:v>
      </x:c>
      <x:c r="B25" s="278" t="str">
        <x:v>Tokyo</x:v>
      </x:c>
      <x:c r="C25" s="278" t="str">
        <x:v>Shinjuku</x:v>
      </x:c>
      <x:c r="D25" s="278" t="str">
        <x:v>Tokyo Mentsudan</x:v>
      </x:c>
      <x:c r="E25" s="278" t="str">
        <x:v>Udon</x:v>
      </x:c>
      <x:c r="F25" s="278" t="str">
        <x:v>Udon</x:v>
      </x:c>
      <x:c r="G25" s="278" t="str">
        <x:v>Lunch,Dinner</x:v>
      </x:c>
      <x:c r="H25" s="278" t="str">
        <x:v>No</x:v>
      </x:c>
      <x:c r="I25" s="278" t="str">
        <x:v>Yes</x:v>
      </x:c>
      <x:c r="J25" s="278" t="str">
        <x:v>Yes</x:v>
      </x:c>
      <x:c r="K25" s="278" t="str">
        <x:v>No</x:v>
      </x:c>
      <x:c r="L25" s="376" t="str">
        <x:v>—</x:v>
      </x:c>
      <x:c r="M25" s="376" t="str">
        <x:v>Tabelog popular</x:v>
      </x:c>
      <x:c r="N25" s="376" t="str">
        <x:v>Not GF</x:v>
      </x:c>
      <x:c r="O25" s="376" t="str">
        <x:v>Likely dairy-free</x:v>
      </x:c>
      <x:c r="P25" s="376" t="str">
        <x:v>¥</x:v>
      </x:c>
      <x:c r="Q25" s="376" t="str">
        <x:v>No</x:v>
      </x:c>
      <x:c r="R25" s="376" t="str">
        <x:v>Sanuki udon</x:v>
      </x:c>
      <x:c r="S25" s="376" t="str">
        <x:v>Budget group option, not suitable for GF diner.</x:v>
      </x:c>
      <x:c r="T25" s="376" t="str">
        <x:v>Group option</x:v>
      </x:c>
      <x:c r="U25" s="376" t="str">
        <x:v>Research</x:v>
      </x:c>
      <x:c r="V25" s="376" t="str">
        <x:v>No</x:v>
      </x:c>
      <x:c r="W25" s="376" t="str">
        <x:v>Not booked</x:v>
      </x:c>
      <x:c r="X25" s="376" t="str">
        <x:v>Verify live</x:v>
      </x:c>
      <x:c r="Y25" s="376" t="str">
        <x:v>No</x:v>
      </x:c>
      <x:c r="Z25" s="376" t="str">
        <x:v>https://www.google.com/maps/search/?api=1&amp;query=Tokyo+Mentsudan+Tokyo+Japan</x:v>
      </x:c>
      <x:c r="AA25" s="376" t="str">
        <x:v>https://tabelog.com/en/rstLst/?sk=Tokyo+Mentsudan</x:v>
      </x:c>
      <x:c r="AB25" s="376" t="str"/>
      <x:c r="AC25" s="376" t="str"/>
      <x:c r="AD25" s="376" t="str">
        <x:v>2026-07-23</x:v>
      </x:c>
      <x:c r="AE25" s="376" t="str">
        <x:v>Gluten-free and lactose-free accommodation must be reconfirmed directly; cross-contact is not assumed safe.</x:v>
      </x:c>
    </x:row>
    <x:row r="26">
      <x:c r="A26" s="278" t="str">
        <x:v>TO-022</x:v>
      </x:c>
      <x:c r="B26" s="278" t="str">
        <x:v>Tokyo</x:v>
      </x:c>
      <x:c r="C26" s="278" t="str">
        <x:v>Asakusa</x:v>
      </x:c>
      <x:c r="D26" s="278" t="str">
        <x:v>Suke6 Diner</x:v>
      </x:c>
      <x:c r="E26" s="278" t="str">
        <x:v>Cafe</x:v>
      </x:c>
      <x:c r="F26" s="278" t="str">
        <x:v>Cafe</x:v>
      </x:c>
      <x:c r="G26" s="278" t="str">
        <x:v>Breakfast,Lunch,Cafe</x:v>
      </x:c>
      <x:c r="H26" s="278" t="str">
        <x:v>Yes</x:v>
      </x:c>
      <x:c r="I26" s="278" t="str">
        <x:v>Yes</x:v>
      </x:c>
      <x:c r="J26" s="278" t="str">
        <x:v>No</x:v>
      </x:c>
      <x:c r="K26" s="278" t="str">
        <x:v>Yes</x:v>
      </x:c>
      <x:c r="L26" s="376" t="str">
        <x:v>—</x:v>
      </x:c>
      <x:c r="M26" s="376" t="str">
        <x:v>Tabelog popular</x:v>
      </x:c>
      <x:c r="N26" s="376" t="str">
        <x:v>Limited GF; ask</x:v>
      </x:c>
      <x:c r="O26" s="376" t="str">
        <x:v>Plant milk/omit dairy likely</x:v>
      </x:c>
      <x:c r="P26" s="376" t="str">
        <x:v>¥¥</x:v>
      </x:c>
      <x:c r="Q26" s="376" t="str">
        <x:v>No</x:v>
      </x:c>
      <x:c r="R26" s="376" t="str">
        <x:v>Breakfast plate / coffee</x:v>
      </x:c>
      <x:c r="S26" s="376" t="str">
        <x:v>Early breakfast atmosphere near Asakusa.</x:v>
      </x:c>
      <x:c r="T26" s="376" t="str">
        <x:v>Consider</x:v>
      </x:c>
      <x:c r="U26" s="376" t="str">
        <x:v>Research</x:v>
      </x:c>
      <x:c r="V26" s="376" t="str">
        <x:v>No</x:v>
      </x:c>
      <x:c r="W26" s="376" t="str">
        <x:v>Not booked</x:v>
      </x:c>
      <x:c r="X26" s="376" t="str">
        <x:v>Verify live</x:v>
      </x:c>
      <x:c r="Y26" s="376" t="str">
        <x:v>Yes</x:v>
      </x:c>
      <x:c r="Z26" s="376" t="str">
        <x:v>https://www.google.com/maps/search/?api=1&amp;query=Suke6+Diner+Tokyo+Japan</x:v>
      </x:c>
      <x:c r="AA26" s="376" t="str">
        <x:v>https://tabelog.com/en/rstLst/?sk=Suke6+Diner</x:v>
      </x:c>
      <x:c r="AB26" s="376" t="str"/>
      <x:c r="AC26" s="376" t="str"/>
      <x:c r="AD26" s="376" t="str">
        <x:v>2026-07-23</x:v>
      </x:c>
      <x:c r="AE26" s="376" t="str">
        <x:v>Gluten-free and lactose-free accommodation must be reconfirmed directly; cross-contact is not assumed safe.</x:v>
      </x:c>
    </x:row>
    <x:row r="27">
      <x:c r="A27" s="278" t="str">
        <x:v>TO-023</x:v>
      </x:c>
      <x:c r="B27" s="278" t="str">
        <x:v>Tokyo</x:v>
      </x:c>
      <x:c r="C27" s="278" t="str">
        <x:v>Shibuya</x:v>
      </x:c>
      <x:c r="D27" s="278" t="str">
        <x:v>BUY ME STAND</x:v>
      </x:c>
      <x:c r="E27" s="278" t="str">
        <x:v>Cafe / Sandwiches</x:v>
      </x:c>
      <x:c r="F27" s="278" t="str">
        <x:v>Cafe</x:v>
      </x:c>
      <x:c r="G27" s="278" t="str">
        <x:v>Breakfast,Lunch,Cafe</x:v>
      </x:c>
      <x:c r="H27" s="278" t="str">
        <x:v>Yes</x:v>
      </x:c>
      <x:c r="I27" s="278" t="str">
        <x:v>Yes</x:v>
      </x:c>
      <x:c r="J27" s="278" t="str">
        <x:v>No</x:v>
      </x:c>
      <x:c r="K27" s="278" t="str">
        <x:v>Yes</x:v>
      </x:c>
      <x:c r="L27" s="376" t="str">
        <x:v>—</x:v>
      </x:c>
      <x:c r="M27" s="376" t="str">
        <x:v>Tabelog popular</x:v>
      </x:c>
      <x:c r="N27" s="376" t="str">
        <x:v>Not reliably GF</x:v>
      </x:c>
      <x:c r="O27" s="376" t="str">
        <x:v>Can omit cheese on some items</x:v>
      </x:c>
      <x:c r="P27" s="376" t="str">
        <x:v>¥¥</x:v>
      </x:c>
      <x:c r="Q27" s="376" t="str">
        <x:v>No</x:v>
      </x:c>
      <x:c r="R27" s="376" t="str">
        <x:v>Breakfast sandwich</x:v>
      </x:c>
      <x:c r="S27" s="376" t="str">
        <x:v>Stylish breakfast for other travelers.</x:v>
      </x:c>
      <x:c r="T27" s="376" t="str">
        <x:v>Consider</x:v>
      </x:c>
      <x:c r="U27" s="376" t="str">
        <x:v>Research</x:v>
      </x:c>
      <x:c r="V27" s="376" t="str">
        <x:v>No</x:v>
      </x:c>
      <x:c r="W27" s="376" t="str">
        <x:v>Not booked</x:v>
      </x:c>
      <x:c r="X27" s="376" t="str">
        <x:v>Verify live</x:v>
      </x:c>
      <x:c r="Y27" s="376" t="str">
        <x:v>Yes</x:v>
      </x:c>
      <x:c r="Z27" s="376" t="str">
        <x:v>https://www.google.com/maps/search/?api=1&amp;query=BUY+ME+STAND+Tokyo+Japan</x:v>
      </x:c>
      <x:c r="AA27" s="376" t="str">
        <x:v>https://tabelog.com/en/rstLst/?sk=BUY+ME+STAND</x:v>
      </x:c>
      <x:c r="AB27" s="376" t="str"/>
      <x:c r="AC27" s="376" t="str"/>
      <x:c r="AD27" s="376" t="str">
        <x:v>2026-07-23</x:v>
      </x:c>
      <x:c r="AE27" s="376" t="str">
        <x:v>Gluten-free and lactose-free accommodation must be reconfirmed directly; cross-contact is not assumed safe.</x:v>
      </x:c>
    </x:row>
    <x:row r="28">
      <x:c r="A28" s="278" t="str">
        <x:v>TO-024</x:v>
      </x:c>
      <x:c r="B28" s="278" t="str">
        <x:v>Tokyo</x:v>
      </x:c>
      <x:c r="C28" s="278" t="str">
        <x:v>Ginza</x:v>
      </x:c>
      <x:c r="D28" s="278" t="str">
        <x:v>Tsukiji Outer Market seafood stalls</x:v>
      </x:c>
      <x:c r="E28" s="278" t="str">
        <x:v>Seafood / Market</x:v>
      </x:c>
      <x:c r="F28" s="278" t="str">
        <x:v>Market</x:v>
      </x:c>
      <x:c r="G28" s="278" t="str">
        <x:v>Breakfast,Lunch</x:v>
      </x:c>
      <x:c r="H28" s="278" t="str">
        <x:v>Yes</x:v>
      </x:c>
      <x:c r="I28" s="278" t="str">
        <x:v>Yes</x:v>
      </x:c>
      <x:c r="J28" s="278" t="str">
        <x:v>No</x:v>
      </x:c>
      <x:c r="K28" s="278" t="str">
        <x:v>No</x:v>
      </x:c>
      <x:c r="L28" s="376" t="str">
        <x:v>—</x:v>
      </x:c>
      <x:c r="M28" s="376" t="str">
        <x:v>Tabelog area research</x:v>
      </x:c>
      <x:c r="N28" s="376" t="str">
        <x:v>Choose plain sashimi/grilled seafood; verify sauces</x:v>
      </x:c>
      <x:c r="O28" s="376" t="str">
        <x:v>Mostly easy if plain</x:v>
      </x:c>
      <x:c r="P28" s="376" t="str">
        <x:v>¥-¥¥¥</x:v>
      </x:c>
      <x:c r="Q28" s="376" t="str">
        <x:v>No</x:v>
      </x:c>
      <x:c r="R28" s="376" t="str">
        <x:v>Sashimi, grilled seafood</x:v>
      </x:c>
      <x:c r="S28" s="376" t="str">
        <x:v>Treat individual stalls separately; carry allergy card.</x:v>
      </x:c>
      <x:c r="T28" s="376" t="str">
        <x:v>Top pick</x:v>
      </x:c>
      <x:c r="U28" s="376" t="str">
        <x:v>Research</x:v>
      </x:c>
      <x:c r="V28" s="376" t="str">
        <x:v>No</x:v>
      </x:c>
      <x:c r="W28" s="376" t="str">
        <x:v>Not booked</x:v>
      </x:c>
      <x:c r="X28" s="376" t="str">
        <x:v>Verify live</x:v>
      </x:c>
      <x:c r="Y28" s="376" t="str">
        <x:v>Yes</x:v>
      </x:c>
      <x:c r="Z28" s="376" t="str">
        <x:v>https://www.google.com/maps/search/?api=1&amp;query=Tsukiji+Outer+Market+seafood+stalls+Tokyo+Japan</x:v>
      </x:c>
      <x:c r="AA28" s="376" t="str">
        <x:v>https://tabelog.com/en/rstLst/?sk=Tsukiji+Outer+Market+seafood+stalls</x:v>
      </x:c>
      <x:c r="AB28" s="376" t="str"/>
      <x:c r="AC28" s="376" t="str"/>
      <x:c r="AD28" s="376" t="str">
        <x:v>2026-07-23</x:v>
      </x:c>
      <x:c r="AE28" s="376" t="str">
        <x:v>Gluten-free and lactose-free accommodation must be reconfirmed directly; cross-contact is not assumed safe.</x:v>
      </x:c>
    </x:row>
    <x:row r="29">
      <x:c r="A29" s="278" t="str">
        <x:v>TO-025</x:v>
      </x:c>
      <x:c r="B29" s="278" t="str">
        <x:v>Tokyo</x:v>
      </x:c>
      <x:c r="C29" s="278" t="str">
        <x:v>Toyosu</x:v>
      </x:c>
      <x:c r="D29" s="278" t="str">
        <x:v>Daiwa Sushi</x:v>
      </x:c>
      <x:c r="E29" s="278" t="str">
        <x:v>Sushi</x:v>
      </x:c>
      <x:c r="F29" s="278" t="str">
        <x:v>Sushi / Breakfast</x:v>
      </x:c>
      <x:c r="G29" s="278" t="str">
        <x:v>Breakfast,Lunch</x:v>
      </x:c>
      <x:c r="H29" s="278" t="str">
        <x:v>Yes</x:v>
      </x:c>
      <x:c r="I29" s="278" t="str">
        <x:v>Yes</x:v>
      </x:c>
      <x:c r="J29" s="278" t="str">
        <x:v>No</x:v>
      </x:c>
      <x:c r="K29" s="278" t="str">
        <x:v>No</x:v>
      </x:c>
      <x:c r="L29" s="376" t="str">
        <x:v>—</x:v>
      </x:c>
      <x:c r="M29" s="376" t="str">
        <x:v>Tabelog highly rated</x:v>
      </x:c>
      <x:c r="N29" s="376" t="str">
        <x:v>Confirm soy sauce/marinades</x:v>
      </x:c>
      <x:c r="O29" s="376" t="str">
        <x:v>Naturally low dairy</x:v>
      </x:c>
      <x:c r="P29" s="376" t="str">
        <x:v>¥¥¥</x:v>
      </x:c>
      <x:c r="Q29" s="376" t="str">
        <x:v>Queue</x:v>
      </x:c>
      <x:c r="R29" s="376" t="str">
        <x:v>Sushi breakfast</x:v>
      </x:c>
      <x:c r="S29" s="376" t="str">
        <x:v>Early market experience; dietary communication may be limited.</x:v>
      </x:c>
      <x:c r="T29" s="376" t="str">
        <x:v>Consider</x:v>
      </x:c>
      <x:c r="U29" s="376" t="str">
        <x:v>Research</x:v>
      </x:c>
      <x:c r="V29" s="376" t="str">
        <x:v>No</x:v>
      </x:c>
      <x:c r="W29" s="376" t="str">
        <x:v>Not booked</x:v>
      </x:c>
      <x:c r="X29" s="376" t="str">
        <x:v>Verify live</x:v>
      </x:c>
      <x:c r="Y29" s="376" t="str">
        <x:v>Yes</x:v>
      </x:c>
      <x:c r="Z29" s="376" t="str">
        <x:v>https://www.google.com/maps/search/?api=1&amp;query=Daiwa+Sushi+Tokyo+Japan</x:v>
      </x:c>
      <x:c r="AA29" s="376" t="str">
        <x:v>https://tabelog.com/en/rstLst/?sk=Daiwa+Sushi</x:v>
      </x:c>
      <x:c r="AB29" s="376" t="str"/>
      <x:c r="AC29" s="376" t="str"/>
      <x:c r="AD29" s="376" t="str">
        <x:v>2026-07-23</x:v>
      </x:c>
      <x:c r="AE29" s="376" t="str">
        <x:v>Gluten-free and lactose-free accommodation must be reconfirmed directly; cross-contact is not assumed safe.</x:v>
      </x:c>
    </x:row>
    <x:row r="30">
      <x:c r="A30" s="278" t="str">
        <x:v>TO-026</x:v>
      </x:c>
      <x:c r="B30" s="278" t="str">
        <x:v>Tokyo</x:v>
      </x:c>
      <x:c r="C30" s="278" t="str">
        <x:v>Toyosu</x:v>
      </x:c>
      <x:c r="D30" s="278" t="str">
        <x:v>Sushi Dai</x:v>
      </x:c>
      <x:c r="E30" s="278" t="str">
        <x:v>Sushi</x:v>
      </x:c>
      <x:c r="F30" s="278" t="str">
        <x:v>Sushi / Breakfast</x:v>
      </x:c>
      <x:c r="G30" s="278" t="str">
        <x:v>Breakfast,Lunch</x:v>
      </x:c>
      <x:c r="H30" s="278" t="str">
        <x:v>Yes</x:v>
      </x:c>
      <x:c r="I30" s="278" t="str">
        <x:v>Yes</x:v>
      </x:c>
      <x:c r="J30" s="278" t="str">
        <x:v>No</x:v>
      </x:c>
      <x:c r="K30" s="278" t="str">
        <x:v>No</x:v>
      </x:c>
      <x:c r="L30" s="376" t="str">
        <x:v>—</x:v>
      </x:c>
      <x:c r="M30" s="376" t="str">
        <x:v>Tabelog highly rated</x:v>
      </x:c>
      <x:c r="N30" s="376" t="str">
        <x:v>Confirm soy sauce/marinades</x:v>
      </x:c>
      <x:c r="O30" s="376" t="str">
        <x:v>Naturally low dairy</x:v>
      </x:c>
      <x:c r="P30" s="376" t="str">
        <x:v>¥¥¥</x:v>
      </x:c>
      <x:c r="Q30" s="376" t="str">
        <x:v>Long queue</x:v>
      </x:c>
      <x:c r="R30" s="376" t="str">
        <x:v>Sushi breakfast</x:v>
      </x:c>
      <x:c r="S30" s="376" t="str">
        <x:v>Famous but time-intensive.</x:v>
      </x:c>
      <x:c r="T30" s="376" t="str">
        <x:v>Consider</x:v>
      </x:c>
      <x:c r="U30" s="376" t="str">
        <x:v>Research</x:v>
      </x:c>
      <x:c r="V30" s="376" t="str">
        <x:v>No</x:v>
      </x:c>
      <x:c r="W30" s="376" t="str">
        <x:v>Not booked</x:v>
      </x:c>
      <x:c r="X30" s="376" t="str">
        <x:v>Verify live</x:v>
      </x:c>
      <x:c r="Y30" s="376" t="str">
        <x:v>Yes</x:v>
      </x:c>
      <x:c r="Z30" s="376" t="str">
        <x:v>https://www.google.com/maps/search/?api=1&amp;query=Sushi+Dai+Tokyo+Japan</x:v>
      </x:c>
      <x:c r="AA30" s="376" t="str">
        <x:v>https://tabelog.com/en/rstLst/?sk=Sushi+Dai</x:v>
      </x:c>
      <x:c r="AB30" s="376" t="str"/>
      <x:c r="AC30" s="376" t="str"/>
      <x:c r="AD30" s="376" t="str">
        <x:v>2026-07-23</x:v>
      </x:c>
      <x:c r="AE30" s="376" t="str">
        <x:v>Gluten-free and lactose-free accommodation must be reconfirmed directly; cross-contact is not assumed safe.</x:v>
      </x:c>
    </x:row>
    <x:row r="31">
      <x:c r="A31" s="278" t="str">
        <x:v>TO-027</x:v>
      </x:c>
      <x:c r="B31" s="278" t="str">
        <x:v>Tokyo</x:v>
      </x:c>
      <x:c r="C31" s="278" t="str">
        <x:v>Ginza</x:v>
      </x:c>
      <x:c r="D31" s="278" t="str">
        <x:v>GINZA WEST</x:v>
      </x:c>
      <x:c r="E31" s="278" t="str">
        <x:v>Cafe / Dessert</x:v>
      </x:c>
      <x:c r="F31" s="278" t="str">
        <x:v>Cafe</x:v>
      </x:c>
      <x:c r="G31" s="278" t="str">
        <x:v>Breakfast,Lunch,Cafe,Dessert</x:v>
      </x:c>
      <x:c r="H31" s="278" t="str">
        <x:v>Yes</x:v>
      </x:c>
      <x:c r="I31" s="278" t="str">
        <x:v>Yes</x:v>
      </x:c>
      <x:c r="J31" s="278" t="str">
        <x:v>No</x:v>
      </x:c>
      <x:c r="K31" s="278" t="str">
        <x:v>Yes</x:v>
      </x:c>
      <x:c r="L31" s="376" t="str">
        <x:v>—</x:v>
      </x:c>
      <x:c r="M31" s="376" t="str">
        <x:v>Tabelog classic</x:v>
      </x:c>
      <x:c r="N31" s="376" t="str">
        <x:v>Limited GF</x:v>
      </x:c>
      <x:c r="O31" s="376" t="str">
        <x:v>Not LF by default</x:v>
      </x:c>
      <x:c r="P31" s="376" t="str">
        <x:v>¥¥</x:v>
      </x:c>
      <x:c r="Q31" s="376" t="str">
        <x:v>No</x:v>
      </x:c>
      <x:c r="R31" s="376" t="str">
        <x:v>Pancakes / cakes</x:v>
      </x:c>
      <x:c r="S31" s="376" t="str">
        <x:v>Classic café for companions; not dietary-safe without confirmation.</x:v>
      </x:c>
      <x:c r="T31" s="376" t="str">
        <x:v>Consider</x:v>
      </x:c>
      <x:c r="U31" s="376" t="str">
        <x:v>Research</x:v>
      </x:c>
      <x:c r="V31" s="376" t="str">
        <x:v>No</x:v>
      </x:c>
      <x:c r="W31" s="376" t="str">
        <x:v>Not booked</x:v>
      </x:c>
      <x:c r="X31" s="376" t="str">
        <x:v>Verify live</x:v>
      </x:c>
      <x:c r="Y31" s="376" t="str">
        <x:v>Yes</x:v>
      </x:c>
      <x:c r="Z31" s="376" t="str">
        <x:v>https://www.google.com/maps/search/?api=1&amp;query=GINZA+WEST+Tokyo+Japan</x:v>
      </x:c>
      <x:c r="AA31" s="376" t="str">
        <x:v>https://tabelog.com/en/rstLst/?sk=GINZA+WEST</x:v>
      </x:c>
      <x:c r="AB31" s="376" t="str"/>
      <x:c r="AC31" s="376" t="str"/>
      <x:c r="AD31" s="376" t="str">
        <x:v>2026-07-23</x:v>
      </x:c>
      <x:c r="AE31" s="376" t="str">
        <x:v>Gluten-free and lactose-free accommodation must be reconfirmed directly; cross-contact is not assumed safe.</x:v>
      </x:c>
    </x:row>
    <x:row r="32">
      <x:c r="A32" s="278" t="str">
        <x:v>TO-028</x:v>
      </x:c>
      <x:c r="B32" s="278" t="str">
        <x:v>Tokyo</x:v>
      </x:c>
      <x:c r="C32" s="278" t="str">
        <x:v>Aoyama</x:v>
      </x:c>
      <x:c r="D32" s="278" t="str">
        <x:v>Blue Bottle Coffee Aoyama</x:v>
      </x:c>
      <x:c r="E32" s="278" t="str">
        <x:v>Coffee</x:v>
      </x:c>
      <x:c r="F32" s="278" t="str">
        <x:v>Coffee</x:v>
      </x:c>
      <x:c r="G32" s="278" t="str">
        <x:v>Breakfast,Cafe</x:v>
      </x:c>
      <x:c r="H32" s="278" t="str">
        <x:v>Yes</x:v>
      </x:c>
      <x:c r="I32" s="278" t="str">
        <x:v>No</x:v>
      </x:c>
      <x:c r="J32" s="278" t="str">
        <x:v>No</x:v>
      </x:c>
      <x:c r="K32" s="278" t="str">
        <x:v>Yes</x:v>
      </x:c>
      <x:c r="L32" s="376" t="str">
        <x:v>—</x:v>
      </x:c>
      <x:c r="M32" s="376" t="str">
        <x:v>Tabelog popular</x:v>
      </x:c>
      <x:c r="N32" s="376" t="str">
        <x:v>Packaged items vary; coffee itself GF</x:v>
      </x:c>
      <x:c r="O32" s="376" t="str">
        <x:v>Plant milk available; verify</x:v>
      </x:c>
      <x:c r="P32" s="376" t="str">
        <x:v>¥</x:v>
      </x:c>
      <x:c r="Q32" s="376" t="str">
        <x:v>No</x:v>
      </x:c>
      <x:c r="R32" s="376" t="str">
        <x:v>Coffee</x:v>
      </x:c>
      <x:c r="S32" s="376" t="str">
        <x:v>Reliable early coffee stop.</x:v>
      </x:c>
      <x:c r="T32" s="376" t="str">
        <x:v>Backup</x:v>
      </x:c>
      <x:c r="U32" s="376" t="str">
        <x:v>Research</x:v>
      </x:c>
      <x:c r="V32" s="376" t="str">
        <x:v>No</x:v>
      </x:c>
      <x:c r="W32" s="376" t="str">
        <x:v>Not booked</x:v>
      </x:c>
      <x:c r="X32" s="376" t="str">
        <x:v>Verify live</x:v>
      </x:c>
      <x:c r="Y32" s="376" t="str">
        <x:v>Yes</x:v>
      </x:c>
      <x:c r="Z32" s="376" t="str">
        <x:v>https://www.google.com/maps/search/?api=1&amp;query=Blue+Bottle+Coffee+Aoyama+Tokyo+Japan</x:v>
      </x:c>
      <x:c r="AA32" s="376" t="str">
        <x:v>https://tabelog.com/en/rstLst/?sk=Blue+Bottle+Coffee+Aoyama</x:v>
      </x:c>
      <x:c r="AB32" s="376" t="str"/>
      <x:c r="AC32" s="376" t="str"/>
      <x:c r="AD32" s="376" t="str">
        <x:v>2026-07-23</x:v>
      </x:c>
      <x:c r="AE32" s="376" t="str">
        <x:v>Gluten-free and lactose-free accommodation must be reconfirmed directly; cross-contact is not assumed safe.</x:v>
      </x:c>
    </x:row>
    <x:row r="33">
      <x:c r="A33" s="278" t="str">
        <x:v>TO-029</x:v>
      </x:c>
      <x:c r="B33" s="278" t="str">
        <x:v>Tokyo</x:v>
      </x:c>
      <x:c r="C33" s="278" t="str">
        <x:v>Shibuya</x:v>
      </x:c>
      <x:c r="D33" s="278" t="str">
        <x:v>Fuglen Tokyo</x:v>
      </x:c>
      <x:c r="E33" s="278" t="str">
        <x:v>Coffee / Cafe</x:v>
      </x:c>
      <x:c r="F33" s="278" t="str">
        <x:v>Coffee</x:v>
      </x:c>
      <x:c r="G33" s="278" t="str">
        <x:v>Breakfast,Cafe</x:v>
      </x:c>
      <x:c r="H33" s="278" t="str">
        <x:v>Yes</x:v>
      </x:c>
      <x:c r="I33" s="278" t="str">
        <x:v>No</x:v>
      </x:c>
      <x:c r="J33" s="278" t="str">
        <x:v>No</x:v>
      </x:c>
      <x:c r="K33" s="278" t="str">
        <x:v>Yes</x:v>
      </x:c>
      <x:c r="L33" s="376" t="str">
        <x:v>—</x:v>
      </x:c>
      <x:c r="M33" s="376" t="str">
        <x:v>Tabelog popular</x:v>
      </x:c>
      <x:c r="N33" s="376" t="str">
        <x:v>Food varies</x:v>
      </x:c>
      <x:c r="O33" s="376" t="str">
        <x:v>Plant milk typically available; verify</x:v>
      </x:c>
      <x:c r="P33" s="376" t="str">
        <x:v>¥</x:v>
      </x:c>
      <x:c r="Q33" s="376" t="str">
        <x:v>No</x:v>
      </x:c>
      <x:c r="R33" s="376" t="str">
        <x:v>Coffee</x:v>
      </x:c>
      <x:c r="S33" s="376" t="str">
        <x:v>Good morning coffee near Shibuya.</x:v>
      </x:c>
      <x:c r="T33" s="376" t="str">
        <x:v>Consider</x:v>
      </x:c>
      <x:c r="U33" s="376" t="str">
        <x:v>Research</x:v>
      </x:c>
      <x:c r="V33" s="376" t="str">
        <x:v>No</x:v>
      </x:c>
      <x:c r="W33" s="376" t="str">
        <x:v>Not booked</x:v>
      </x:c>
      <x:c r="X33" s="376" t="str">
        <x:v>Verify live</x:v>
      </x:c>
      <x:c r="Y33" s="376" t="str">
        <x:v>Yes</x:v>
      </x:c>
      <x:c r="Z33" s="376" t="str">
        <x:v>https://www.google.com/maps/search/?api=1&amp;query=Fuglen+Tokyo+Tokyo+Japan</x:v>
      </x:c>
      <x:c r="AA33" s="376" t="str">
        <x:v>https://tabelog.com/en/rstLst/?sk=Fuglen+Tokyo</x:v>
      </x:c>
      <x:c r="AB33" s="376" t="str"/>
      <x:c r="AC33" s="376" t="str"/>
      <x:c r="AD33" s="376" t="str">
        <x:v>2026-07-23</x:v>
      </x:c>
      <x:c r="AE33" s="376" t="str">
        <x:v>Gluten-free and lactose-free accommodation must be reconfirmed directly; cross-contact is not assumed safe.</x:v>
      </x:c>
    </x:row>
    <x:row r="34">
      <x:c r="A34" s="278" t="str">
        <x:v>TO-030</x:v>
      </x:c>
      <x:c r="B34" s="278" t="str">
        <x:v>Tokyo</x:v>
      </x:c>
      <x:c r="C34" s="278" t="str">
        <x:v>Jimbocho</x:v>
      </x:c>
      <x:c r="D34" s="278" t="str">
        <x:v>Glitch Coffee &amp; Roasters</x:v>
      </x:c>
      <x:c r="E34" s="278" t="str">
        <x:v>Coffee</x:v>
      </x:c>
      <x:c r="F34" s="278" t="str">
        <x:v>Coffee</x:v>
      </x:c>
      <x:c r="G34" s="278" t="str">
        <x:v>Breakfast,Cafe</x:v>
      </x:c>
      <x:c r="H34" s="278" t="str">
        <x:v>Yes</x:v>
      </x:c>
      <x:c r="I34" s="278" t="str">
        <x:v>No</x:v>
      </x:c>
      <x:c r="J34" s="278" t="str">
        <x:v>No</x:v>
      </x:c>
      <x:c r="K34" s="278" t="str">
        <x:v>Yes</x:v>
      </x:c>
      <x:c r="L34" s="376" t="str">
        <x:v>—</x:v>
      </x:c>
      <x:c r="M34" s="376" t="str">
        <x:v>Tabelog highly rated</x:v>
      </x:c>
      <x:c r="N34" s="376" t="str">
        <x:v>Coffee GF; pastries vary</x:v>
      </x:c>
      <x:c r="O34" s="376" t="str">
        <x:v>Black coffee safe; plant milk varies</x:v>
      </x:c>
      <x:c r="P34" s="376" t="str">
        <x:v>¥¥</x:v>
      </x:c>
      <x:c r="Q34" s="376" t="str">
        <x:v>No</x:v>
      </x:c>
      <x:c r="R34" s="376" t="str">
        <x:v>Single-origin coffee</x:v>
      </x:c>
      <x:c r="S34" s="376" t="str">
        <x:v>Destination coffee stop.</x:v>
      </x:c>
      <x:c r="T34" s="376" t="str">
        <x:v>Top pick</x:v>
      </x:c>
      <x:c r="U34" s="376" t="str">
        <x:v>Research</x:v>
      </x:c>
      <x:c r="V34" s="376" t="str">
        <x:v>No</x:v>
      </x:c>
      <x:c r="W34" s="376" t="str">
        <x:v>Not booked</x:v>
      </x:c>
      <x:c r="X34" s="376" t="str">
        <x:v>Verify live</x:v>
      </x:c>
      <x:c r="Y34" s="376" t="str">
        <x:v>Yes</x:v>
      </x:c>
      <x:c r="Z34" s="376" t="str">
        <x:v>https://www.google.com/maps/search/?api=1&amp;query=Glitch+Coffee+%26+Roasters+Tokyo+Japan</x:v>
      </x:c>
      <x:c r="AA34" s="376" t="str">
        <x:v>https://tabelog.com/en/rstLst/?sk=Glitch+Coffee+%26+Roasters</x:v>
      </x:c>
      <x:c r="AB34" s="376" t="str"/>
      <x:c r="AC34" s="376" t="str"/>
      <x:c r="AD34" s="376" t="str">
        <x:v>2026-07-23</x:v>
      </x:c>
      <x:c r="AE34" s="376" t="str">
        <x:v>Gluten-free and lactose-free accommodation must be reconfirmed directly; cross-contact is not assumed safe.</x:v>
      </x:c>
    </x:row>
    <x:row r="35">
      <x:c r="A35" s="278" t="str">
        <x:v>TO-031</x:v>
      </x:c>
      <x:c r="B35" s="278" t="str">
        <x:v>Tokyo</x:v>
      </x:c>
      <x:c r="C35" s="278" t="str">
        <x:v>Omotesando</x:v>
      </x:c>
      <x:c r="D35" s="278" t="str">
        <x:v>KOFFEE MAMEYA</x:v>
      </x:c>
      <x:c r="E35" s="278" t="str">
        <x:v>Coffee</x:v>
      </x:c>
      <x:c r="F35" s="278" t="str">
        <x:v>Coffee</x:v>
      </x:c>
      <x:c r="G35" s="278" t="str">
        <x:v>Cafe</x:v>
      </x:c>
      <x:c r="H35" s="278" t="str">
        <x:v>No</x:v>
      </x:c>
      <x:c r="I35" s="278" t="str">
        <x:v>No</x:v>
      </x:c>
      <x:c r="J35" s="278" t="str">
        <x:v>No</x:v>
      </x:c>
      <x:c r="K35" s="278" t="str">
        <x:v>Yes</x:v>
      </x:c>
      <x:c r="L35" s="376" t="str">
        <x:v>—</x:v>
      </x:c>
      <x:c r="M35" s="376" t="str">
        <x:v>Tabelog highly rated</x:v>
      </x:c>
      <x:c r="N35" s="376" t="str">
        <x:v>Coffee GF</x:v>
      </x:c>
      <x:c r="O35" s="376" t="str">
        <x:v>Black coffee LF</x:v>
      </x:c>
      <x:c r="P35" s="376" t="str">
        <x:v>¥¥</x:v>
      </x:c>
      <x:c r="Q35" s="376" t="str">
        <x:v>Queue</x:v>
      </x:c>
      <x:c r="R35" s="376" t="str">
        <x:v>Coffee tasting</x:v>
      </x:c>
      <x:c r="S35" s="376" t="str">
        <x:v>Compact specialty coffee experience.</x:v>
      </x:c>
      <x:c r="T35" s="376" t="str">
        <x:v>Top pick</x:v>
      </x:c>
      <x:c r="U35" s="376" t="str">
        <x:v>Research</x:v>
      </x:c>
      <x:c r="V35" s="376" t="str">
        <x:v>No</x:v>
      </x:c>
      <x:c r="W35" s="376" t="str">
        <x:v>Not booked</x:v>
      </x:c>
      <x:c r="X35" s="376" t="str">
        <x:v>Verify live</x:v>
      </x:c>
      <x:c r="Y35" s="376" t="str">
        <x:v>No</x:v>
      </x:c>
      <x:c r="Z35" s="376" t="str">
        <x:v>https://www.google.com/maps/search/?api=1&amp;query=KOFFEE+MAMEYA+Tokyo+Japan</x:v>
      </x:c>
      <x:c r="AA35" s="376" t="str">
        <x:v>https://tabelog.com/en/rstLst/?sk=KOFFEE+MAMEYA</x:v>
      </x:c>
      <x:c r="AB35" s="376" t="str"/>
      <x:c r="AC35" s="376" t="str"/>
      <x:c r="AD35" s="376" t="str">
        <x:v>2026-07-23</x:v>
      </x:c>
      <x:c r="AE35" s="376" t="str">
        <x:v>Gluten-free and lactose-free accommodation must be reconfirmed directly; cross-contact is not assumed safe.</x:v>
      </x:c>
    </x:row>
    <x:row r="36">
      <x:c r="A36" s="278" t="str">
        <x:v>TO-032</x:v>
      </x:c>
      <x:c r="B36" s="278" t="str">
        <x:v>Tokyo</x:v>
      </x:c>
      <x:c r="C36" s="278" t="str">
        <x:v>Shinjuku</x:v>
      </x:c>
      <x:c r="D36" s="278" t="str">
        <x:v>MORETHAN TAPAS LOUNGE</x:v>
      </x:c>
      <x:c r="E36" s="278" t="str">
        <x:v>Buffet / Cafe</x:v>
      </x:c>
      <x:c r="F36" s="278" t="str">
        <x:v>Hotel Breakfast</x:v>
      </x:c>
      <x:c r="G36" s="278" t="str">
        <x:v>Breakfast,Lunch,Dinner</x:v>
      </x:c>
      <x:c r="H36" s="278" t="str">
        <x:v>Yes</x:v>
      </x:c>
      <x:c r="I36" s="278" t="str">
        <x:v>Yes</x:v>
      </x:c>
      <x:c r="J36" s="278" t="str">
        <x:v>Yes</x:v>
      </x:c>
      <x:c r="K36" s="278" t="str">
        <x:v>No</x:v>
      </x:c>
      <x:c r="L36" s="376" t="str">
        <x:v>—</x:v>
      </x:c>
      <x:c r="M36" s="376" t="str">
        <x:v>Tabelog popular</x:v>
      </x:c>
      <x:c r="N36" s="376" t="str">
        <x:v>Buffet cross-contact risk; ask</x:v>
      </x:c>
      <x:c r="O36" s="376" t="str">
        <x:v>Some LF options</x:v>
      </x:c>
      <x:c r="P36" s="376" t="str">
        <x:v>¥¥¥</x:v>
      </x:c>
      <x:c r="Q36" s="376" t="str">
        <x:v>Recommended</x:v>
      </x:c>
      <x:c r="R36" s="376" t="str">
        <x:v>Breakfast buffet</x:v>
      </x:c>
      <x:c r="S36" s="376" t="str">
        <x:v>Convenient large-group breakfast, not a strict GF anchor.</x:v>
      </x:c>
      <x:c r="T36" s="376" t="str">
        <x:v>Consider</x:v>
      </x:c>
      <x:c r="U36" s="376" t="str">
        <x:v>Research</x:v>
      </x:c>
      <x:c r="V36" s="376" t="str">
        <x:v>No</x:v>
      </x:c>
      <x:c r="W36" s="376" t="str">
        <x:v>Not booked</x:v>
      </x:c>
      <x:c r="X36" s="376" t="str">
        <x:v>Verify live</x:v>
      </x:c>
      <x:c r="Y36" s="376" t="str">
        <x:v>Yes</x:v>
      </x:c>
      <x:c r="Z36" s="376" t="str">
        <x:v>https://www.google.com/maps/search/?api=1&amp;query=MORETHAN+TAPAS+LOUNGE+Tokyo+Japan</x:v>
      </x:c>
      <x:c r="AA36" s="376" t="str">
        <x:v>https://tabelog.com/en/rstLst/?sk=MORETHAN+TAPAS+LOUNGE</x:v>
      </x:c>
      <x:c r="AB36" s="376" t="str"/>
      <x:c r="AC36" s="376" t="str"/>
      <x:c r="AD36" s="376" t="str">
        <x:v>2026-07-23</x:v>
      </x:c>
      <x:c r="AE36" s="376" t="str">
        <x:v>Gluten-free and lactose-free accommodation must be reconfirmed directly; cross-contact is not assumed safe.</x:v>
      </x:c>
    </x:row>
    <x:row r="37">
      <x:c r="A37" s="278" t="str">
        <x:v>TO-033</x:v>
      </x:c>
      <x:c r="B37" s="278" t="str">
        <x:v>Tokyo</x:v>
      </x:c>
      <x:c r="C37" s="278" t="str">
        <x:v>Marunouchi</x:v>
      </x:c>
      <x:c r="D37" s="278" t="str">
        <x:v>The Tokyo Station Hotel Atrium</x:v>
      </x:c>
      <x:c r="E37" s="278" t="str">
        <x:v>Hotel Breakfast</x:v>
      </x:c>
      <x:c r="F37" s="278" t="str">
        <x:v>Hotel Breakfast</x:v>
      </x:c>
      <x:c r="G37" s="278" t="str">
        <x:v>Breakfast</x:v>
      </x:c>
      <x:c r="H37" s="278" t="str">
        <x:v>Yes</x:v>
      </x:c>
      <x:c r="I37" s="278" t="str">
        <x:v>No</x:v>
      </x:c>
      <x:c r="J37" s="278" t="str">
        <x:v>No</x:v>
      </x:c>
      <x:c r="K37" s="278" t="str">
        <x:v>No</x:v>
      </x:c>
      <x:c r="L37" s="376" t="str">
        <x:v>—</x:v>
      </x:c>
      <x:c r="M37" s="376" t="str">
        <x:v>Tabelog hotel dining</x:v>
      </x:c>
      <x:c r="N37" s="376" t="str">
        <x:v>Advance dietary request</x:v>
      </x:c>
      <x:c r="O37" s="376" t="str">
        <x:v>Advance dietary request</x:v>
      </x:c>
      <x:c r="P37" s="376" t="str">
        <x:v>¥¥¥¥</x:v>
      </x:c>
      <x:c r="Q37" s="376" t="str">
        <x:v>Required</x:v>
      </x:c>
      <x:c r="R37" s="376" t="str">
        <x:v>Japanese/Western breakfast</x:v>
      </x:c>
      <x:c r="S37" s="376" t="str">
        <x:v>Special breakfast experience; request accommodation in writing.</x:v>
      </x:c>
      <x:c r="T37" s="376" t="str">
        <x:v>Consider</x:v>
      </x:c>
      <x:c r="U37" s="376" t="str">
        <x:v>Research</x:v>
      </x:c>
      <x:c r="V37" s="376" t="str">
        <x:v>No</x:v>
      </x:c>
      <x:c r="W37" s="376" t="str">
        <x:v>Not booked</x:v>
      </x:c>
      <x:c r="X37" s="376" t="str">
        <x:v>Verify live</x:v>
      </x:c>
      <x:c r="Y37" s="376" t="str">
        <x:v>Yes</x:v>
      </x:c>
      <x:c r="Z37" s="376" t="str">
        <x:v>https://www.google.com/maps/search/?api=1&amp;query=The+Tokyo+Station+Hotel+Atrium+Tokyo+Japan</x:v>
      </x:c>
      <x:c r="AA37" s="376" t="str">
        <x:v>https://tabelog.com/en/rstLst/?sk=The+Tokyo+Station+Hotel+Atrium</x:v>
      </x:c>
      <x:c r="AB37" s="376" t="str"/>
      <x:c r="AC37" s="376" t="str"/>
      <x:c r="AD37" s="376" t="str">
        <x:v>2026-07-23</x:v>
      </x:c>
      <x:c r="AE37" s="376" t="str">
        <x:v>Gluten-free and lactose-free accommodation must be reconfirmed directly; cross-contact is not assumed safe.</x:v>
      </x:c>
    </x:row>
    <x:row r="38">
      <x:c r="A38" s="278" t="str">
        <x:v>TO-034</x:v>
      </x:c>
      <x:c r="B38" s="278" t="str">
        <x:v>Tokyo</x:v>
      </x:c>
      <x:c r="C38" s="278" t="str">
        <x:v>Akasaka</x:v>
      </x:c>
      <x:c r="D38" s="278" t="str">
        <x:v>The Capitol Hotel Tokyu ORIGAMI</x:v>
      </x:c>
      <x:c r="E38" s="278" t="str">
        <x:v>Hotel Dining</x:v>
      </x:c>
      <x:c r="F38" s="278" t="str">
        <x:v>Hotel Dining</x:v>
      </x:c>
      <x:c r="G38" s="278" t="str">
        <x:v>Breakfast,Lunch,Dinner</x:v>
      </x:c>
      <x:c r="H38" s="278" t="str">
        <x:v>Yes</x:v>
      </x:c>
      <x:c r="I38" s="278" t="str">
        <x:v>Yes</x:v>
      </x:c>
      <x:c r="J38" s="278" t="str">
        <x:v>Yes</x:v>
      </x:c>
      <x:c r="K38" s="278" t="str">
        <x:v>No</x:v>
      </x:c>
      <x:c r="L38" s="376" t="str">
        <x:v>—</x:v>
      </x:c>
      <x:c r="M38" s="376" t="str">
        <x:v>Tabelog hotel dining</x:v>
      </x:c>
      <x:c r="N38" s="376" t="str">
        <x:v>Advance request recommended</x:v>
      </x:c>
      <x:c r="O38" s="376" t="str">
        <x:v>Advance request recommended</x:v>
      </x:c>
      <x:c r="P38" s="376" t="str">
        <x:v>¥¥¥</x:v>
      </x:c>
      <x:c r="Q38" s="376" t="str">
        <x:v>Recommended</x:v>
      </x:c>
      <x:c r="R38" s="376" t="str">
        <x:v>Japanese breakfast / comfort food</x:v>
      </x:c>
      <x:c r="S38" s="376" t="str">
        <x:v>Convenient near Akasaka; good fallback if hotel-based.</x:v>
      </x:c>
      <x:c r="T38" s="376" t="str">
        <x:v>Consider</x:v>
      </x:c>
      <x:c r="U38" s="376" t="str">
        <x:v>Research</x:v>
      </x:c>
      <x:c r="V38" s="376" t="str">
        <x:v>No</x:v>
      </x:c>
      <x:c r="W38" s="376" t="str">
        <x:v>Not booked</x:v>
      </x:c>
      <x:c r="X38" s="376" t="str">
        <x:v>Verify live</x:v>
      </x:c>
      <x:c r="Y38" s="376" t="str">
        <x:v>No</x:v>
      </x:c>
      <x:c r="Z38" s="376" t="str">
        <x:v>https://www.google.com/maps/search/?api=1&amp;query=The+Capitol+Hotel+Tokyu+ORIGAMI+Tokyo+Japan</x:v>
      </x:c>
      <x:c r="AA38" s="376" t="str">
        <x:v>https://tabelog.com/en/rstLst/?sk=The+Capitol+Hotel+Tokyu+ORIGAMI</x:v>
      </x:c>
      <x:c r="AB38" s="376" t="str"/>
      <x:c r="AC38" s="376" t="str"/>
      <x:c r="AD38" s="376" t="str">
        <x:v>2026-07-23</x:v>
      </x:c>
      <x:c r="AE38" s="376" t="str">
        <x:v>Gluten-free and lactose-free accommodation must be reconfirmed directly; cross-contact is not assumed safe.</x:v>
      </x:c>
    </x:row>
    <x:row r="39">
      <x:c r="A39" s="278" t="str">
        <x:v>TO-035</x:v>
      </x:c>
      <x:c r="B39" s="278" t="str">
        <x:v>Tokyo</x:v>
      </x:c>
      <x:c r="C39" s="278" t="str">
        <x:v>Ginza</x:v>
      </x:c>
      <x:c r="D39" s="278" t="str">
        <x:v>GINZA KOSO</x:v>
      </x:c>
      <x:c r="E39" s="278" t="str">
        <x:v>Wagyu / Beef</x:v>
      </x:c>
      <x:c r="F39" s="278" t="str">
        <x:v>Wagyu / Beef</x:v>
      </x:c>
      <x:c r="G39" s="278" t="str">
        <x:v>Lunch,Dinner</x:v>
      </x:c>
      <x:c r="H39" s="278" t="str">
        <x:v>No</x:v>
      </x:c>
      <x:c r="I39" s="278" t="str">
        <x:v>Yes</x:v>
      </x:c>
      <x:c r="J39" s="278" t="str">
        <x:v>Yes</x:v>
      </x:c>
      <x:c r="K39" s="278" t="str">
        <x:v>No</x:v>
      </x:c>
      <x:c r="L39" s="376" t="str">
        <x:v>—</x:v>
      </x:c>
      <x:c r="M39" s="376" t="str">
        <x:v>Tabelog popular</x:v>
      </x:c>
      <x:c r="N39" s="376" t="str">
        <x:v>Potentially adaptable; verify sauces</x:v>
      </x:c>
      <x:c r="O39" s="376" t="str">
        <x:v>Usually adaptable; omit butter</x:v>
      </x:c>
      <x:c r="P39" s="376" t="str">
        <x:v>¥¥¥</x:v>
      </x:c>
      <x:c r="Q39" s="376" t="str">
        <x:v>Recommended</x:v>
      </x:c>
      <x:c r="R39" s="376" t="str">
        <x:v>Wagyu dishes</x:v>
      </x:c>
      <x:c r="S39" s="376" t="str">
        <x:v>Ask for plain salt preparation.</x:v>
      </x:c>
      <x:c r="T39" s="376" t="str">
        <x:v>Consider</x:v>
      </x:c>
      <x:c r="U39" s="376" t="str">
        <x:v>Research</x:v>
      </x:c>
      <x:c r="V39" s="376" t="str">
        <x:v>No</x:v>
      </x:c>
      <x:c r="W39" s="376" t="str">
        <x:v>Not booked</x:v>
      </x:c>
      <x:c r="X39" s="376" t="str">
        <x:v>Verify live</x:v>
      </x:c>
      <x:c r="Y39" s="376" t="str">
        <x:v>No</x:v>
      </x:c>
      <x:c r="Z39" s="376" t="str">
        <x:v>https://www.google.com/maps/search/?api=1&amp;query=GINZA+KOSO+Tokyo+Japan</x:v>
      </x:c>
      <x:c r="AA39" s="376" t="str">
        <x:v>https://tabelog.com/en/rstLst/?sk=GINZA+KOSO</x:v>
      </x:c>
      <x:c r="AB39" s="376" t="str"/>
      <x:c r="AC39" s="376" t="str"/>
      <x:c r="AD39" s="376" t="str">
        <x:v>2026-07-23</x:v>
      </x:c>
      <x:c r="AE39" s="376" t="str">
        <x:v>Gluten-free and lactose-free accommodation must be reconfirmed directly; cross-contact is not assumed safe.</x:v>
      </x:c>
    </x:row>
    <x:row r="40">
      <x:c r="A40" s="278" t="str">
        <x:v>TO-036</x:v>
      </x:c>
      <x:c r="B40" s="278" t="str">
        <x:v>Tokyo</x:v>
      </x:c>
      <x:c r="C40" s="278" t="str">
        <x:v>Ebisu</x:v>
      </x:c>
      <x:c r="D40" s="278" t="str">
        <x:v>Peter Luger Tokyo</x:v>
      </x:c>
      <x:c r="E40" s="278" t="str">
        <x:v>Steakhouse</x:v>
      </x:c>
      <x:c r="F40" s="278" t="str">
        <x:v>Steakhouse</x:v>
      </x:c>
      <x:c r="G40" s="278" t="str">
        <x:v>Lunch,Dinner</x:v>
      </x:c>
      <x:c r="H40" s="278" t="str">
        <x:v>No</x:v>
      </x:c>
      <x:c r="I40" s="278" t="str">
        <x:v>Yes</x:v>
      </x:c>
      <x:c r="J40" s="278" t="str">
        <x:v>Yes</x:v>
      </x:c>
      <x:c r="K40" s="278" t="str">
        <x:v>No</x:v>
      </x:c>
      <x:c r="L40" s="376" t="str">
        <x:v>—</x:v>
      </x:c>
      <x:c r="M40" s="376" t="str">
        <x:v>Tabelog popular</x:v>
      </x:c>
      <x:c r="N40" s="376" t="str">
        <x:v>Steak adaptable; verify seasoning/sides</x:v>
      </x:c>
      <x:c r="O40" s="376" t="str">
        <x:v>Omit butter/cream</x:v>
      </x:c>
      <x:c r="P40" s="376" t="str">
        <x:v>¥¥¥¥</x:v>
      </x:c>
      <x:c r="Q40" s="376" t="str">
        <x:v>Required</x:v>
      </x:c>
      <x:c r="R40" s="376" t="str">
        <x:v>Steak</x:v>
      </x:c>
      <x:c r="S40" s="376" t="str">
        <x:v>Not uniquely Japanese, but dietary adaptation may be easier.</x:v>
      </x:c>
      <x:c r="T40" s="376" t="str">
        <x:v>Consider</x:v>
      </x:c>
      <x:c r="U40" s="376" t="str">
        <x:v>Research</x:v>
      </x:c>
      <x:c r="V40" s="376" t="str">
        <x:v>No</x:v>
      </x:c>
      <x:c r="W40" s="376" t="str">
        <x:v>Not booked</x:v>
      </x:c>
      <x:c r="X40" s="376" t="str">
        <x:v>Verify live</x:v>
      </x:c>
      <x:c r="Y40" s="376" t="str">
        <x:v>No</x:v>
      </x:c>
      <x:c r="Z40" s="376" t="str">
        <x:v>https://www.google.com/maps/search/?api=1&amp;query=Peter+Luger+Tokyo+Tokyo+Japan</x:v>
      </x:c>
      <x:c r="AA40" s="376" t="str">
        <x:v>https://tabelog.com/en/rstLst/?sk=Peter+Luger+Tokyo</x:v>
      </x:c>
      <x:c r="AB40" s="376" t="str"/>
      <x:c r="AC40" s="376" t="str"/>
      <x:c r="AD40" s="376" t="str">
        <x:v>2026-07-23</x:v>
      </x:c>
      <x:c r="AE40" s="376" t="str">
        <x:v>Gluten-free and lactose-free accommodation must be reconfirmed directly; cross-contact is not assumed safe.</x:v>
      </x:c>
    </x:row>
    <x:row r="41">
      <x:c r="A41" s="278" t="str">
        <x:v>TO-037</x:v>
      </x:c>
      <x:c r="B41" s="278" t="str">
        <x:v>Tokyo</x:v>
      </x:c>
      <x:c r="C41" s="278" t="str">
        <x:v>Shibuya</x:v>
      </x:c>
      <x:c r="D41" s="278" t="str">
        <x:v>The Bellwood</x:v>
      </x:c>
      <x:c r="E41" s="278" t="str">
        <x:v>Bar food</x:v>
      </x:c>
      <x:c r="F41" s="278" t="str">
        <x:v>Bar food</x:v>
      </x:c>
      <x:c r="G41" s="278" t="str">
        <x:v>Dinner</x:v>
      </x:c>
      <x:c r="H41" s="278" t="str">
        <x:v>No</x:v>
      </x:c>
      <x:c r="I41" s="278" t="str">
        <x:v>No</x:v>
      </x:c>
      <x:c r="J41" s="278" t="str">
        <x:v>Yes</x:v>
      </x:c>
      <x:c r="K41" s="278" t="str">
        <x:v>No</x:v>
      </x:c>
      <x:c r="L41" s="376" t="str">
        <x:v>MICHELIN Guide selection</x:v>
      </x:c>
      <x:c r="M41" s="376" t="str">
        <x:v>Tabelog highly rated</x:v>
      </x:c>
      <x:c r="N41" s="376" t="str">
        <x:v>Confirm dish by dish</x:v>
      </x:c>
      <x:c r="O41" s="376" t="str">
        <x:v>Confirm dish by dish</x:v>
      </x:c>
      <x:c r="P41" s="376" t="str">
        <x:v>¥¥¥</x:v>
      </x:c>
      <x:c r="Q41" s="376" t="str">
        <x:v>Recommended</x:v>
      </x:c>
      <x:c r="R41" s="376" t="str">
        <x:v>Cocktails + creative bites</x:v>
      </x:c>
      <x:c r="S41" s="376" t="str">
        <x:v>Late-night option; not a strict dietary anchor.</x:v>
      </x:c>
      <x:c r="T41" s="376" t="str">
        <x:v>Consider</x:v>
      </x:c>
      <x:c r="U41" s="376" t="str">
        <x:v>Research</x:v>
      </x:c>
      <x:c r="V41" s="376" t="str">
        <x:v>No</x:v>
      </x:c>
      <x:c r="W41" s="376" t="str">
        <x:v>Not booked</x:v>
      </x:c>
      <x:c r="X41" s="376" t="str">
        <x:v>Verify live</x:v>
      </x:c>
      <x:c r="Y41" s="376" t="str">
        <x:v>No</x:v>
      </x:c>
      <x:c r="Z41" s="376" t="str">
        <x:v>https://www.google.com/maps/search/?api=1&amp;query=The+Bellwood+Tokyo+Japan</x:v>
      </x:c>
      <x:c r="AA41" s="376" t="str">
        <x:v>https://tabelog.com/en/rstLst/?sk=The+Bellwood</x:v>
      </x:c>
      <x:c r="AB41" s="376" t="str">
        <x:v>https://guide.michelin.com/us/en/tokyo-region/tokyo/restaurants</x:v>
      </x:c>
      <x:c r="AC41" s="376" t="str"/>
      <x:c r="AD41" s="376" t="str">
        <x:v>2026-07-23</x:v>
      </x:c>
      <x:c r="AE41" s="376" t="str">
        <x:v>Gluten-free and lactose-free accommodation must be reconfirmed directly; cross-contact is not assumed safe.</x:v>
      </x:c>
    </x:row>
    <x:row r="42">
      <x:c r="A42" s="278" t="str">
        <x:v>TO-038</x:v>
      </x:c>
      <x:c r="B42" s="278" t="str">
        <x:v>Tokyo</x:v>
      </x:c>
      <x:c r="C42" s="278" t="str">
        <x:v>Asakusa</x:v>
      </x:c>
      <x:c r="D42" s="278" t="str">
        <x:v>grill GRAND</x:v>
      </x:c>
      <x:c r="E42" s="278" t="str">
        <x:v>Yoshoku</x:v>
      </x:c>
      <x:c r="F42" s="278" t="str">
        <x:v>Yoshoku</x:v>
      </x:c>
      <x:c r="G42" s="278" t="str">
        <x:v>Lunch,Dinner</x:v>
      </x:c>
      <x:c r="H42" s="278" t="str">
        <x:v>No</x:v>
      </x:c>
      <x:c r="I42" s="278" t="str">
        <x:v>Yes</x:v>
      </x:c>
      <x:c r="J42" s="278" t="str">
        <x:v>Yes</x:v>
      </x:c>
      <x:c r="K42" s="278" t="str">
        <x:v>No</x:v>
      </x:c>
      <x:c r="L42" s="376" t="str">
        <x:v>Bib Gourmand / MICHELIN Guide</x:v>
      </x:c>
      <x:c r="M42" s="376" t="str">
        <x:v>Tabelog popular</x:v>
      </x:c>
      <x:c r="N42" s="376" t="str">
        <x:v>Usually difficult GF</x:v>
      </x:c>
      <x:c r="O42" s="376" t="str">
        <x:v>Dairy likely; ask</x:v>
      </x:c>
      <x:c r="P42" s="376" t="str">
        <x:v>¥¥</x:v>
      </x:c>
      <x:c r="Q42" s="376" t="str">
        <x:v>Queue/Recommended</x:v>
      </x:c>
      <x:c r="R42" s="376" t="str">
        <x:v>Omurice / stew</x:v>
      </x:c>
      <x:c r="S42" s="376" t="str">
        <x:v>Included for group options; not ideal for restrictions.</x:v>
      </x:c>
      <x:c r="T42" s="376" t="str">
        <x:v>Consider</x:v>
      </x:c>
      <x:c r="U42" s="376" t="str">
        <x:v>Research</x:v>
      </x:c>
      <x:c r="V42" s="376" t="str">
        <x:v>No</x:v>
      </x:c>
      <x:c r="W42" s="376" t="str">
        <x:v>Not booked</x:v>
      </x:c>
      <x:c r="X42" s="376" t="str">
        <x:v>Verify live</x:v>
      </x:c>
      <x:c r="Y42" s="376" t="str">
        <x:v>No</x:v>
      </x:c>
      <x:c r="Z42" s="376" t="str">
        <x:v>https://www.google.com/maps/search/?api=1&amp;query=grill+GRAND+Tokyo+Japan</x:v>
      </x:c>
      <x:c r="AA42" s="376" t="str">
        <x:v>https://tabelog.com/en/rstLst/?sk=grill+GRAND</x:v>
      </x:c>
      <x:c r="AB42" s="376" t="str">
        <x:v>https://guide.michelin.com/us/en/tokyo-region/tokyo/restaurants</x:v>
      </x:c>
      <x:c r="AC42" s="376" t="str"/>
      <x:c r="AD42" s="376" t="str">
        <x:v>2026-07-23</x:v>
      </x:c>
      <x:c r="AE42" s="376" t="str">
        <x:v>Gluten-free and lactose-free accommodation must be reconfirmed directly; cross-contact is not assumed safe.</x:v>
      </x:c>
    </x:row>
    <x:row r="43">
      <x:c r="A43" s="278" t="str">
        <x:v>TO-039</x:v>
      </x:c>
      <x:c r="B43" s="278" t="str">
        <x:v>Tokyo</x:v>
      </x:c>
      <x:c r="C43" s="278" t="str">
        <x:v>Kanda</x:v>
      </x:c>
      <x:c r="D43" s="278" t="str">
        <x:v>Kanda Matsuya</x:v>
      </x:c>
      <x:c r="E43" s="278" t="str">
        <x:v>Soba</x:v>
      </x:c>
      <x:c r="F43" s="278" t="str">
        <x:v>Soba</x:v>
      </x:c>
      <x:c r="G43" s="278" t="str">
        <x:v>Lunch,Dinner</x:v>
      </x:c>
      <x:c r="H43" s="278" t="str">
        <x:v>No</x:v>
      </x:c>
      <x:c r="I43" s="278" t="str">
        <x:v>Yes</x:v>
      </x:c>
      <x:c r="J43" s="278" t="str">
        <x:v>Yes</x:v>
      </x:c>
      <x:c r="K43" s="278" t="str">
        <x:v>No</x:v>
      </x:c>
      <x:c r="L43" s="376" t="str">
        <x:v>MICHELIN Guide selection</x:v>
      </x:c>
      <x:c r="M43" s="376" t="str">
        <x:v>Tabelog classic</x:v>
      </x:c>
      <x:c r="N43" s="376" t="str">
        <x:v>Soba may contain wheat; ask about 100% buckwheat</x:v>
      </x:c>
      <x:c r="O43" s="376" t="str">
        <x:v>Usually dairy-free</x:v>
      </x:c>
      <x:c r="P43" s="376" t="str">
        <x:v>¥¥</x:v>
      </x:c>
      <x:c r="Q43" s="376" t="str">
        <x:v>Queue</x:v>
      </x:c>
      <x:c r="R43" s="376" t="str">
        <x:v>Soba</x:v>
      </x:c>
      <x:c r="S43" s="376" t="str">
        <x:v>Do not assume soba is gluten-free.</x:v>
      </x:c>
      <x:c r="T43" s="376" t="str">
        <x:v>Consider</x:v>
      </x:c>
      <x:c r="U43" s="376" t="str">
        <x:v>Research</x:v>
      </x:c>
      <x:c r="V43" s="376" t="str">
        <x:v>No</x:v>
      </x:c>
      <x:c r="W43" s="376" t="str">
        <x:v>Not booked</x:v>
      </x:c>
      <x:c r="X43" s="376" t="str">
        <x:v>Verify live</x:v>
      </x:c>
      <x:c r="Y43" s="376" t="str">
        <x:v>No</x:v>
      </x:c>
      <x:c r="Z43" s="376" t="str">
        <x:v>https://www.google.com/maps/search/?api=1&amp;query=Kanda+Matsuya+Tokyo+Japan</x:v>
      </x:c>
      <x:c r="AA43" s="376" t="str">
        <x:v>https://tabelog.com/en/rstLst/?sk=Kanda+Matsuya</x:v>
      </x:c>
      <x:c r="AB43" s="376" t="str">
        <x:v>https://guide.michelin.com/us/en/tokyo-region/tokyo/restaurants</x:v>
      </x:c>
      <x:c r="AC43" s="376" t="str"/>
      <x:c r="AD43" s="376" t="str">
        <x:v>2026-07-23</x:v>
      </x:c>
      <x:c r="AE43" s="376" t="str">
        <x:v>Gluten-free and lactose-free accommodation must be reconfirmed directly; cross-contact is not assumed safe.</x:v>
      </x:c>
    </x:row>
    <x:row r="44">
      <x:c r="A44" s="278" t="str">
        <x:v>TO-040</x:v>
      </x:c>
      <x:c r="B44" s="278" t="str">
        <x:v>Tokyo</x:v>
      </x:c>
      <x:c r="C44" s="278" t="str">
        <x:v>Shinjuku</x:v>
      </x:c>
      <x:c r="D44" s="278" t="str">
        <x:v>Omoide Yokocho yakitori stalls</x:v>
      </x:c>
      <x:c r="E44" s="278" t="str">
        <x:v>Yakitori / Izakaya</x:v>
      </x:c>
      <x:c r="F44" s="278" t="str">
        <x:v>Yakitori / Izakaya</x:v>
      </x:c>
      <x:c r="G44" s="278" t="str">
        <x:v>Dinner</x:v>
      </x:c>
      <x:c r="H44" s="278" t="str">
        <x:v>No</x:v>
      </x:c>
      <x:c r="I44" s="278" t="str">
        <x:v>No</x:v>
      </x:c>
      <x:c r="J44" s="278" t="str">
        <x:v>Yes</x:v>
      </x:c>
      <x:c r="K44" s="278" t="str">
        <x:v>No</x:v>
      </x:c>
      <x:c r="L44" s="376" t="str">
        <x:v>—</x:v>
      </x:c>
      <x:c r="M44" s="376" t="str">
        <x:v>Tabelog area research</x:v>
      </x:c>
      <x:c r="N44" s="376" t="str">
        <x:v>Choose salt-grilled items; cross-contact possible</x:v>
      </x:c>
      <x:c r="O44" s="376" t="str">
        <x:v>Usually low dairy</x:v>
      </x:c>
      <x:c r="P44" s="376" t="str">
        <x:v>¥-¥¥</x:v>
      </x:c>
      <x:c r="Q44" s="376" t="str">
        <x:v>No</x:v>
      </x:c>
      <x:c r="R44" s="376" t="str">
        <x:v>Shio yakitori</x:v>
      </x:c>
      <x:c r="S44" s="376" t="str">
        <x:v>Atmospheric but communication/cross-contact can be challenging.</x:v>
      </x:c>
      <x:c r="T44" s="376" t="str">
        <x:v>Group option</x:v>
      </x:c>
      <x:c r="U44" s="376" t="str">
        <x:v>Research</x:v>
      </x:c>
      <x:c r="V44" s="376" t="str">
        <x:v>No</x:v>
      </x:c>
      <x:c r="W44" s="376" t="str">
        <x:v>Not booked</x:v>
      </x:c>
      <x:c r="X44" s="376" t="str">
        <x:v>Verify live</x:v>
      </x:c>
      <x:c r="Y44" s="376" t="str">
        <x:v>No</x:v>
      </x:c>
      <x:c r="Z44" s="376" t="str">
        <x:v>https://www.google.com/maps/search/?api=1&amp;query=Omoide+Yokocho+yakitori+stalls+Tokyo+Japan</x:v>
      </x:c>
      <x:c r="AA44" s="376" t="str">
        <x:v>https://tabelog.com/en/rstLst/?sk=Omoide+Yokocho+yakitori+stalls</x:v>
      </x:c>
      <x:c r="AB44" s="376" t="str"/>
      <x:c r="AC44" s="376" t="str"/>
      <x:c r="AD44" s="376" t="str">
        <x:v>2026-07-23</x:v>
      </x:c>
      <x:c r="AE44" s="376" t="str">
        <x:v>Gluten-free and lactose-free accommodation must be reconfirmed directly; cross-contact is not assumed safe.</x:v>
      </x:c>
    </x:row>
    <x:row r="45">
      <x:c r="A45" s="278" t="str">
        <x:v>TO-041</x:v>
      </x:c>
      <x:c r="B45" s="278" t="str">
        <x:v>Tokyo</x:v>
      </x:c>
      <x:c r="C45" s="278" t="str">
        <x:v>Roppongi</x:v>
      </x:c>
      <x:c r="D45" s="278" t="str">
        <x:v>Tsurutontan Roppongi</x:v>
      </x:c>
      <x:c r="E45" s="278" t="str">
        <x:v>Udon</x:v>
      </x:c>
      <x:c r="F45" s="278" t="str">
        <x:v>Udon</x:v>
      </x:c>
      <x:c r="G45" s="278" t="str">
        <x:v>Lunch,Dinner,Late Night</x:v>
      </x:c>
      <x:c r="H45" s="278" t="str">
        <x:v>No</x:v>
      </x:c>
      <x:c r="I45" s="278" t="str">
        <x:v>Yes</x:v>
      </x:c>
      <x:c r="J45" s="278" t="str">
        <x:v>Yes</x:v>
      </x:c>
      <x:c r="K45" s="278" t="str">
        <x:v>No</x:v>
      </x:c>
      <x:c r="L45" s="376" t="str">
        <x:v>—</x:v>
      </x:c>
      <x:c r="M45" s="376" t="str">
        <x:v>Tabelog popular</x:v>
      </x:c>
      <x:c r="N45" s="376" t="str">
        <x:v>Not GF</x:v>
      </x:c>
      <x:c r="O45" s="376" t="str">
        <x:v>Many dishes dairy-free</x:v>
      </x:c>
      <x:c r="P45" s="376" t="str">
        <x:v>¥¥</x:v>
      </x:c>
      <x:c r="Q45" s="376" t="str">
        <x:v>Queue</x:v>
      </x:c>
      <x:c r="R45" s="376" t="str">
        <x:v>Udon</x:v>
      </x:c>
      <x:c r="S45" s="376" t="str">
        <x:v>Useful late-night group option; not GF.</x:v>
      </x:c>
      <x:c r="T45" s="376" t="str">
        <x:v>Group option</x:v>
      </x:c>
      <x:c r="U45" s="376" t="str">
        <x:v>Research</x:v>
      </x:c>
      <x:c r="V45" s="376" t="str">
        <x:v>No</x:v>
      </x:c>
      <x:c r="W45" s="376" t="str">
        <x:v>Not booked</x:v>
      </x:c>
      <x:c r="X45" s="376" t="str">
        <x:v>Verify live</x:v>
      </x:c>
      <x:c r="Y45" s="376" t="str">
        <x:v>No</x:v>
      </x:c>
      <x:c r="Z45" s="376" t="str">
        <x:v>https://www.google.com/maps/search/?api=1&amp;query=Tsurutontan+Roppongi+Tokyo+Japan</x:v>
      </x:c>
      <x:c r="AA45" s="376" t="str">
        <x:v>https://tabelog.com/en/rstLst/?sk=Tsurutontan+Roppongi</x:v>
      </x:c>
      <x:c r="AB45" s="376" t="str"/>
      <x:c r="AC45" s="376" t="str"/>
      <x:c r="AD45" s="376" t="str">
        <x:v>2026-07-23</x:v>
      </x:c>
      <x:c r="AE45" s="376" t="str">
        <x:v>Gluten-free and lactose-free accommodation must be reconfirmed directly; cross-contact is not assumed safe.</x:v>
      </x:c>
    </x:row>
    <x:row r="46">
      <x:c r="A46" s="278" t="str">
        <x:v>TO-042</x:v>
      </x:c>
      <x:c r="B46" s="278" t="str">
        <x:v>Tokyo</x:v>
      </x:c>
      <x:c r="C46" s="278" t="str">
        <x:v>Tokyo Station</x:v>
      </x:c>
      <x:c r="D46" s="278" t="str">
        <x:v>Eric South Yaesu</x:v>
      </x:c>
      <x:c r="E46" s="278" t="str">
        <x:v>South Indian</x:v>
      </x:c>
      <x:c r="F46" s="278" t="str">
        <x:v>South Indian</x:v>
      </x:c>
      <x:c r="G46" s="278" t="str">
        <x:v>Lunch,Dinner</x:v>
      </x:c>
      <x:c r="H46" s="278" t="str">
        <x:v>No</x:v>
      </x:c>
      <x:c r="I46" s="278" t="str">
        <x:v>Yes</x:v>
      </x:c>
      <x:c r="J46" s="278" t="str">
        <x:v>Yes</x:v>
      </x:c>
      <x:c r="K46" s="278" t="str">
        <x:v>No</x:v>
      </x:c>
      <x:c r="L46" s="376" t="str">
        <x:v>Bib Gourmand / MICHELIN Guide</x:v>
      </x:c>
      <x:c r="M46" s="376" t="str">
        <x:v>Tabelog popular</x:v>
      </x:c>
      <x:c r="N46" s="376" t="str">
        <x:v>Many rice-based dishes; verify kitchen</x:v>
      </x:c>
      <x:c r="O46" s="376" t="str">
        <x:v>Often lactose-free choices; ask about ghee/yogurt</x:v>
      </x:c>
      <x:c r="P46" s="376" t="str">
        <x:v>¥¥</x:v>
      </x:c>
      <x:c r="Q46" s="376" t="str">
        <x:v>Queue</x:v>
      </x:c>
      <x:c r="R46" s="376" t="str">
        <x:v>Meals / curry set</x:v>
      </x:c>
      <x:c r="S46" s="376" t="str">
        <x:v>Potentially strong casual option if ghee and cross-contact are clarified.</x:v>
      </x:c>
      <x:c r="T46" s="376" t="str">
        <x:v>Top pick</x:v>
      </x:c>
      <x:c r="U46" s="376" t="str">
        <x:v>Research</x:v>
      </x:c>
      <x:c r="V46" s="376" t="str">
        <x:v>No</x:v>
      </x:c>
      <x:c r="W46" s="376" t="str">
        <x:v>Not booked</x:v>
      </x:c>
      <x:c r="X46" s="376" t="str">
        <x:v>Verify live</x:v>
      </x:c>
      <x:c r="Y46" s="376" t="str">
        <x:v>No</x:v>
      </x:c>
      <x:c r="Z46" s="376" t="str">
        <x:v>https://www.google.com/maps/search/?api=1&amp;query=Eric+South+Yaesu+Tokyo+Japan</x:v>
      </x:c>
      <x:c r="AA46" s="376" t="str">
        <x:v>https://tabelog.com/en/rstLst/?sk=Eric+South+Yaesu</x:v>
      </x:c>
      <x:c r="AB46" s="376" t="str">
        <x:v>https://guide.michelin.com/us/en/tokyo-region/tokyo/restaurants</x:v>
      </x:c>
      <x:c r="AC46" s="376" t="str"/>
      <x:c r="AD46" s="376" t="str">
        <x:v>2026-07-23</x:v>
      </x:c>
      <x:c r="AE46" s="376" t="str">
        <x:v>Gluten-free and lactose-free accommodation must be reconfirmed directly; cross-contact is not assumed safe.</x:v>
      </x:c>
    </x:row>
    <x:row r="47">
      <x:c r="A47" s="278" t="str">
        <x:v>KY-043</x:v>
      </x:c>
      <x:c r="B47" s="278" t="str">
        <x:v>Kyoto</x:v>
      </x:c>
      <x:c r="C47" s="278" t="str">
        <x:v>Nanzenji</x:v>
      </x:c>
      <x:c r="D47" s="278" t="str">
        <x:v>Hyotei</x:v>
      </x:c>
      <x:c r="E47" s="278" t="str">
        <x:v>Kaiseki</x:v>
      </x:c>
      <x:c r="F47" s="278" t="str">
        <x:v>Kaiseki / Breakfast</x:v>
      </x:c>
      <x:c r="G47" s="278" t="str">
        <x:v>Breakfast,Lunch,Dinner</x:v>
      </x:c>
      <x:c r="H47" s="278" t="str">
        <x:v>Yes</x:v>
      </x:c>
      <x:c r="I47" s="278" t="str">
        <x:v>Yes</x:v>
      </x:c>
      <x:c r="J47" s="278" t="str">
        <x:v>Yes</x:v>
      </x:c>
      <x:c r="K47" s="278" t="str">
        <x:v>No</x:v>
      </x:c>
      <x:c r="L47" s="376" t="str">
        <x:v>3★ / MICHELIN Guide</x:v>
      </x:c>
      <x:c r="M47" s="376" t="str">
        <x:v>Tabelog highly rated</x:v>
      </x:c>
      <x:c r="N47" s="376" t="str">
        <x:v>Confirm before booking</x:v>
      </x:c>
      <x:c r="O47" s="376" t="str">
        <x:v>Confirm before booking</x:v>
      </x:c>
      <x:c r="P47" s="376" t="str">
        <x:v>¥¥¥¥</x:v>
      </x:c>
      <x:c r="Q47" s="376" t="str">
        <x:v>Required</x:v>
      </x:c>
      <x:c r="R47" s="376" t="str">
        <x:v>Traditional breakfast or kaiseki</x:v>
      </x:c>
      <x:c r="S47" s="376" t="str">
        <x:v>Historic choice; breakfast is especially distinctive.</x:v>
      </x:c>
      <x:c r="T47" s="376" t="str">
        <x:v>Bucket list</x:v>
      </x:c>
      <x:c r="U47" s="376" t="str">
        <x:v>Research</x:v>
      </x:c>
      <x:c r="V47" s="376" t="str">
        <x:v>No</x:v>
      </x:c>
      <x:c r="W47" s="376" t="str">
        <x:v>Not booked</x:v>
      </x:c>
      <x:c r="X47" s="376" t="str">
        <x:v>Verify live</x:v>
      </x:c>
      <x:c r="Y47" s="376" t="str">
        <x:v>Yes</x:v>
      </x:c>
      <x:c r="Z47" s="376" t="str">
        <x:v>https://www.google.com/maps/search/?api=1&amp;query=Hyotei+Kyoto+Japan</x:v>
      </x:c>
      <x:c r="AA47" s="376" t="str">
        <x:v>https://tabelog.com/en/rstLst/?sk=Hyotei</x:v>
      </x:c>
      <x:c r="AB47" s="376" t="str">
        <x:v>https://guide.michelin.com/us/en/kyoto-region/restaurants</x:v>
      </x:c>
      <x:c r="AC47" s="376" t="str"/>
      <x:c r="AD47" s="376" t="str">
        <x:v>2026-07-23</x:v>
      </x:c>
      <x:c r="AE47" s="376" t="str">
        <x:v>Gluten-free and lactose-free accommodation must be reconfirmed directly; cross-contact is not assumed safe.</x:v>
      </x:c>
    </x:row>
    <x:row r="48">
      <x:c r="A48" s="278" t="str">
        <x:v>KY-044</x:v>
      </x:c>
      <x:c r="B48" s="278" t="str">
        <x:v>Kyoto</x:v>
      </x:c>
      <x:c r="C48" s="278" t="str">
        <x:v>Higashiyama</x:v>
      </x:c>
      <x:c r="D48" s="278" t="str">
        <x:v>Kikunoi Honten</x:v>
      </x:c>
      <x:c r="E48" s="278" t="str">
        <x:v>Kaiseki</x:v>
      </x:c>
      <x:c r="F48" s="278" t="str">
        <x:v>Kaiseki</x:v>
      </x:c>
      <x:c r="G48" s="278" t="str">
        <x:v>Lunch,Dinner</x:v>
      </x:c>
      <x:c r="H48" s="278" t="str">
        <x:v>No</x:v>
      </x:c>
      <x:c r="I48" s="278" t="str">
        <x:v>Yes</x:v>
      </x:c>
      <x:c r="J48" s="278" t="str">
        <x:v>Yes</x:v>
      </x:c>
      <x:c r="K48" s="278" t="str">
        <x:v>No</x:v>
      </x:c>
      <x:c r="L48" s="376" t="str">
        <x:v>3★ / MICHELIN Guide</x:v>
      </x:c>
      <x:c r="M48" s="376" t="str">
        <x:v>Tabelog highly rated</x:v>
      </x:c>
      <x:c r="N48" s="376" t="str">
        <x:v>Confirm before booking</x:v>
      </x:c>
      <x:c r="O48" s="376" t="str">
        <x:v>Confirm before booking</x:v>
      </x:c>
      <x:c r="P48" s="376" t="str">
        <x:v>¥¥¥¥</x:v>
      </x:c>
      <x:c r="Q48" s="376" t="str">
        <x:v>Required</x:v>
      </x:c>
      <x:c r="R48" s="376" t="str">
        <x:v>Kaiseki</x:v>
      </x:c>
      <x:c r="S48" s="376" t="str">
        <x:v>Dietary changes must be arranged before booking.</x:v>
      </x:c>
      <x:c r="T48" s="376" t="str">
        <x:v>Bucket list</x:v>
      </x:c>
      <x:c r="U48" s="376" t="str">
        <x:v>Research</x:v>
      </x:c>
      <x:c r="V48" s="376" t="str">
        <x:v>No</x:v>
      </x:c>
      <x:c r="W48" s="376" t="str">
        <x:v>Not booked</x:v>
      </x:c>
      <x:c r="X48" s="376" t="str">
        <x:v>Verify live</x:v>
      </x:c>
      <x:c r="Y48" s="376" t="str">
        <x:v>No</x:v>
      </x:c>
      <x:c r="Z48" s="376" t="str">
        <x:v>https://www.google.com/maps/search/?api=1&amp;query=Kikunoi+Honten+Kyoto+Japan</x:v>
      </x:c>
      <x:c r="AA48" s="376" t="str">
        <x:v>https://tabelog.com/en/rstLst/?sk=Kikunoi+Honten</x:v>
      </x:c>
      <x:c r="AB48" s="376" t="str">
        <x:v>https://guide.michelin.com/us/en/kyoto-region/restaurants</x:v>
      </x:c>
      <x:c r="AC48" s="376" t="str"/>
      <x:c r="AD48" s="376" t="str">
        <x:v>2026-07-23</x:v>
      </x:c>
      <x:c r="AE48" s="376" t="str">
        <x:v>Gluten-free and lactose-free accommodation must be reconfirmed directly; cross-contact is not assumed safe.</x:v>
      </x:c>
    </x:row>
    <x:row r="49">
      <x:c r="A49" s="278" t="str">
        <x:v>KY-045</x:v>
      </x:c>
      <x:c r="B49" s="278" t="str">
        <x:v>Kyoto</x:v>
      </x:c>
      <x:c r="C49" s="278" t="str">
        <x:v>Gion</x:v>
      </x:c>
      <x:c r="D49" s="278" t="str">
        <x:v>Gion Sasaki</x:v>
      </x:c>
      <x:c r="E49" s="278" t="str">
        <x:v>Japanese</x:v>
      </x:c>
      <x:c r="F49" s="278" t="str">
        <x:v>Japanese</x:v>
      </x:c>
      <x:c r="G49" s="278" t="str">
        <x:v>Dinner</x:v>
      </x:c>
      <x:c r="H49" s="278" t="str">
        <x:v>No</x:v>
      </x:c>
      <x:c r="I49" s="278" t="str">
        <x:v>No</x:v>
      </x:c>
      <x:c r="J49" s="278" t="str">
        <x:v>Yes</x:v>
      </x:c>
      <x:c r="K49" s="278" t="str">
        <x:v>No</x:v>
      </x:c>
      <x:c r="L49" s="376" t="str">
        <x:v>3★ / MICHELIN Guide</x:v>
      </x:c>
      <x:c r="M49" s="376" t="str">
        <x:v>Tabelog highly rated</x:v>
      </x:c>
      <x:c r="N49" s="376" t="str">
        <x:v>Confirm before booking</x:v>
      </x:c>
      <x:c r="O49" s="376" t="str">
        <x:v>Confirm before booking</x:v>
      </x:c>
      <x:c r="P49" s="376" t="str">
        <x:v>¥¥¥¥</x:v>
      </x:c>
      <x:c r="Q49" s="376" t="str">
        <x:v>Required</x:v>
      </x:c>
      <x:c r="R49" s="376" t="str">
        <x:v>Chef's menu</x:v>
      </x:c>
      <x:c r="S49" s="376" t="str">
        <x:v>High-energy counter experience.</x:v>
      </x:c>
      <x:c r="T49" s="376" t="str">
        <x:v>Bucket list</x:v>
      </x:c>
      <x:c r="U49" s="376" t="str">
        <x:v>Research</x:v>
      </x:c>
      <x:c r="V49" s="376" t="str">
        <x:v>No</x:v>
      </x:c>
      <x:c r="W49" s="376" t="str">
        <x:v>Not booked</x:v>
      </x:c>
      <x:c r="X49" s="376" t="str">
        <x:v>Verify live</x:v>
      </x:c>
      <x:c r="Y49" s="376" t="str">
        <x:v>No</x:v>
      </x:c>
      <x:c r="Z49" s="376" t="str">
        <x:v>https://www.google.com/maps/search/?api=1&amp;query=Gion+Sasaki+Kyoto+Japan</x:v>
      </x:c>
      <x:c r="AA49" s="376" t="str">
        <x:v>https://tabelog.com/en/rstLst/?sk=Gion+Sasaki</x:v>
      </x:c>
      <x:c r="AB49" s="376" t="str">
        <x:v>https://guide.michelin.com/us/en/kyoto-region/restaurants</x:v>
      </x:c>
      <x:c r="AC49" s="376" t="str"/>
      <x:c r="AD49" s="376" t="str">
        <x:v>2026-07-23</x:v>
      </x:c>
      <x:c r="AE49" s="376" t="str">
        <x:v>Gluten-free and lactose-free accommodation must be reconfirmed directly; cross-contact is not assumed safe.</x:v>
      </x:c>
    </x:row>
    <x:row r="50">
      <x:c r="A50" s="278" t="str">
        <x:v>KY-046</x:v>
      </x:c>
      <x:c r="B50" s="278" t="str">
        <x:v>Kyoto</x:v>
      </x:c>
      <x:c r="C50" s="278" t="str">
        <x:v>Nakagyo</x:v>
      </x:c>
      <x:c r="D50" s="278" t="str">
        <x:v>Jiki Miyazawa</x:v>
      </x:c>
      <x:c r="E50" s="278" t="str">
        <x:v>Kaiseki</x:v>
      </x:c>
      <x:c r="F50" s="278" t="str">
        <x:v>Kaiseki</x:v>
      </x:c>
      <x:c r="G50" s="278" t="str">
        <x:v>Lunch,Dinner</x:v>
      </x:c>
      <x:c r="H50" s="278" t="str">
        <x:v>No</x:v>
      </x:c>
      <x:c r="I50" s="278" t="str">
        <x:v>Yes</x:v>
      </x:c>
      <x:c r="J50" s="278" t="str">
        <x:v>Yes</x:v>
      </x:c>
      <x:c r="K50" s="278" t="str">
        <x:v>No</x:v>
      </x:c>
      <x:c r="L50" s="376" t="str">
        <x:v>1★ / MICHELIN Guide</x:v>
      </x:c>
      <x:c r="M50" s="376" t="str">
        <x:v>Tabelog highly rated</x:v>
      </x:c>
      <x:c r="N50" s="376" t="str">
        <x:v>Good candidate with advance confirmation</x:v>
      </x:c>
      <x:c r="O50" s="376" t="str">
        <x:v>Good candidate with advance confirmation</x:v>
      </x:c>
      <x:c r="P50" s="376" t="str">
        <x:v>¥¥¥¥</x:v>
      </x:c>
      <x:c r="Q50" s="376" t="str">
        <x:v>Required</x:v>
      </x:c>
      <x:c r="R50" s="376" t="str">
        <x:v>Seasonal kaiseki</x:v>
      </x:c>
      <x:c r="S50" s="376" t="str">
        <x:v>One of the strongest first kaiseki candidates.</x:v>
      </x:c>
      <x:c r="T50" s="376" t="str">
        <x:v>Top pick</x:v>
      </x:c>
      <x:c r="U50" s="376" t="str">
        <x:v>Research</x:v>
      </x:c>
      <x:c r="V50" s="376" t="str">
        <x:v>No</x:v>
      </x:c>
      <x:c r="W50" s="376" t="str">
        <x:v>Not booked</x:v>
      </x:c>
      <x:c r="X50" s="376" t="str">
        <x:v>Verify live</x:v>
      </x:c>
      <x:c r="Y50" s="376" t="str">
        <x:v>No</x:v>
      </x:c>
      <x:c r="Z50" s="376" t="str">
        <x:v>https://www.google.com/maps/search/?api=1&amp;query=Jiki+Miyazawa+Kyoto+Japan</x:v>
      </x:c>
      <x:c r="AA50" s="376" t="str">
        <x:v>https://tabelog.com/en/rstLst/?sk=Jiki+Miyazawa</x:v>
      </x:c>
      <x:c r="AB50" s="376" t="str">
        <x:v>https://guide.michelin.com/us/en/kyoto-region/restaurants</x:v>
      </x:c>
      <x:c r="AC50" s="376" t="str"/>
      <x:c r="AD50" s="376" t="str">
        <x:v>2026-07-23</x:v>
      </x:c>
      <x:c r="AE50" s="376" t="str">
        <x:v>Gluten-free and lactose-free accommodation must be reconfirmed directly; cross-contact is not assumed safe.</x:v>
      </x:c>
    </x:row>
    <x:row r="51">
      <x:c r="A51" s="278" t="str">
        <x:v>KY-047</x:v>
      </x:c>
      <x:c r="B51" s="278" t="str">
        <x:v>Kyoto</x:v>
      </x:c>
      <x:c r="C51" s="278" t="str">
        <x:v>Gion</x:v>
      </x:c>
      <x:c r="D51" s="278" t="str">
        <x:v>Gion Maruyama</x:v>
      </x:c>
      <x:c r="E51" s="278" t="str">
        <x:v>Kaiseki</x:v>
      </x:c>
      <x:c r="F51" s="278" t="str">
        <x:v>Kaiseki</x:v>
      </x:c>
      <x:c r="G51" s="278" t="str">
        <x:v>Lunch,Dinner</x:v>
      </x:c>
      <x:c r="H51" s="278" t="str">
        <x:v>No</x:v>
      </x:c>
      <x:c r="I51" s="278" t="str">
        <x:v>Yes</x:v>
      </x:c>
      <x:c r="J51" s="278" t="str">
        <x:v>Yes</x:v>
      </x:c>
      <x:c r="K51" s="278" t="str">
        <x:v>No</x:v>
      </x:c>
      <x:c r="L51" s="376" t="str">
        <x:v>2★ / MICHELIN Guide</x:v>
      </x:c>
      <x:c r="M51" s="376" t="str">
        <x:v>Tabelog highly rated</x:v>
      </x:c>
      <x:c r="N51" s="376" t="str">
        <x:v>Confirm before booking</x:v>
      </x:c>
      <x:c r="O51" s="376" t="str">
        <x:v>Confirm before booking</x:v>
      </x:c>
      <x:c r="P51" s="376" t="str">
        <x:v>¥¥¥¥</x:v>
      </x:c>
      <x:c r="Q51" s="376" t="str">
        <x:v>Required</x:v>
      </x:c>
      <x:c r="R51" s="376" t="str">
        <x:v>Kaiseki</x:v>
      </x:c>
      <x:c r="S51" s="376" t="str">
        <x:v>Traditional setting and seasonal menu.</x:v>
      </x:c>
      <x:c r="T51" s="376" t="str">
        <x:v>Top pick</x:v>
      </x:c>
      <x:c r="U51" s="376" t="str">
        <x:v>Research</x:v>
      </x:c>
      <x:c r="V51" s="376" t="str">
        <x:v>No</x:v>
      </x:c>
      <x:c r="W51" s="376" t="str">
        <x:v>Not booked</x:v>
      </x:c>
      <x:c r="X51" s="376" t="str">
        <x:v>Verify live</x:v>
      </x:c>
      <x:c r="Y51" s="376" t="str">
        <x:v>No</x:v>
      </x:c>
      <x:c r="Z51" s="376" t="str">
        <x:v>https://www.google.com/maps/search/?api=1&amp;query=Gion+Maruyama+Kyoto+Japan</x:v>
      </x:c>
      <x:c r="AA51" s="376" t="str">
        <x:v>https://tabelog.com/en/rstLst/?sk=Gion+Maruyama</x:v>
      </x:c>
      <x:c r="AB51" s="376" t="str">
        <x:v>https://guide.michelin.com/us/en/kyoto-region/restaurants</x:v>
      </x:c>
      <x:c r="AC51" s="376" t="str"/>
      <x:c r="AD51" s="376" t="str">
        <x:v>2026-07-23</x:v>
      </x:c>
      <x:c r="AE51" s="376" t="str">
        <x:v>Gluten-free and lactose-free accommodation must be reconfirmed directly; cross-contact is not assumed safe.</x:v>
      </x:c>
    </x:row>
    <x:row r="52">
      <x:c r="A52" s="278" t="str">
        <x:v>KY-048</x:v>
      </x:c>
      <x:c r="B52" s="278" t="str">
        <x:v>Kyoto</x:v>
      </x:c>
      <x:c r="C52" s="278" t="str">
        <x:v>Karasuma</x:v>
      </x:c>
      <x:c r="D52" s="278" t="str">
        <x:v>Kiyama</x:v>
      </x:c>
      <x:c r="E52" s="278" t="str">
        <x:v>Japanese</x:v>
      </x:c>
      <x:c r="F52" s="278" t="str">
        <x:v>Japanese</x:v>
      </x:c>
      <x:c r="G52" s="278" t="str">
        <x:v>Lunch,Dinner</x:v>
      </x:c>
      <x:c r="H52" s="278" t="str">
        <x:v>No</x:v>
      </x:c>
      <x:c r="I52" s="278" t="str">
        <x:v>Yes</x:v>
      </x:c>
      <x:c r="J52" s="278" t="str">
        <x:v>Yes</x:v>
      </x:c>
      <x:c r="K52" s="278" t="str">
        <x:v>No</x:v>
      </x:c>
      <x:c r="L52" s="376" t="str">
        <x:v>1★ / MICHELIN Guide</x:v>
      </x:c>
      <x:c r="M52" s="376" t="str">
        <x:v>Tabelog highly rated</x:v>
      </x:c>
      <x:c r="N52" s="376" t="str">
        <x:v>Confirm before booking</x:v>
      </x:c>
      <x:c r="O52" s="376" t="str">
        <x:v>Likely adaptable; confirm</x:v>
      </x:c>
      <x:c r="P52" s="376" t="str">
        <x:v>¥¥¥¥</x:v>
      </x:c>
      <x:c r="Q52" s="376" t="str">
        <x:v>Required</x:v>
      </x:c>
      <x:c r="R52" s="376" t="str">
        <x:v>Dashi-focused menu</x:v>
      </x:c>
      <x:c r="S52" s="376" t="str">
        <x:v>Ask specifically about soy sauce and dairy.</x:v>
      </x:c>
      <x:c r="T52" s="376" t="str">
        <x:v>Top pick</x:v>
      </x:c>
      <x:c r="U52" s="376" t="str">
        <x:v>Research</x:v>
      </x:c>
      <x:c r="V52" s="376" t="str">
        <x:v>No</x:v>
      </x:c>
      <x:c r="W52" s="376" t="str">
        <x:v>Not booked</x:v>
      </x:c>
      <x:c r="X52" s="376" t="str">
        <x:v>Verify live</x:v>
      </x:c>
      <x:c r="Y52" s="376" t="str">
        <x:v>No</x:v>
      </x:c>
      <x:c r="Z52" s="376" t="str">
        <x:v>https://www.google.com/maps/search/?api=1&amp;query=Kiyama+Kyoto+Japan</x:v>
      </x:c>
      <x:c r="AA52" s="376" t="str">
        <x:v>https://tabelog.com/en/rstLst/?sk=Kiyama</x:v>
      </x:c>
      <x:c r="AB52" s="376" t="str">
        <x:v>https://guide.michelin.com/us/en/kyoto-region/restaurants</x:v>
      </x:c>
      <x:c r="AC52" s="376" t="str"/>
      <x:c r="AD52" s="376" t="str">
        <x:v>2026-07-23</x:v>
      </x:c>
      <x:c r="AE52" s="376" t="str">
        <x:v>Gluten-free and lactose-free accommodation must be reconfirmed directly; cross-contact is not assumed safe.</x:v>
      </x:c>
    </x:row>
    <x:row r="53">
      <x:c r="A53" s="278" t="str">
        <x:v>KY-049</x:v>
      </x:c>
      <x:c r="B53" s="278" t="str">
        <x:v>Kyoto</x:v>
      </x:c>
      <x:c r="C53" s="278" t="str">
        <x:v>Gion</x:v>
      </x:c>
      <x:c r="D53" s="278" t="str">
        <x:v>Kenninji Gion Maruyama</x:v>
      </x:c>
      <x:c r="E53" s="278" t="str">
        <x:v>Kaiseki</x:v>
      </x:c>
      <x:c r="F53" s="278" t="str">
        <x:v>Kaiseki</x:v>
      </x:c>
      <x:c r="G53" s="278" t="str">
        <x:v>Lunch,Dinner</x:v>
      </x:c>
      <x:c r="H53" s="278" t="str">
        <x:v>No</x:v>
      </x:c>
      <x:c r="I53" s="278" t="str">
        <x:v>Yes</x:v>
      </x:c>
      <x:c r="J53" s="278" t="str">
        <x:v>Yes</x:v>
      </x:c>
      <x:c r="K53" s="278" t="str">
        <x:v>No</x:v>
      </x:c>
      <x:c r="L53" s="376" t="str">
        <x:v>MICHELIN Guide</x:v>
      </x:c>
      <x:c r="M53" s="376" t="str">
        <x:v>Tabelog highly rated</x:v>
      </x:c>
      <x:c r="N53" s="376" t="str">
        <x:v>Confirm before booking</x:v>
      </x:c>
      <x:c r="O53" s="376" t="str">
        <x:v>Confirm before booking</x:v>
      </x:c>
      <x:c r="P53" s="376" t="str">
        <x:v>¥¥¥¥</x:v>
      </x:c>
      <x:c r="Q53" s="376" t="str">
        <x:v>Required</x:v>
      </x:c>
      <x:c r="R53" s="376" t="str">
        <x:v>Kaiseki</x:v>
      </x:c>
      <x:c r="S53" s="376" t="str">
        <x:v>Formal option.</x:v>
      </x:c>
      <x:c r="T53" s="376" t="str">
        <x:v>Consider</x:v>
      </x:c>
      <x:c r="U53" s="376" t="str">
        <x:v>Research</x:v>
      </x:c>
      <x:c r="V53" s="376" t="str">
        <x:v>No</x:v>
      </x:c>
      <x:c r="W53" s="376" t="str">
        <x:v>Not booked</x:v>
      </x:c>
      <x:c r="X53" s="376" t="str">
        <x:v>Verify live</x:v>
      </x:c>
      <x:c r="Y53" s="376" t="str">
        <x:v>No</x:v>
      </x:c>
      <x:c r="Z53" s="376" t="str">
        <x:v>https://www.google.com/maps/search/?api=1&amp;query=Kenninji+Gion+Maruyama+Kyoto+Japan</x:v>
      </x:c>
      <x:c r="AA53" s="376" t="str">
        <x:v>https://tabelog.com/en/rstLst/?sk=Kenninji+Gion+Maruyama</x:v>
      </x:c>
      <x:c r="AB53" s="376" t="str">
        <x:v>https://guide.michelin.com/us/en/kyoto-region/restaurants</x:v>
      </x:c>
      <x:c r="AC53" s="376" t="str"/>
      <x:c r="AD53" s="376" t="str">
        <x:v>2026-07-23</x:v>
      </x:c>
      <x:c r="AE53" s="376" t="str">
        <x:v>Gluten-free and lactose-free accommodation must be reconfirmed directly; cross-contact is not assumed safe.</x:v>
      </x:c>
    </x:row>
    <x:row r="54">
      <x:c r="A54" s="278" t="str">
        <x:v>KY-050</x:v>
      </x:c>
      <x:c r="B54" s="278" t="str">
        <x:v>Kyoto</x:v>
      </x:c>
      <x:c r="C54" s="278" t="str">
        <x:v>Shimogyo</x:v>
      </x:c>
      <x:c r="D54" s="278" t="str">
        <x:v>Honke Tankuma Honten</x:v>
      </x:c>
      <x:c r="E54" s="278" t="str">
        <x:v>Kaiseki</x:v>
      </x:c>
      <x:c r="F54" s="278" t="str">
        <x:v>Kaiseki / Breakfast</x:v>
      </x:c>
      <x:c r="G54" s="278" t="str">
        <x:v>Breakfast,Lunch,Dinner</x:v>
      </x:c>
      <x:c r="H54" s="278" t="str">
        <x:v>Yes</x:v>
      </x:c>
      <x:c r="I54" s="278" t="str">
        <x:v>Yes</x:v>
      </x:c>
      <x:c r="J54" s="278" t="str">
        <x:v>Yes</x:v>
      </x:c>
      <x:c r="K54" s="278" t="str">
        <x:v>No</x:v>
      </x:c>
      <x:c r="L54" s="376" t="str">
        <x:v>MICHELIN Guide selection</x:v>
      </x:c>
      <x:c r="M54" s="376" t="str">
        <x:v>Tabelog classic</x:v>
      </x:c>
      <x:c r="N54" s="376" t="str">
        <x:v>Advance dietary request</x:v>
      </x:c>
      <x:c r="O54" s="376" t="str">
        <x:v>Advance dietary request</x:v>
      </x:c>
      <x:c r="P54" s="376" t="str">
        <x:v>¥¥¥¥</x:v>
      </x:c>
      <x:c r="Q54" s="376" t="str">
        <x:v>Required</x:v>
      </x:c>
      <x:c r="R54" s="376" t="str">
        <x:v>Kyoto-style breakfast / kaiseki</x:v>
      </x:c>
      <x:c r="S54" s="376" t="str">
        <x:v>Hotel/concierge booking may help.</x:v>
      </x:c>
      <x:c r="T54" s="376" t="str">
        <x:v>Top pick</x:v>
      </x:c>
      <x:c r="U54" s="376" t="str">
        <x:v>Research</x:v>
      </x:c>
      <x:c r="V54" s="376" t="str">
        <x:v>No</x:v>
      </x:c>
      <x:c r="W54" s="376" t="str">
        <x:v>Not booked</x:v>
      </x:c>
      <x:c r="X54" s="376" t="str">
        <x:v>Verify live</x:v>
      </x:c>
      <x:c r="Y54" s="376" t="str">
        <x:v>Yes</x:v>
      </x:c>
      <x:c r="Z54" s="376" t="str">
        <x:v>https://www.google.com/maps/search/?api=1&amp;query=Honke+Tankuma+Honten+Kyoto+Japan</x:v>
      </x:c>
      <x:c r="AA54" s="376" t="str">
        <x:v>https://tabelog.com/en/rstLst/?sk=Honke+Tankuma+Honten</x:v>
      </x:c>
      <x:c r="AB54" s="376" t="str">
        <x:v>https://guide.michelin.com/us/en/kyoto-region/restaurants</x:v>
      </x:c>
      <x:c r="AC54" s="376" t="str"/>
      <x:c r="AD54" s="376" t="str">
        <x:v>2026-07-23</x:v>
      </x:c>
      <x:c r="AE54" s="376" t="str">
        <x:v>Gluten-free and lactose-free accommodation must be reconfirmed directly; cross-contact is not assumed safe.</x:v>
      </x:c>
    </x:row>
    <x:row r="55">
      <x:c r="A55" s="278" t="str">
        <x:v>KY-051</x:v>
      </x:c>
      <x:c r="B55" s="278" t="str">
        <x:v>Kyoto</x:v>
      </x:c>
      <x:c r="C55" s="278" t="str">
        <x:v>Gion</x:v>
      </x:c>
      <x:c r="D55" s="278" t="str">
        <x:v>Mizai</x:v>
      </x:c>
      <x:c r="E55" s="278" t="str">
        <x:v>Kaiseki</x:v>
      </x:c>
      <x:c r="F55" s="278" t="str">
        <x:v>Kaiseki</x:v>
      </x:c>
      <x:c r="G55" s="278" t="str">
        <x:v>Dinner</x:v>
      </x:c>
      <x:c r="H55" s="278" t="str">
        <x:v>No</x:v>
      </x:c>
      <x:c r="I55" s="278" t="str">
        <x:v>No</x:v>
      </x:c>
      <x:c r="J55" s="278" t="str">
        <x:v>Yes</x:v>
      </x:c>
      <x:c r="K55" s="278" t="str">
        <x:v>No</x:v>
      </x:c>
      <x:c r="L55" s="376" t="str">
        <x:v>3★ / MICHELIN Guide</x:v>
      </x:c>
      <x:c r="M55" s="376" t="str">
        <x:v>Tabelog highly rated</x:v>
      </x:c>
      <x:c r="N55" s="376" t="str">
        <x:v>Restrictions may be difficult; confirm</x:v>
      </x:c>
      <x:c r="O55" s="376" t="str">
        <x:v>Restrictions may be difficult; confirm</x:v>
      </x:c>
      <x:c r="P55" s="376" t="str">
        <x:v>¥¥¥¥</x:v>
      </x:c>
      <x:c r="Q55" s="376" t="str">
        <x:v>Required</x:v>
      </x:c>
      <x:c r="R55" s="376" t="str">
        <x:v>Seasonal tasting</x:v>
      </x:c>
      <x:c r="S55" s="376" t="str">
        <x:v>Extremely difficult reservation.</x:v>
      </x:c>
      <x:c r="T55" s="376" t="str">
        <x:v>Bucket list</x:v>
      </x:c>
      <x:c r="U55" s="376" t="str">
        <x:v>Research</x:v>
      </x:c>
      <x:c r="V55" s="376" t="str">
        <x:v>No</x:v>
      </x:c>
      <x:c r="W55" s="376" t="str">
        <x:v>Not booked</x:v>
      </x:c>
      <x:c r="X55" s="376" t="str">
        <x:v>Verify live</x:v>
      </x:c>
      <x:c r="Y55" s="376" t="str">
        <x:v>No</x:v>
      </x:c>
      <x:c r="Z55" s="376" t="str">
        <x:v>https://www.google.com/maps/search/?api=1&amp;query=Mizai+Kyoto+Japan</x:v>
      </x:c>
      <x:c r="AA55" s="376" t="str">
        <x:v>https://tabelog.com/en/rstLst/?sk=Mizai</x:v>
      </x:c>
      <x:c r="AB55" s="376" t="str">
        <x:v>https://guide.michelin.com/us/en/kyoto-region/restaurants</x:v>
      </x:c>
      <x:c r="AC55" s="376" t="str"/>
      <x:c r="AD55" s="376" t="str">
        <x:v>2026-07-23</x:v>
      </x:c>
      <x:c r="AE55" s="376" t="str">
        <x:v>Gluten-free and lactose-free accommodation must be reconfirmed directly; cross-contact is not assumed safe.</x:v>
      </x:c>
    </x:row>
    <x:row r="56">
      <x:c r="A56" s="278" t="str">
        <x:v>KY-052</x:v>
      </x:c>
      <x:c r="B56" s="278" t="str">
        <x:v>Kyoto</x:v>
      </x:c>
      <x:c r="C56" s="278" t="str">
        <x:v>Sakyo</x:v>
      </x:c>
      <x:c r="D56" s="278" t="str">
        <x:v>Miyamaso</x:v>
      </x:c>
      <x:c r="E56" s="278" t="str">
        <x:v>Kaiseki</x:v>
      </x:c>
      <x:c r="F56" s="278" t="str">
        <x:v>Kaiseki</x:v>
      </x:c>
      <x:c r="G56" s="278" t="str">
        <x:v>Lunch,Dinner</x:v>
      </x:c>
      <x:c r="H56" s="278" t="str">
        <x:v>No</x:v>
      </x:c>
      <x:c r="I56" s="278" t="str">
        <x:v>Yes</x:v>
      </x:c>
      <x:c r="J56" s="278" t="str">
        <x:v>Yes</x:v>
      </x:c>
      <x:c r="K56" s="278" t="str">
        <x:v>No</x:v>
      </x:c>
      <x:c r="L56" s="376" t="str">
        <x:v>2★ / MICHELIN Guide</x:v>
      </x:c>
      <x:c r="M56" s="376" t="str">
        <x:v>Tabelog highly rated</x:v>
      </x:c>
      <x:c r="N56" s="376" t="str">
        <x:v>Confirm before booking</x:v>
      </x:c>
      <x:c r="O56" s="376" t="str">
        <x:v>Confirm before booking</x:v>
      </x:c>
      <x:c r="P56" s="376" t="str">
        <x:v>¥¥¥¥</x:v>
      </x:c>
      <x:c r="Q56" s="376" t="str">
        <x:v>Required</x:v>
      </x:c>
      <x:c r="R56" s="376" t="str">
        <x:v>Mountain cuisine</x:v>
      </x:c>
      <x:c r="S56" s="376" t="str">
        <x:v>Remote destination meal.</x:v>
      </x:c>
      <x:c r="T56" s="376" t="str">
        <x:v>Bucket list</x:v>
      </x:c>
      <x:c r="U56" s="376" t="str">
        <x:v>Research</x:v>
      </x:c>
      <x:c r="V56" s="376" t="str">
        <x:v>No</x:v>
      </x:c>
      <x:c r="W56" s="376" t="str">
        <x:v>Not booked</x:v>
      </x:c>
      <x:c r="X56" s="376" t="str">
        <x:v>Verify live</x:v>
      </x:c>
      <x:c r="Y56" s="376" t="str">
        <x:v>No</x:v>
      </x:c>
      <x:c r="Z56" s="376" t="str">
        <x:v>https://www.google.com/maps/search/?api=1&amp;query=Miyamaso+Kyoto+Japan</x:v>
      </x:c>
      <x:c r="AA56" s="376" t="str">
        <x:v>https://tabelog.com/en/rstLst/?sk=Miyamaso</x:v>
      </x:c>
      <x:c r="AB56" s="376" t="str">
        <x:v>https://guide.michelin.com/us/en/kyoto-region/restaurants</x:v>
      </x:c>
      <x:c r="AC56" s="376" t="str"/>
      <x:c r="AD56" s="376" t="str">
        <x:v>2026-07-23</x:v>
      </x:c>
      <x:c r="AE56" s="376" t="str">
        <x:v>Gluten-free and lactose-free accommodation must be reconfirmed directly; cross-contact is not assumed safe.</x:v>
      </x:c>
    </x:row>
    <x:row r="57">
      <x:c r="A57" s="278" t="str">
        <x:v>KY-053</x:v>
      </x:c>
      <x:c r="B57" s="278" t="str">
        <x:v>Kyoto</x:v>
      </x:c>
      <x:c r="C57" s="278" t="str">
        <x:v>Gion</x:v>
      </x:c>
      <x:c r="D57" s="278" t="str">
        <x:v>Ogata</x:v>
      </x:c>
      <x:c r="E57" s="278" t="str">
        <x:v>Japanese</x:v>
      </x:c>
      <x:c r="F57" s="278" t="str">
        <x:v>Japanese</x:v>
      </x:c>
      <x:c r="G57" s="278" t="str">
        <x:v>Dinner</x:v>
      </x:c>
      <x:c r="H57" s="278" t="str">
        <x:v>No</x:v>
      </x:c>
      <x:c r="I57" s="278" t="str">
        <x:v>No</x:v>
      </x:c>
      <x:c r="J57" s="278" t="str">
        <x:v>Yes</x:v>
      </x:c>
      <x:c r="K57" s="278" t="str">
        <x:v>No</x:v>
      </x:c>
      <x:c r="L57" s="376" t="str">
        <x:v>2★ / MICHELIN Guide</x:v>
      </x:c>
      <x:c r="M57" s="376" t="str">
        <x:v>Tabelog highly rated</x:v>
      </x:c>
      <x:c r="N57" s="376" t="str">
        <x:v>Confirm before booking</x:v>
      </x:c>
      <x:c r="O57" s="376" t="str">
        <x:v>Confirm before booking</x:v>
      </x:c>
      <x:c r="P57" s="376" t="str">
        <x:v>¥¥¥¥</x:v>
      </x:c>
      <x:c r="Q57" s="376" t="str">
        <x:v>Required</x:v>
      </x:c>
      <x:c r="R57" s="376" t="str">
        <x:v>Seasonal Japanese menu</x:v>
      </x:c>
      <x:c r="S57" s="376" t="str">
        <x:v>Very difficult reservation.</x:v>
      </x:c>
      <x:c r="T57" s="376" t="str">
        <x:v>Bucket list</x:v>
      </x:c>
      <x:c r="U57" s="376" t="str">
        <x:v>Research</x:v>
      </x:c>
      <x:c r="V57" s="376" t="str">
        <x:v>No</x:v>
      </x:c>
      <x:c r="W57" s="376" t="str">
        <x:v>Not booked</x:v>
      </x:c>
      <x:c r="X57" s="376" t="str">
        <x:v>Verify live</x:v>
      </x:c>
      <x:c r="Y57" s="376" t="str">
        <x:v>No</x:v>
      </x:c>
      <x:c r="Z57" s="376" t="str">
        <x:v>https://www.google.com/maps/search/?api=1&amp;query=Ogata+Kyoto+Japan</x:v>
      </x:c>
      <x:c r="AA57" s="376" t="str">
        <x:v>https://tabelog.com/en/rstLst/?sk=Ogata</x:v>
      </x:c>
      <x:c r="AB57" s="376" t="str">
        <x:v>https://guide.michelin.com/us/en/kyoto-region/restaurants</x:v>
      </x:c>
      <x:c r="AC57" s="376" t="str"/>
      <x:c r="AD57" s="376" t="str">
        <x:v>2026-07-23</x:v>
      </x:c>
      <x:c r="AE57" s="376" t="str">
        <x:v>Gluten-free and lactose-free accommodation must be reconfirmed directly; cross-contact is not assumed safe.</x:v>
      </x:c>
    </x:row>
    <x:row r="58">
      <x:c r="A58" s="278" t="str">
        <x:v>KY-054</x:v>
      </x:c>
      <x:c r="B58" s="278" t="str">
        <x:v>Kyoto</x:v>
      </x:c>
      <x:c r="C58" s="278" t="str">
        <x:v>Kyoto Station</x:v>
      </x:c>
      <x:c r="D58" s="278" t="str">
        <x:v>KOKORO Kitchen Kyoto</x:v>
      </x:c>
      <x:c r="E58" s="278" t="str">
        <x:v>Cafe / Healthy</x:v>
      </x:c>
      <x:c r="F58" s="278" t="str">
        <x:v>GF Specialist</x:v>
      </x:c>
      <x:c r="G58" s="278" t="str">
        <x:v>Breakfast,Lunch,Cafe</x:v>
      </x:c>
      <x:c r="H58" s="278" t="str">
        <x:v>Yes</x:v>
      </x:c>
      <x:c r="I58" s="278" t="str">
        <x:v>Yes</x:v>
      </x:c>
      <x:c r="J58" s="278" t="str">
        <x:v>No</x:v>
      </x:c>
      <x:c r="K58" s="278" t="str">
        <x:v>Yes</x:v>
      </x:c>
      <x:c r="L58" s="376" t="str">
        <x:v>—</x:v>
      </x:c>
      <x:c r="M58" s="376" t="str">
        <x:v>Tabelog lists GF options</x:v>
      </x:c>
      <x:c r="N58" s="376" t="str">
        <x:v>GF options listed; verify current menu</x:v>
      </x:c>
      <x:c r="O58" s="376" t="str">
        <x:v>Lactose-free/vegan options likely; verify</x:v>
      </x:c>
      <x:c r="P58" s="376" t="str">
        <x:v>¥¥</x:v>
      </x:c>
      <x:c r="Q58" s="376" t="str">
        <x:v>Recommended</x:v>
      </x:c>
      <x:c r="R58" s="376" t="str">
        <x:v>Breakfast / healthy bowls</x:v>
      </x:c>
      <x:c r="S58" s="376" t="str">
        <x:v>Strong practical breakfast/lunch candidate.</x:v>
      </x:c>
      <x:c r="T58" s="376" t="str">
        <x:v>Top pick</x:v>
      </x:c>
      <x:c r="U58" s="376" t="str">
        <x:v>Research</x:v>
      </x:c>
      <x:c r="V58" s="376" t="str">
        <x:v>No</x:v>
      </x:c>
      <x:c r="W58" s="376" t="str">
        <x:v>Not booked</x:v>
      </x:c>
      <x:c r="X58" s="376" t="str">
        <x:v>Verify live</x:v>
      </x:c>
      <x:c r="Y58" s="376" t="str">
        <x:v>Yes</x:v>
      </x:c>
      <x:c r="Z58" s="376" t="str">
        <x:v>https://www.google.com/maps/search/?api=1&amp;query=KOKORO+Kitchen+Kyoto+Kyoto+Japan</x:v>
      </x:c>
      <x:c r="AA58" s="376" t="str">
        <x:v>https://tabelog.com/en/rstLst/?sk=KOKORO+Kitchen+Kyoto</x:v>
      </x:c>
      <x:c r="AB58" s="376" t="str"/>
      <x:c r="AC58" s="376" t="str"/>
      <x:c r="AD58" s="376" t="str">
        <x:v>2026-07-23</x:v>
      </x:c>
      <x:c r="AE58" s="376" t="str">
        <x:v>Gluten-free and lactose-free accommodation must be reconfirmed directly; cross-contact is not assumed safe.</x:v>
      </x:c>
    </x:row>
    <x:row r="59">
      <x:c r="A59" s="278" t="str">
        <x:v>KY-055</x:v>
      </x:c>
      <x:c r="B59" s="278" t="str">
        <x:v>Kyoto</x:v>
      </x:c>
      <x:c r="C59" s="278" t="str">
        <x:v>Sanjo</x:v>
      </x:c>
      <x:c r="D59" s="278" t="str">
        <x:v>CHOICE</x:v>
      </x:c>
      <x:c r="E59" s="278" t="str">
        <x:v>Vegan / Gluten-free cafe</x:v>
      </x:c>
      <x:c r="F59" s="278" t="str">
        <x:v>GF Specialist</x:v>
      </x:c>
      <x:c r="G59" s="278" t="str">
        <x:v>Breakfast,Lunch,Cafe,Dessert</x:v>
      </x:c>
      <x:c r="H59" s="278" t="str">
        <x:v>Yes</x:v>
      </x:c>
      <x:c r="I59" s="278" t="str">
        <x:v>Yes</x:v>
      </x:c>
      <x:c r="J59" s="278" t="str">
        <x:v>No</x:v>
      </x:c>
      <x:c r="K59" s="278" t="str">
        <x:v>Yes</x:v>
      </x:c>
      <x:c r="L59" s="376" t="str">
        <x:v>—</x:v>
      </x:c>
      <x:c r="M59" s="376" t="str">
        <x:v>Tabelog GF candidate</x:v>
      </x:c>
      <x:c r="N59" s="376" t="str">
        <x:v>GF-focused; verify current menu</x:v>
      </x:c>
      <x:c r="O59" s="376" t="str">
        <x:v>Vegan menu is lactose-free</x:v>
      </x:c>
      <x:c r="P59" s="376" t="str">
        <x:v>¥¥</x:v>
      </x:c>
      <x:c r="Q59" s="376" t="str">
        <x:v>No/varies</x:v>
      </x:c>
      <x:c r="R59" s="376" t="str">
        <x:v>Vegan cheese / sweets</x:v>
      </x:c>
      <x:c r="S59" s="376" t="str">
        <x:v>Useful dietary anchor.</x:v>
      </x:c>
      <x:c r="T59" s="376" t="str">
        <x:v>Top pick</x:v>
      </x:c>
      <x:c r="U59" s="376" t="str">
        <x:v>Research</x:v>
      </x:c>
      <x:c r="V59" s="376" t="str">
        <x:v>No</x:v>
      </x:c>
      <x:c r="W59" s="376" t="str">
        <x:v>Not booked</x:v>
      </x:c>
      <x:c r="X59" s="376" t="str">
        <x:v>Verify live</x:v>
      </x:c>
      <x:c r="Y59" s="376" t="str">
        <x:v>Yes</x:v>
      </x:c>
      <x:c r="Z59" s="376" t="str">
        <x:v>https://www.google.com/maps/search/?api=1&amp;query=CHOICE+Kyoto+Japan</x:v>
      </x:c>
      <x:c r="AA59" s="376" t="str">
        <x:v>https://tabelog.com/en/rstLst/?sk=CHOICE</x:v>
      </x:c>
      <x:c r="AB59" s="376" t="str"/>
      <x:c r="AC59" s="376" t="str"/>
      <x:c r="AD59" s="376" t="str">
        <x:v>2026-07-23</x:v>
      </x:c>
      <x:c r="AE59" s="376" t="str">
        <x:v>Gluten-free and lactose-free accommodation must be reconfirmed directly; cross-contact is not assumed safe.</x:v>
      </x:c>
    </x:row>
    <x:row r="60">
      <x:c r="A60" s="278" t="str">
        <x:v>KY-056</x:v>
      </x:c>
      <x:c r="B60" s="278" t="str">
        <x:v>Kyoto</x:v>
      </x:c>
      <x:c r="C60" s="278" t="str">
        <x:v>Nishiki</x:v>
      </x:c>
      <x:c r="D60" s="278" t="str">
        <x:v>Tosca</x:v>
      </x:c>
      <x:c r="E60" s="278" t="str">
        <x:v>Gluten-free Italian</x:v>
      </x:c>
      <x:c r="F60" s="278" t="str">
        <x:v>GF Specialist</x:v>
      </x:c>
      <x:c r="G60" s="278" t="str">
        <x:v>Lunch,Dinner</x:v>
      </x:c>
      <x:c r="H60" s="278" t="str">
        <x:v>No</x:v>
      </x:c>
      <x:c r="I60" s="278" t="str">
        <x:v>Yes</x:v>
      </x:c>
      <x:c r="J60" s="278" t="str">
        <x:v>Yes</x:v>
      </x:c>
      <x:c r="K60" s="278" t="str">
        <x:v>No</x:v>
      </x:c>
      <x:c r="L60" s="376" t="str">
        <x:v>—</x:v>
      </x:c>
      <x:c r="M60" s="376" t="str">
        <x:v>Tabelog GF candidate</x:v>
      </x:c>
      <x:c r="N60" s="376" t="str">
        <x:v>GF-focused; verify current status</x:v>
      </x:c>
      <x:c r="O60" s="376" t="str">
        <x:v>Confirm sauces/cheese-free preparation</x:v>
      </x:c>
      <x:c r="P60" s="376" t="str">
        <x:v>¥¥</x:v>
      </x:c>
      <x:c r="Q60" s="376" t="str">
        <x:v>Recommended</x:v>
      </x:c>
      <x:c r="R60" s="376" t="str">
        <x:v>Gluten-free pasta/pizza</x:v>
      </x:c>
      <x:c r="S60" s="376" t="str">
        <x:v>Check current operating status and menu.</x:v>
      </x:c>
      <x:c r="T60" s="376" t="str">
        <x:v>Top pick</x:v>
      </x:c>
      <x:c r="U60" s="376" t="str">
        <x:v>Research</x:v>
      </x:c>
      <x:c r="V60" s="376" t="str">
        <x:v>No</x:v>
      </x:c>
      <x:c r="W60" s="376" t="str">
        <x:v>Not booked</x:v>
      </x:c>
      <x:c r="X60" s="376" t="str">
        <x:v>Verify live</x:v>
      </x:c>
      <x:c r="Y60" s="376" t="str">
        <x:v>No</x:v>
      </x:c>
      <x:c r="Z60" s="376" t="str">
        <x:v>https://www.google.com/maps/search/?api=1&amp;query=Tosca+Kyoto+Japan</x:v>
      </x:c>
      <x:c r="AA60" s="376" t="str">
        <x:v>https://tabelog.com/en/rstLst/?sk=Tosca</x:v>
      </x:c>
      <x:c r="AB60" s="376" t="str"/>
      <x:c r="AC60" s="376" t="str"/>
      <x:c r="AD60" s="376" t="str">
        <x:v>2026-07-23</x:v>
      </x:c>
      <x:c r="AE60" s="376" t="str">
        <x:v>Gluten-free and lactose-free accommodation must be reconfirmed directly; cross-contact is not assumed safe.</x:v>
      </x:c>
    </x:row>
    <x:row r="61">
      <x:c r="A61" s="278" t="str">
        <x:v>KY-057</x:v>
      </x:c>
      <x:c r="B61" s="278" t="str">
        <x:v>Kyoto</x:v>
      </x:c>
      <x:c r="C61" s="278" t="str">
        <x:v>Higashiyama</x:v>
      </x:c>
      <x:c r="D61" s="278" t="str">
        <x:v>Waco Crepes</x:v>
      </x:c>
      <x:c r="E61" s="278" t="str">
        <x:v>Gluten-free crepes</x:v>
      </x:c>
      <x:c r="F61" s="278" t="str">
        <x:v>GF Specialist</x:v>
      </x:c>
      <x:c r="G61" s="278" t="str">
        <x:v>Breakfast,Lunch,Cafe,Dessert</x:v>
      </x:c>
      <x:c r="H61" s="278" t="str">
        <x:v>Yes</x:v>
      </x:c>
      <x:c r="I61" s="278" t="str">
        <x:v>Yes</x:v>
      </x:c>
      <x:c r="J61" s="278" t="str">
        <x:v>No</x:v>
      </x:c>
      <x:c r="K61" s="278" t="str">
        <x:v>Yes</x:v>
      </x:c>
      <x:c r="L61" s="376" t="str">
        <x:v>—</x:v>
      </x:c>
      <x:c r="M61" s="376" t="str">
        <x:v>Tabelog GF candidate</x:v>
      </x:c>
      <x:c r="N61" s="376" t="str">
        <x:v>GF-focused rice-flour crepes</x:v>
      </x:c>
      <x:c r="O61" s="376" t="str">
        <x:v>Ask for dairy-free fillings</x:v>
      </x:c>
      <x:c r="P61" s="376" t="str">
        <x:v>¥</x:v>
      </x:c>
      <x:c r="Q61" s="376" t="str">
        <x:v>No</x:v>
      </x:c>
      <x:c r="R61" s="376" t="str">
        <x:v>Rice-flour crepe</x:v>
      </x:c>
      <x:c r="S61" s="376" t="str">
        <x:v>Good snack/breakfast candidate.</x:v>
      </x:c>
      <x:c r="T61" s="376" t="str">
        <x:v>Top pick</x:v>
      </x:c>
      <x:c r="U61" s="376" t="str">
        <x:v>Research</x:v>
      </x:c>
      <x:c r="V61" s="376" t="str">
        <x:v>No</x:v>
      </x:c>
      <x:c r="W61" s="376" t="str">
        <x:v>Not booked</x:v>
      </x:c>
      <x:c r="X61" s="376" t="str">
        <x:v>Verify live</x:v>
      </x:c>
      <x:c r="Y61" s="376" t="str">
        <x:v>Yes</x:v>
      </x:c>
      <x:c r="Z61" s="376" t="str">
        <x:v>https://www.google.com/maps/search/?api=1&amp;query=Waco+Crepes+Kyoto+Japan</x:v>
      </x:c>
      <x:c r="AA61" s="376" t="str">
        <x:v>https://tabelog.com/en/rstLst/?sk=Waco+Crepes</x:v>
      </x:c>
      <x:c r="AB61" s="376" t="str"/>
      <x:c r="AC61" s="376" t="str"/>
      <x:c r="AD61" s="376" t="str">
        <x:v>2026-07-23</x:v>
      </x:c>
      <x:c r="AE61" s="376" t="str">
        <x:v>Gluten-free and lactose-free accommodation must be reconfirmed directly; cross-contact is not assumed safe.</x:v>
      </x:c>
    </x:row>
    <x:row r="62">
      <x:c r="A62" s="278" t="str">
        <x:v>KY-058</x:v>
      </x:c>
      <x:c r="B62" s="278" t="str">
        <x:v>Kyoto</x:v>
      </x:c>
      <x:c r="C62" s="278" t="str">
        <x:v>Kyoto Station</x:v>
      </x:c>
      <x:c r="D62" s="278" t="str">
        <x:v>Nakamura Tokichi Kyoto Station</x:v>
      </x:c>
      <x:c r="E62" s="278" t="str">
        <x:v>Tea / Dessert</x:v>
      </x:c>
      <x:c r="F62" s="278" t="str">
        <x:v>Tea / Dessert</x:v>
      </x:c>
      <x:c r="G62" s="278" t="str">
        <x:v>Breakfast,Lunch,Cafe,Dessert</x:v>
      </x:c>
      <x:c r="H62" s="278" t="str">
        <x:v>Yes</x:v>
      </x:c>
      <x:c r="I62" s="278" t="str">
        <x:v>Yes</x:v>
      </x:c>
      <x:c r="J62" s="278" t="str">
        <x:v>No</x:v>
      </x:c>
      <x:c r="K62" s="278" t="str">
        <x:v>Yes</x:v>
      </x:c>
      <x:c r="L62" s="376" t="str">
        <x:v>—</x:v>
      </x:c>
      <x:c r="M62" s="376" t="str">
        <x:v>Tabelog popular</x:v>
      </x:c>
      <x:c r="N62" s="376" t="str">
        <x:v>Some rice/tea items may work; verify</x:v>
      </x:c>
      <x:c r="O62" s="376" t="str">
        <x:v>Many desserts contain dairy</x:v>
      </x:c>
      <x:c r="P62" s="376" t="str">
        <x:v>¥¥</x:v>
      </x:c>
      <x:c r="Q62" s="376" t="str">
        <x:v>Queue</x:v>
      </x:c>
      <x:c r="R62" s="376" t="str">
        <x:v>Matcha parfait / tea</x:v>
      </x:c>
      <x:c r="S62" s="376" t="str">
        <x:v>Companion-friendly; not a dietary anchor.</x:v>
      </x:c>
      <x:c r="T62" s="376" t="str">
        <x:v>Consider</x:v>
      </x:c>
      <x:c r="U62" s="376" t="str">
        <x:v>Research</x:v>
      </x:c>
      <x:c r="V62" s="376" t="str">
        <x:v>No</x:v>
      </x:c>
      <x:c r="W62" s="376" t="str">
        <x:v>Not booked</x:v>
      </x:c>
      <x:c r="X62" s="376" t="str">
        <x:v>Verify live</x:v>
      </x:c>
      <x:c r="Y62" s="376" t="str">
        <x:v>Yes</x:v>
      </x:c>
      <x:c r="Z62" s="376" t="str">
        <x:v>https://www.google.com/maps/search/?api=1&amp;query=Nakamura+Tokichi+Kyoto+Station+Kyoto+Japan</x:v>
      </x:c>
      <x:c r="AA62" s="376" t="str">
        <x:v>https://tabelog.com/en/rstLst/?sk=Nakamura+Tokichi+Kyoto+Station</x:v>
      </x:c>
      <x:c r="AB62" s="376" t="str"/>
      <x:c r="AC62" s="376" t="str"/>
      <x:c r="AD62" s="376" t="str">
        <x:v>2026-07-23</x:v>
      </x:c>
      <x:c r="AE62" s="376" t="str">
        <x:v>Gluten-free and lactose-free accommodation must be reconfirmed directly; cross-contact is not assumed safe.</x:v>
      </x:c>
    </x:row>
    <x:row r="63">
      <x:c r="A63" s="278" t="str">
        <x:v>KY-059</x:v>
      </x:c>
      <x:c r="B63" s="278" t="str">
        <x:v>Kyoto</x:v>
      </x:c>
      <x:c r="C63" s="278" t="str">
        <x:v>Gion</x:v>
      </x:c>
      <x:c r="D63" s="278" t="str">
        <x:v>Tsujiri Gion Honten</x:v>
      </x:c>
      <x:c r="E63" s="278" t="str">
        <x:v>Tea / Dessert</x:v>
      </x:c>
      <x:c r="F63" s="278" t="str">
        <x:v>Tea / Dessert</x:v>
      </x:c>
      <x:c r="G63" s="278" t="str">
        <x:v>Breakfast,Cafe,Dessert</x:v>
      </x:c>
      <x:c r="H63" s="278" t="str">
        <x:v>Yes</x:v>
      </x:c>
      <x:c r="I63" s="278" t="str">
        <x:v>No</x:v>
      </x:c>
      <x:c r="J63" s="278" t="str">
        <x:v>No</x:v>
      </x:c>
      <x:c r="K63" s="278" t="str">
        <x:v>Yes</x:v>
      </x:c>
      <x:c r="L63" s="376" t="str">
        <x:v>—</x:v>
      </x:c>
      <x:c r="M63" s="376" t="str">
        <x:v>Tabelog popular</x:v>
      </x:c>
      <x:c r="N63" s="376" t="str">
        <x:v>Verify ingredients</x:v>
      </x:c>
      <x:c r="O63" s="376" t="str">
        <x:v>Many desserts contain dairy</x:v>
      </x:c>
      <x:c r="P63" s="376" t="str">
        <x:v>¥¥</x:v>
      </x:c>
      <x:c r="Q63" s="376" t="str">
        <x:v>Queue</x:v>
      </x:c>
      <x:c r="R63" s="376" t="str">
        <x:v>Matcha dessert</x:v>
      </x:c>
      <x:c r="S63" s="376" t="str">
        <x:v>Good traditional tea stop for group.</x:v>
      </x:c>
      <x:c r="T63" s="376" t="str">
        <x:v>Consider</x:v>
      </x:c>
      <x:c r="U63" s="376" t="str">
        <x:v>Research</x:v>
      </x:c>
      <x:c r="V63" s="376" t="str">
        <x:v>No</x:v>
      </x:c>
      <x:c r="W63" s="376" t="str">
        <x:v>Not booked</x:v>
      </x:c>
      <x:c r="X63" s="376" t="str">
        <x:v>Verify live</x:v>
      </x:c>
      <x:c r="Y63" s="376" t="str">
        <x:v>Yes</x:v>
      </x:c>
      <x:c r="Z63" s="376" t="str">
        <x:v>https://www.google.com/maps/search/?api=1&amp;query=Tsujiri+Gion+Honten+Kyoto+Japan</x:v>
      </x:c>
      <x:c r="AA63" s="376" t="str">
        <x:v>https://tabelog.com/en/rstLst/?sk=Tsujiri+Gion+Honten</x:v>
      </x:c>
      <x:c r="AB63" s="376" t="str"/>
      <x:c r="AC63" s="376" t="str"/>
      <x:c r="AD63" s="376" t="str">
        <x:v>2026-07-23</x:v>
      </x:c>
      <x:c r="AE63" s="376" t="str">
        <x:v>Gluten-free and lactose-free accommodation must be reconfirmed directly; cross-contact is not assumed safe.</x:v>
      </x:c>
    </x:row>
    <x:row r="64">
      <x:c r="A64" s="278" t="str">
        <x:v>KY-060</x:v>
      </x:c>
      <x:c r="B64" s="278" t="str">
        <x:v>Kyoto</x:v>
      </x:c>
      <x:c r="C64" s="278" t="str">
        <x:v>Arashiyama</x:v>
      </x:c>
      <x:c r="D64" s="278" t="str">
        <x:v>% Arabica Kyoto Arashiyama</x:v>
      </x:c>
      <x:c r="E64" s="278" t="str">
        <x:v>Coffee</x:v>
      </x:c>
      <x:c r="F64" s="278" t="str">
        <x:v>Coffee</x:v>
      </x:c>
      <x:c r="G64" s="278" t="str">
        <x:v>Breakfast,Cafe</x:v>
      </x:c>
      <x:c r="H64" s="278" t="str">
        <x:v>Yes</x:v>
      </x:c>
      <x:c r="I64" s="278" t="str">
        <x:v>No</x:v>
      </x:c>
      <x:c r="J64" s="278" t="str">
        <x:v>No</x:v>
      </x:c>
      <x:c r="K64" s="278" t="str">
        <x:v>Yes</x:v>
      </x:c>
      <x:c r="L64" s="376" t="str">
        <x:v>—</x:v>
      </x:c>
      <x:c r="M64" s="376" t="str">
        <x:v>Tabelog popular</x:v>
      </x:c>
      <x:c r="N64" s="376" t="str">
        <x:v>Coffee GF; pastries vary</x:v>
      </x:c>
      <x:c r="O64" s="376" t="str">
        <x:v>Black coffee LF; plant milk varies</x:v>
      </x:c>
      <x:c r="P64" s="376" t="str">
        <x:v>¥</x:v>
      </x:c>
      <x:c r="Q64" s="376" t="str">
        <x:v>Queue</x:v>
      </x:c>
      <x:c r="R64" s="376" t="str">
        <x:v>Coffee</x:v>
      </x:c>
      <x:c r="S64" s="376" t="str">
        <x:v>Scenic coffee stop.</x:v>
      </x:c>
      <x:c r="T64" s="376" t="str">
        <x:v>Top pick</x:v>
      </x:c>
      <x:c r="U64" s="376" t="str">
        <x:v>Research</x:v>
      </x:c>
      <x:c r="V64" s="376" t="str">
        <x:v>No</x:v>
      </x:c>
      <x:c r="W64" s="376" t="str">
        <x:v>Not booked</x:v>
      </x:c>
      <x:c r="X64" s="376" t="str">
        <x:v>Verify live</x:v>
      </x:c>
      <x:c r="Y64" s="376" t="str">
        <x:v>Yes</x:v>
      </x:c>
      <x:c r="Z64" s="376" t="str">
        <x:v>https://www.google.com/maps/search/?api=1&amp;query=%25+Arabica+Kyoto+Arashiyama+Kyoto+Japan</x:v>
      </x:c>
      <x:c r="AA64" s="376" t="str">
        <x:v>https://tabelog.com/en/rstLst/?sk=%25+Arabica+Kyoto+Arashiyama</x:v>
      </x:c>
      <x:c r="AB64" s="376" t="str"/>
      <x:c r="AC64" s="376" t="str"/>
      <x:c r="AD64" s="376" t="str">
        <x:v>2026-07-23</x:v>
      </x:c>
      <x:c r="AE64" s="376" t="str">
        <x:v>Gluten-free and lactose-free accommodation must be reconfirmed directly; cross-contact is not assumed safe.</x:v>
      </x:c>
    </x:row>
    <x:row r="65">
      <x:c r="A65" s="278" t="str">
        <x:v>KY-061</x:v>
      </x:c>
      <x:c r="B65" s="278" t="str">
        <x:v>Kyoto</x:v>
      </x:c>
      <x:c r="C65" s="278" t="str">
        <x:v>Kyoto Station</x:v>
      </x:c>
      <x:c r="D65" s="278" t="str">
        <x:v>Kurasu Kyoto Stand</x:v>
      </x:c>
      <x:c r="E65" s="278" t="str">
        <x:v>Coffee</x:v>
      </x:c>
      <x:c r="F65" s="278" t="str">
        <x:v>Coffee</x:v>
      </x:c>
      <x:c r="G65" s="278" t="str">
        <x:v>Breakfast,Cafe</x:v>
      </x:c>
      <x:c r="H65" s="278" t="str">
        <x:v>Yes</x:v>
      </x:c>
      <x:c r="I65" s="278" t="str">
        <x:v>No</x:v>
      </x:c>
      <x:c r="J65" s="278" t="str">
        <x:v>No</x:v>
      </x:c>
      <x:c r="K65" s="278" t="str">
        <x:v>Yes</x:v>
      </x:c>
      <x:c r="L65" s="376" t="str">
        <x:v>—</x:v>
      </x:c>
      <x:c r="M65" s="376" t="str">
        <x:v>Tabelog highly rated</x:v>
      </x:c>
      <x:c r="N65" s="376" t="str">
        <x:v>Coffee GF; food varies</x:v>
      </x:c>
      <x:c r="O65" s="376" t="str">
        <x:v>Plant milk may be available</x:v>
      </x:c>
      <x:c r="P65" s="376" t="str">
        <x:v>¥</x:v>
      </x:c>
      <x:c r="Q65" s="376" t="str">
        <x:v>No</x:v>
      </x:c>
      <x:c r="R65" s="376" t="str">
        <x:v>Coffee</x:v>
      </x:c>
      <x:c r="S65" s="376" t="str">
        <x:v>Convenient early coffee.</x:v>
      </x:c>
      <x:c r="T65" s="376" t="str">
        <x:v>Top pick</x:v>
      </x:c>
      <x:c r="U65" s="376" t="str">
        <x:v>Research</x:v>
      </x:c>
      <x:c r="V65" s="376" t="str">
        <x:v>No</x:v>
      </x:c>
      <x:c r="W65" s="376" t="str">
        <x:v>Not booked</x:v>
      </x:c>
      <x:c r="X65" s="376" t="str">
        <x:v>Verify live</x:v>
      </x:c>
      <x:c r="Y65" s="376" t="str">
        <x:v>Yes</x:v>
      </x:c>
      <x:c r="Z65" s="376" t="str">
        <x:v>https://www.google.com/maps/search/?api=1&amp;query=Kurasu+Kyoto+Stand+Kyoto+Japan</x:v>
      </x:c>
      <x:c r="AA65" s="376" t="str">
        <x:v>https://tabelog.com/en/rstLst/?sk=Kurasu+Kyoto+Stand</x:v>
      </x:c>
      <x:c r="AB65" s="376" t="str"/>
      <x:c r="AC65" s="376" t="str"/>
      <x:c r="AD65" s="376" t="str">
        <x:v>2026-07-23</x:v>
      </x:c>
      <x:c r="AE65" s="376" t="str">
        <x:v>Gluten-free and lactose-free accommodation must be reconfirmed directly; cross-contact is not assumed safe.</x:v>
      </x:c>
    </x:row>
    <x:row r="66">
      <x:c r="A66" s="278" t="str">
        <x:v>KY-062</x:v>
      </x:c>
      <x:c r="B66" s="278" t="str">
        <x:v>Kyoto</x:v>
      </x:c>
      <x:c r="C66" s="278" t="str">
        <x:v>Nakagyo</x:v>
      </x:c>
      <x:c r="D66" s="278" t="str">
        <x:v>Weekenders Coffee Tominokoji</x:v>
      </x:c>
      <x:c r="E66" s="278" t="str">
        <x:v>Coffee</x:v>
      </x:c>
      <x:c r="F66" s="278" t="str">
        <x:v>Coffee</x:v>
      </x:c>
      <x:c r="G66" s="278" t="str">
        <x:v>Breakfast,Cafe</x:v>
      </x:c>
      <x:c r="H66" s="278" t="str">
        <x:v>Yes</x:v>
      </x:c>
      <x:c r="I66" s="278" t="str">
        <x:v>No</x:v>
      </x:c>
      <x:c r="J66" s="278" t="str">
        <x:v>No</x:v>
      </x:c>
      <x:c r="K66" s="278" t="str">
        <x:v>Yes</x:v>
      </x:c>
      <x:c r="L66" s="376" t="str">
        <x:v>—</x:v>
      </x:c>
      <x:c r="M66" s="376" t="str">
        <x:v>Tabelog highly rated</x:v>
      </x:c>
      <x:c r="N66" s="376" t="str">
        <x:v>Coffee GF</x:v>
      </x:c>
      <x:c r="O66" s="376" t="str">
        <x:v>Black coffee LF</x:v>
      </x:c>
      <x:c r="P66" s="376" t="str">
        <x:v>¥</x:v>
      </x:c>
      <x:c r="Q66" s="376" t="str">
        <x:v>No</x:v>
      </x:c>
      <x:c r="R66" s="376" t="str">
        <x:v>Coffee</x:v>
      </x:c>
      <x:c r="S66" s="376" t="str">
        <x:v>Destination specialty coffee.</x:v>
      </x:c>
      <x:c r="T66" s="376" t="str">
        <x:v>Top pick</x:v>
      </x:c>
      <x:c r="U66" s="376" t="str">
        <x:v>Research</x:v>
      </x:c>
      <x:c r="V66" s="376" t="str">
        <x:v>No</x:v>
      </x:c>
      <x:c r="W66" s="376" t="str">
        <x:v>Not booked</x:v>
      </x:c>
      <x:c r="X66" s="376" t="str">
        <x:v>Verify live</x:v>
      </x:c>
      <x:c r="Y66" s="376" t="str">
        <x:v>Yes</x:v>
      </x:c>
      <x:c r="Z66" s="376" t="str">
        <x:v>https://www.google.com/maps/search/?api=1&amp;query=Weekenders+Coffee+Tominokoji+Kyoto+Japan</x:v>
      </x:c>
      <x:c r="AA66" s="376" t="str">
        <x:v>https://tabelog.com/en/rstLst/?sk=Weekenders+Coffee+Tominokoji</x:v>
      </x:c>
      <x:c r="AB66" s="376" t="str"/>
      <x:c r="AC66" s="376" t="str"/>
      <x:c r="AD66" s="376" t="str">
        <x:v>2026-07-23</x:v>
      </x:c>
      <x:c r="AE66" s="376" t="str">
        <x:v>Gluten-free and lactose-free accommodation must be reconfirmed directly; cross-contact is not assumed safe.</x:v>
      </x:c>
    </x:row>
    <x:row r="67">
      <x:c r="A67" s="278" t="str">
        <x:v>KY-063</x:v>
      </x:c>
      <x:c r="B67" s="278" t="str">
        <x:v>Kyoto</x:v>
      </x:c>
      <x:c r="C67" s="278" t="str">
        <x:v>Gion</x:v>
      </x:c>
      <x:c r="D67" s="278" t="str">
        <x:v>Gion Duck Noodles</x:v>
      </x:c>
      <x:c r="E67" s="278" t="str">
        <x:v>Ramen</x:v>
      </x:c>
      <x:c r="F67" s="278" t="str">
        <x:v>Ramen</x:v>
      </x:c>
      <x:c r="G67" s="278" t="str">
        <x:v>Lunch,Dinner</x:v>
      </x:c>
      <x:c r="H67" s="278" t="str">
        <x:v>No</x:v>
      </x:c>
      <x:c r="I67" s="278" t="str">
        <x:v>Yes</x:v>
      </x:c>
      <x:c r="J67" s="278" t="str">
        <x:v>Yes</x:v>
      </x:c>
      <x:c r="K67" s="278" t="str">
        <x:v>No</x:v>
      </x:c>
      <x:c r="L67" s="376" t="str">
        <x:v>—</x:v>
      </x:c>
      <x:c r="M67" s="376" t="str">
        <x:v>Tabelog highly rated</x:v>
      </x:c>
      <x:c r="N67" s="376" t="str">
        <x:v>Not GF</x:v>
      </x:c>
      <x:c r="O67" s="376" t="str">
        <x:v>Verify broth</x:v>
      </x:c>
      <x:c r="P67" s="376" t="str">
        <x:v>¥¥</x:v>
      </x:c>
      <x:c r="Q67" s="376" t="str">
        <x:v>Queue</x:v>
      </x:c>
      <x:c r="R67" s="376" t="str">
        <x:v>Duck ramen</x:v>
      </x:c>
      <x:c r="S67" s="376" t="str">
        <x:v>For companions; not GF.</x:v>
      </x:c>
      <x:c r="T67" s="376" t="str">
        <x:v>Consider</x:v>
      </x:c>
      <x:c r="U67" s="376" t="str">
        <x:v>Research</x:v>
      </x:c>
      <x:c r="V67" s="376" t="str">
        <x:v>No</x:v>
      </x:c>
      <x:c r="W67" s="376" t="str">
        <x:v>Not booked</x:v>
      </x:c>
      <x:c r="X67" s="376" t="str">
        <x:v>Verify live</x:v>
      </x:c>
      <x:c r="Y67" s="376" t="str">
        <x:v>No</x:v>
      </x:c>
      <x:c r="Z67" s="376" t="str">
        <x:v>https://www.google.com/maps/search/?api=1&amp;query=Gion+Duck+Noodles+Kyoto+Japan</x:v>
      </x:c>
      <x:c r="AA67" s="376" t="str">
        <x:v>https://tabelog.com/en/rstLst/?sk=Gion+Duck+Noodles</x:v>
      </x:c>
      <x:c r="AB67" s="376" t="str"/>
      <x:c r="AC67" s="376" t="str"/>
      <x:c r="AD67" s="376" t="str">
        <x:v>2026-07-23</x:v>
      </x:c>
      <x:c r="AE67" s="376" t="str">
        <x:v>Gluten-free and lactose-free accommodation must be reconfirmed directly; cross-contact is not assumed safe.</x:v>
      </x:c>
    </x:row>
    <x:row r="68">
      <x:c r="A68" s="278" t="str">
        <x:v>KY-064</x:v>
      </x:c>
      <x:c r="B68" s="278" t="str">
        <x:v>Kyoto</x:v>
      </x:c>
      <x:c r="C68" s="278" t="str">
        <x:v>Nishiki</x:v>
      </x:c>
      <x:c r="D68" s="278" t="str">
        <x:v>Nishiki Market seafood / tamagoyaki stalls</x:v>
      </x:c>
      <x:c r="E68" s="278" t="str">
        <x:v>Market</x:v>
      </x:c>
      <x:c r="F68" s="278" t="str">
        <x:v>Market</x:v>
      </x:c>
      <x:c r="G68" s="278" t="str">
        <x:v>Breakfast,Lunch</x:v>
      </x:c>
      <x:c r="H68" s="278" t="str">
        <x:v>Yes</x:v>
      </x:c>
      <x:c r="I68" s="278" t="str">
        <x:v>Yes</x:v>
      </x:c>
      <x:c r="J68" s="278" t="str">
        <x:v>No</x:v>
      </x:c>
      <x:c r="K68" s="278" t="str">
        <x:v>No</x:v>
      </x:c>
      <x:c r="L68" s="376" t="str">
        <x:v>—</x:v>
      </x:c>
      <x:c r="M68" s="376" t="str">
        <x:v>Tabelog area research</x:v>
      </x:c>
      <x:c r="N68" s="376" t="str">
        <x:v>Choose plain items; verify sauces</x:v>
      </x:c>
      <x:c r="O68" s="376" t="str">
        <x:v>Often low dairy if plain</x:v>
      </x:c>
      <x:c r="P68" s="376" t="str">
        <x:v>¥-¥¥</x:v>
      </x:c>
      <x:c r="Q68" s="376" t="str">
        <x:v>No</x:v>
      </x:c>
      <x:c r="R68" s="376" t="str">
        <x:v>Seafood, rice, pickles</x:v>
      </x:c>
      <x:c r="S68" s="376" t="str">
        <x:v>Carry allergy card and avoid shared fryers.</x:v>
      </x:c>
      <x:c r="T68" s="376" t="str">
        <x:v>Top pick</x:v>
      </x:c>
      <x:c r="U68" s="376" t="str">
        <x:v>Research</x:v>
      </x:c>
      <x:c r="V68" s="376" t="str">
        <x:v>No</x:v>
      </x:c>
      <x:c r="W68" s="376" t="str">
        <x:v>Not booked</x:v>
      </x:c>
      <x:c r="X68" s="376" t="str">
        <x:v>Verify live</x:v>
      </x:c>
      <x:c r="Y68" s="376" t="str">
        <x:v>Yes</x:v>
      </x:c>
      <x:c r="Z68" s="376" t="str">
        <x:v>https://www.google.com/maps/search/?api=1&amp;query=Nishiki+Market+seafood+%2F+tamagoyaki+stalls+Kyoto+Japan</x:v>
      </x:c>
      <x:c r="AA68" s="376" t="str">
        <x:v>https://tabelog.com/en/rstLst/?sk=Nishiki+Market+seafood+%2F+tamagoyaki+stalls</x:v>
      </x:c>
      <x:c r="AB68" s="376" t="str"/>
      <x:c r="AC68" s="376" t="str"/>
      <x:c r="AD68" s="376" t="str">
        <x:v>2026-07-23</x:v>
      </x:c>
      <x:c r="AE68" s="376" t="str">
        <x:v>Gluten-free and lactose-free accommodation must be reconfirmed directly; cross-contact is not assumed safe.</x:v>
      </x:c>
    </x:row>
    <x:row r="69">
      <x:c r="A69" s="278" t="str">
        <x:v>KY-065</x:v>
      </x:c>
      <x:c r="B69" s="278" t="str">
        <x:v>Kyoto</x:v>
      </x:c>
      <x:c r="C69" s="278" t="str">
        <x:v>Kyoto Station</x:v>
      </x:c>
      <x:c r="D69" s="278" t="str">
        <x:v>Katsukura Kyoto Porta</x:v>
      </x:c>
      <x:c r="E69" s="278" t="str">
        <x:v>Tonkatsu</x:v>
      </x:c>
      <x:c r="F69" s="278" t="str">
        <x:v>Tonkatsu</x:v>
      </x:c>
      <x:c r="G69" s="278" t="str">
        <x:v>Lunch,Dinner</x:v>
      </x:c>
      <x:c r="H69" s="278" t="str">
        <x:v>No</x:v>
      </x:c>
      <x:c r="I69" s="278" t="str">
        <x:v>Yes</x:v>
      </x:c>
      <x:c r="J69" s="278" t="str">
        <x:v>Yes</x:v>
      </x:c>
      <x:c r="K69" s="278" t="str">
        <x:v>No</x:v>
      </x:c>
      <x:c r="L69" s="376" t="str">
        <x:v>—</x:v>
      </x:c>
      <x:c r="M69" s="376" t="str">
        <x:v>Tabelog popular</x:v>
      </x:c>
      <x:c r="N69" s="376" t="str">
        <x:v>Standard breading not GF</x:v>
      </x:c>
      <x:c r="O69" s="376" t="str">
        <x:v>Usually low dairy</x:v>
      </x:c>
      <x:c r="P69" s="376" t="str">
        <x:v>¥¥</x:v>
      </x:c>
      <x:c r="Q69" s="376" t="str">
        <x:v>Queue</x:v>
      </x:c>
      <x:c r="R69" s="376" t="str">
        <x:v>Tonkatsu</x:v>
      </x:c>
      <x:c r="S69" s="376" t="str">
        <x:v>Companion option; not GF.</x:v>
      </x:c>
      <x:c r="T69" s="376" t="str">
        <x:v>Group option</x:v>
      </x:c>
      <x:c r="U69" s="376" t="str">
        <x:v>Research</x:v>
      </x:c>
      <x:c r="V69" s="376" t="str">
        <x:v>No</x:v>
      </x:c>
      <x:c r="W69" s="376" t="str">
        <x:v>Not booked</x:v>
      </x:c>
      <x:c r="X69" s="376" t="str">
        <x:v>Verify live</x:v>
      </x:c>
      <x:c r="Y69" s="376" t="str">
        <x:v>No</x:v>
      </x:c>
      <x:c r="Z69" s="376" t="str">
        <x:v>https://www.google.com/maps/search/?api=1&amp;query=Katsukura+Kyoto+Porta+Kyoto+Japan</x:v>
      </x:c>
      <x:c r="AA69" s="376" t="str">
        <x:v>https://tabelog.com/en/rstLst/?sk=Katsukura+Kyoto+Porta</x:v>
      </x:c>
      <x:c r="AB69" s="376" t="str"/>
      <x:c r="AC69" s="376" t="str"/>
      <x:c r="AD69" s="376" t="str">
        <x:v>2026-07-23</x:v>
      </x:c>
      <x:c r="AE69" s="376" t="str">
        <x:v>Gluten-free and lactose-free accommodation must be reconfirmed directly; cross-contact is not assumed safe.</x:v>
      </x:c>
    </x:row>
    <x:row r="70">
      <x:c r="A70" s="278" t="str">
        <x:v>KY-066</x:v>
      </x:c>
      <x:c r="B70" s="278" t="str">
        <x:v>Kyoto</x:v>
      </x:c>
      <x:c r="C70" s="278" t="str">
        <x:v>Shijo</x:v>
      </x:c>
      <x:c r="D70" s="278" t="str">
        <x:v>Katsukura Shijo Teramachi</x:v>
      </x:c>
      <x:c r="E70" s="278" t="str">
        <x:v>Tonkatsu</x:v>
      </x:c>
      <x:c r="F70" s="278" t="str">
        <x:v>Tonkatsu</x:v>
      </x:c>
      <x:c r="G70" s="278" t="str">
        <x:v>Lunch,Dinner</x:v>
      </x:c>
      <x:c r="H70" s="278" t="str">
        <x:v>No</x:v>
      </x:c>
      <x:c r="I70" s="278" t="str">
        <x:v>Yes</x:v>
      </x:c>
      <x:c r="J70" s="278" t="str">
        <x:v>Yes</x:v>
      </x:c>
      <x:c r="K70" s="278" t="str">
        <x:v>No</x:v>
      </x:c>
      <x:c r="L70" s="376" t="str">
        <x:v>—</x:v>
      </x:c>
      <x:c r="M70" s="376" t="str">
        <x:v>Tabelog popular</x:v>
      </x:c>
      <x:c r="N70" s="376" t="str">
        <x:v>Standard breading not GF</x:v>
      </x:c>
      <x:c r="O70" s="376" t="str">
        <x:v>Usually low dairy</x:v>
      </x:c>
      <x:c r="P70" s="376" t="str">
        <x:v>¥¥</x:v>
      </x:c>
      <x:c r="Q70" s="376" t="str">
        <x:v>Queue</x:v>
      </x:c>
      <x:c r="R70" s="376" t="str">
        <x:v>Tonkatsu</x:v>
      </x:c>
      <x:c r="S70" s="376" t="str">
        <x:v>From the user's Japan Tips; not GF.</x:v>
      </x:c>
      <x:c r="T70" s="376" t="str">
        <x:v>Group option</x:v>
      </x:c>
      <x:c r="U70" s="376" t="str">
        <x:v>Research</x:v>
      </x:c>
      <x:c r="V70" s="376" t="str">
        <x:v>No</x:v>
      </x:c>
      <x:c r="W70" s="376" t="str">
        <x:v>Not booked</x:v>
      </x:c>
      <x:c r="X70" s="376" t="str">
        <x:v>Verify live</x:v>
      </x:c>
      <x:c r="Y70" s="376" t="str">
        <x:v>No</x:v>
      </x:c>
      <x:c r="Z70" s="376" t="str">
        <x:v>https://www.google.com/maps/search/?api=1&amp;query=Katsukura+Shijo+Teramachi+Kyoto+Japan</x:v>
      </x:c>
      <x:c r="AA70" s="376" t="str">
        <x:v>https://tabelog.com/en/rstLst/?sk=Katsukura+Shijo+Teramachi</x:v>
      </x:c>
      <x:c r="AB70" s="376" t="str"/>
      <x:c r="AC70" s="376" t="str"/>
      <x:c r="AD70" s="376" t="str">
        <x:v>2026-07-23</x:v>
      </x:c>
      <x:c r="AE70" s="376" t="str">
        <x:v>Gluten-free and lactose-free accommodation must be reconfirmed directly; cross-contact is not assumed safe.</x:v>
      </x:c>
    </x:row>
    <x:row r="71">
      <x:c r="A71" s="278" t="str">
        <x:v>KY-067</x:v>
      </x:c>
      <x:c r="B71" s="278" t="str">
        <x:v>Kyoto</x:v>
      </x:c>
      <x:c r="C71" s="278" t="str">
        <x:v>Pontocho</x:v>
      </x:c>
      <x:c r="D71" s="278" t="str">
        <x:v>Pontocho Robin</x:v>
      </x:c>
      <x:c r="E71" s="278" t="str">
        <x:v>Japanese / Izakaya</x:v>
      </x:c>
      <x:c r="F71" s="278" t="str">
        <x:v>Japanese / Izakaya</x:v>
      </x:c>
      <x:c r="G71" s="278" t="str">
        <x:v>Dinner</x:v>
      </x:c>
      <x:c r="H71" s="278" t="str">
        <x:v>No</x:v>
      </x:c>
      <x:c r="I71" s="278" t="str">
        <x:v>No</x:v>
      </x:c>
      <x:c r="J71" s="278" t="str">
        <x:v>Yes</x:v>
      </x:c>
      <x:c r="K71" s="278" t="str">
        <x:v>No</x:v>
      </x:c>
      <x:c r="L71" s="376" t="str">
        <x:v>—</x:v>
      </x:c>
      <x:c r="M71" s="376" t="str">
        <x:v>Tabelog popular</x:v>
      </x:c>
      <x:c r="N71" s="376" t="str">
        <x:v>Confirm menu and sauces</x:v>
      </x:c>
      <x:c r="O71" s="376" t="str">
        <x:v>Likely adaptable</x:v>
      </x:c>
      <x:c r="P71" s="376" t="str">
        <x:v>¥¥¥</x:v>
      </x:c>
      <x:c r="Q71" s="376" t="str">
        <x:v>Recommended</x:v>
      </x:c>
      <x:c r="R71" s="376" t="str">
        <x:v>Seasonal Japanese dishes</x:v>
      </x:c>
      <x:c r="S71" s="376" t="str">
        <x:v>Atmospheric group dinner.</x:v>
      </x:c>
      <x:c r="T71" s="376" t="str">
        <x:v>Consider</x:v>
      </x:c>
      <x:c r="U71" s="376" t="str">
        <x:v>Research</x:v>
      </x:c>
      <x:c r="V71" s="376" t="str">
        <x:v>No</x:v>
      </x:c>
      <x:c r="W71" s="376" t="str">
        <x:v>Not booked</x:v>
      </x:c>
      <x:c r="X71" s="376" t="str">
        <x:v>Verify live</x:v>
      </x:c>
      <x:c r="Y71" s="376" t="str">
        <x:v>No</x:v>
      </x:c>
      <x:c r="Z71" s="376" t="str">
        <x:v>https://www.google.com/maps/search/?api=1&amp;query=Pontocho+Robin+Kyoto+Japan</x:v>
      </x:c>
      <x:c r="AA71" s="376" t="str">
        <x:v>https://tabelog.com/en/rstLst/?sk=Pontocho+Robin</x:v>
      </x:c>
      <x:c r="AB71" s="376" t="str"/>
      <x:c r="AC71" s="376" t="str"/>
      <x:c r="AD71" s="376" t="str">
        <x:v>2026-07-23</x:v>
      </x:c>
      <x:c r="AE71" s="376" t="str">
        <x:v>Gluten-free and lactose-free accommodation must be reconfirmed directly; cross-contact is not assumed safe.</x:v>
      </x:c>
    </x:row>
    <x:row r="72">
      <x:c r="A72" s="278" t="str">
        <x:v>KY-068</x:v>
      </x:c>
      <x:c r="B72" s="278" t="str">
        <x:v>Kyoto</x:v>
      </x:c>
      <x:c r="C72" s="278" t="str">
        <x:v>Gion</x:v>
      </x:c>
      <x:c r="D72" s="278" t="str">
        <x:v>Tempura Endo Yasaka</x:v>
      </x:c>
      <x:c r="E72" s="278" t="str">
        <x:v>Tempura</x:v>
      </x:c>
      <x:c r="F72" s="278" t="str">
        <x:v>Tempura</x:v>
      </x:c>
      <x:c r="G72" s="278" t="str">
        <x:v>Lunch,Dinner</x:v>
      </x:c>
      <x:c r="H72" s="278" t="str">
        <x:v>No</x:v>
      </x:c>
      <x:c r="I72" s="278" t="str">
        <x:v>Yes</x:v>
      </x:c>
      <x:c r="J72" s="278" t="str">
        <x:v>Yes</x:v>
      </x:c>
      <x:c r="K72" s="278" t="str">
        <x:v>No</x:v>
      </x:c>
      <x:c r="L72" s="376" t="str">
        <x:v>MICHELIN Guide selection</x:v>
      </x:c>
      <x:c r="M72" s="376" t="str">
        <x:v>Tabelog popular</x:v>
      </x:c>
      <x:c r="N72" s="376" t="str">
        <x:v>Not GF in standard form; ask if special menu possible</x:v>
      </x:c>
      <x:c r="O72" s="376" t="str">
        <x:v>Usually low dairy</x:v>
      </x:c>
      <x:c r="P72" s="376" t="str">
        <x:v>¥¥¥¥</x:v>
      </x:c>
      <x:c r="Q72" s="376" t="str">
        <x:v>Required</x:v>
      </x:c>
      <x:c r="R72" s="376" t="str">
        <x:v>Tempura course</x:v>
      </x:c>
      <x:c r="S72" s="376" t="str">
        <x:v>Standard tempura is unsuitable for GF.</x:v>
      </x:c>
      <x:c r="T72" s="376" t="str">
        <x:v>Consider</x:v>
      </x:c>
      <x:c r="U72" s="376" t="str">
        <x:v>Research</x:v>
      </x:c>
      <x:c r="V72" s="376" t="str">
        <x:v>No</x:v>
      </x:c>
      <x:c r="W72" s="376" t="str">
        <x:v>Not booked</x:v>
      </x:c>
      <x:c r="X72" s="376" t="str">
        <x:v>Verify live</x:v>
      </x:c>
      <x:c r="Y72" s="376" t="str">
        <x:v>No</x:v>
      </x:c>
      <x:c r="Z72" s="376" t="str">
        <x:v>https://www.google.com/maps/search/?api=1&amp;query=Tempura+Endo+Yasaka+Kyoto+Japan</x:v>
      </x:c>
      <x:c r="AA72" s="376" t="str">
        <x:v>https://tabelog.com/en/rstLst/?sk=Tempura+Endo+Yasaka</x:v>
      </x:c>
      <x:c r="AB72" s="376" t="str">
        <x:v>https://guide.michelin.com/us/en/kyoto-region/restaurants</x:v>
      </x:c>
      <x:c r="AC72" s="376" t="str"/>
      <x:c r="AD72" s="376" t="str">
        <x:v>2026-07-23</x:v>
      </x:c>
      <x:c r="AE72" s="376" t="str">
        <x:v>Gluten-free and lactose-free accommodation must be reconfirmed directly; cross-contact is not assumed safe.</x:v>
      </x:c>
    </x:row>
    <x:row r="73">
      <x:c r="A73" s="278" t="str">
        <x:v>KY-069</x:v>
      </x:c>
      <x:c r="B73" s="278" t="str">
        <x:v>Kyoto</x:v>
      </x:c>
      <x:c r="C73" s="278" t="str">
        <x:v>Gion</x:v>
      </x:c>
      <x:c r="D73" s="278" t="str">
        <x:v>Izuu</x:v>
      </x:c>
      <x:c r="E73" s="278" t="str">
        <x:v>Saba sushi</x:v>
      </x:c>
      <x:c r="F73" s="278" t="str">
        <x:v>Sushi / Breakfast</x:v>
      </x:c>
      <x:c r="G73" s="278" t="str">
        <x:v>Breakfast,Lunch,Dinner</x:v>
      </x:c>
      <x:c r="H73" s="278" t="str">
        <x:v>Yes</x:v>
      </x:c>
      <x:c r="I73" s="278" t="str">
        <x:v>Yes</x:v>
      </x:c>
      <x:c r="J73" s="278" t="str">
        <x:v>Yes</x:v>
      </x:c>
      <x:c r="K73" s="278" t="str">
        <x:v>No</x:v>
      </x:c>
      <x:c r="L73" s="376" t="str">
        <x:v>MICHELIN Guide selection</x:v>
      </x:c>
      <x:c r="M73" s="376" t="str">
        <x:v>Tabelog classic</x:v>
      </x:c>
      <x:c r="N73" s="376" t="str">
        <x:v>Confirm vinegar/soy ingredients</x:v>
      </x:c>
      <x:c r="O73" s="376" t="str">
        <x:v>Naturally low dairy</x:v>
      </x:c>
      <x:c r="P73" s="376" t="str">
        <x:v>¥¥¥</x:v>
      </x:c>
      <x:c r="Q73" s="376" t="str">
        <x:v>Queue/Recommended</x:v>
      </x:c>
      <x:c r="R73" s="376" t="str">
        <x:v>Mackerel sushi</x:v>
      </x:c>
      <x:c r="S73" s="376" t="str">
        <x:v>Historic Kyoto specialty.</x:v>
      </x:c>
      <x:c r="T73" s="376" t="str">
        <x:v>Consider</x:v>
      </x:c>
      <x:c r="U73" s="376" t="str">
        <x:v>Research</x:v>
      </x:c>
      <x:c r="V73" s="376" t="str">
        <x:v>No</x:v>
      </x:c>
      <x:c r="W73" s="376" t="str">
        <x:v>Not booked</x:v>
      </x:c>
      <x:c r="X73" s="376" t="str">
        <x:v>Verify live</x:v>
      </x:c>
      <x:c r="Y73" s="376" t="str">
        <x:v>Yes</x:v>
      </x:c>
      <x:c r="Z73" s="376" t="str">
        <x:v>https://www.google.com/maps/search/?api=1&amp;query=Izuu+Kyoto+Japan</x:v>
      </x:c>
      <x:c r="AA73" s="376" t="str">
        <x:v>https://tabelog.com/en/rstLst/?sk=Izuu</x:v>
      </x:c>
      <x:c r="AB73" s="376" t="str">
        <x:v>https://guide.michelin.com/us/en/kyoto-region/restaurants</x:v>
      </x:c>
      <x:c r="AC73" s="376" t="str"/>
      <x:c r="AD73" s="376" t="str">
        <x:v>2026-07-23</x:v>
      </x:c>
      <x:c r="AE73" s="376" t="str">
        <x:v>Gluten-free and lactose-free accommodation must be reconfirmed directly; cross-contact is not assumed safe.</x:v>
      </x:c>
    </x:row>
    <x:row r="74">
      <x:c r="A74" s="278" t="str">
        <x:v>KY-070</x:v>
      </x:c>
      <x:c r="B74" s="278" t="str">
        <x:v>Kyoto</x:v>
      </x:c>
      <x:c r="C74" s="278" t="str">
        <x:v>Arashiyama</x:v>
      </x:c>
      <x:c r="D74" s="278" t="str">
        <x:v>Shoraian</x:v>
      </x:c>
      <x:c r="E74" s="278" t="str">
        <x:v>Tofu cuisine</x:v>
      </x:c>
      <x:c r="F74" s="278" t="str">
        <x:v>Tofu cuisine</x:v>
      </x:c>
      <x:c r="G74" s="278" t="str">
        <x:v>Lunch</x:v>
      </x:c>
      <x:c r="H74" s="278" t="str">
        <x:v>No</x:v>
      </x:c>
      <x:c r="I74" s="278" t="str">
        <x:v>Yes</x:v>
      </x:c>
      <x:c r="J74" s="278" t="str">
        <x:v>No</x:v>
      </x:c>
      <x:c r="K74" s="278" t="str">
        <x:v>No</x:v>
      </x:c>
      <x:c r="L74" s="376" t="str">
        <x:v>MICHELIN Guide selection</x:v>
      </x:c>
      <x:c r="M74" s="376" t="str">
        <x:v>Tabelog highly rated</x:v>
      </x:c>
      <x:c r="N74" s="376" t="str">
        <x:v>Confirm soy sauce and thickeners</x:v>
      </x:c>
      <x:c r="O74" s="376" t="str">
        <x:v>Many dishes naturally LF; confirm</x:v>
      </x:c>
      <x:c r="P74" s="376" t="str">
        <x:v>¥¥¥</x:v>
      </x:c>
      <x:c r="Q74" s="376" t="str">
        <x:v>Required</x:v>
      </x:c>
      <x:c r="R74" s="376" t="str">
        <x:v>Tofu kaiseki</x:v>
      </x:c>
      <x:c r="S74" s="376" t="str">
        <x:v>Scenic Arashiyama lunch.</x:v>
      </x:c>
      <x:c r="T74" s="376" t="str">
        <x:v>Top pick</x:v>
      </x:c>
      <x:c r="U74" s="376" t="str">
        <x:v>Research</x:v>
      </x:c>
      <x:c r="V74" s="376" t="str">
        <x:v>No</x:v>
      </x:c>
      <x:c r="W74" s="376" t="str">
        <x:v>Not booked</x:v>
      </x:c>
      <x:c r="X74" s="376" t="str">
        <x:v>Verify live</x:v>
      </x:c>
      <x:c r="Y74" s="376" t="str">
        <x:v>No</x:v>
      </x:c>
      <x:c r="Z74" s="376" t="str">
        <x:v>https://www.google.com/maps/search/?api=1&amp;query=Shoraian+Kyoto+Japan</x:v>
      </x:c>
      <x:c r="AA74" s="376" t="str">
        <x:v>https://tabelog.com/en/rstLst/?sk=Shoraian</x:v>
      </x:c>
      <x:c r="AB74" s="376" t="str">
        <x:v>https://guide.michelin.com/us/en/kyoto-region/restaurants</x:v>
      </x:c>
      <x:c r="AC74" s="376" t="str"/>
      <x:c r="AD74" s="376" t="str">
        <x:v>2026-07-23</x:v>
      </x:c>
      <x:c r="AE74" s="376" t="str">
        <x:v>Gluten-free and lactose-free accommodation must be reconfirmed directly; cross-contact is not assumed safe.</x:v>
      </x:c>
    </x:row>
    <x:row r="75">
      <x:c r="A75" s="278" t="str">
        <x:v>KY-071</x:v>
      </x:c>
      <x:c r="B75" s="278" t="str">
        <x:v>Kyoto</x:v>
      </x:c>
      <x:c r="C75" s="278" t="str">
        <x:v>Nanzenji</x:v>
      </x:c>
      <x:c r="D75" s="278" t="str">
        <x:v>Okutan Nanzenji</x:v>
      </x:c>
      <x:c r="E75" s="278" t="str">
        <x:v>Tofu cuisine</x:v>
      </x:c>
      <x:c r="F75" s="278" t="str">
        <x:v>Tofu cuisine</x:v>
      </x:c>
      <x:c r="G75" s="278" t="str">
        <x:v>Lunch</x:v>
      </x:c>
      <x:c r="H75" s="278" t="str">
        <x:v>No</x:v>
      </x:c>
      <x:c r="I75" s="278" t="str">
        <x:v>Yes</x:v>
      </x:c>
      <x:c r="J75" s="278" t="str">
        <x:v>No</x:v>
      </x:c>
      <x:c r="K75" s="278" t="str">
        <x:v>No</x:v>
      </x:c>
      <x:c r="L75" s="376" t="str">
        <x:v>MICHELIN Guide selection</x:v>
      </x:c>
      <x:c r="M75" s="376" t="str">
        <x:v>Tabelog classic</x:v>
      </x:c>
      <x:c r="N75" s="376" t="str">
        <x:v>Confirm soy sauce and wheat</x:v>
      </x:c>
      <x:c r="O75" s="376" t="str">
        <x:v>Generally low dairy</x:v>
      </x:c>
      <x:c r="P75" s="376" t="str">
        <x:v>¥¥¥</x:v>
      </x:c>
      <x:c r="Q75" s="376" t="str">
        <x:v>Recommended</x:v>
      </x:c>
      <x:c r="R75" s="376" t="str">
        <x:v>Yudofu</x:v>
      </x:c>
      <x:c r="S75" s="376" t="str">
        <x:v>Traditional lunch near temples.</x:v>
      </x:c>
      <x:c r="T75" s="376" t="str">
        <x:v>Consider</x:v>
      </x:c>
      <x:c r="U75" s="376" t="str">
        <x:v>Research</x:v>
      </x:c>
      <x:c r="V75" s="376" t="str">
        <x:v>No</x:v>
      </x:c>
      <x:c r="W75" s="376" t="str">
        <x:v>Not booked</x:v>
      </x:c>
      <x:c r="X75" s="376" t="str">
        <x:v>Verify live</x:v>
      </x:c>
      <x:c r="Y75" s="376" t="str">
        <x:v>No</x:v>
      </x:c>
      <x:c r="Z75" s="376" t="str">
        <x:v>https://www.google.com/maps/search/?api=1&amp;query=Okutan+Nanzenji+Kyoto+Japan</x:v>
      </x:c>
      <x:c r="AA75" s="376" t="str">
        <x:v>https://tabelog.com/en/rstLst/?sk=Okutan+Nanzenji</x:v>
      </x:c>
      <x:c r="AB75" s="376" t="str">
        <x:v>https://guide.michelin.com/us/en/kyoto-region/restaurants</x:v>
      </x:c>
      <x:c r="AC75" s="376" t="str"/>
      <x:c r="AD75" s="376" t="str">
        <x:v>2026-07-23</x:v>
      </x:c>
      <x:c r="AE75" s="376" t="str">
        <x:v>Gluten-free and lactose-free accommodation must be reconfirmed directly; cross-contact is not assumed safe.</x:v>
      </x:c>
    </x:row>
    <x:row r="76">
      <x:c r="A76" s="278" t="str">
        <x:v>KY-072</x:v>
      </x:c>
      <x:c r="B76" s="278" t="str">
        <x:v>Kyoto</x:v>
      </x:c>
      <x:c r="C76" s="278" t="str">
        <x:v>Higashiyama</x:v>
      </x:c>
      <x:c r="D76" s="278" t="str">
        <x:v>Omen Kodaiji</x:v>
      </x:c>
      <x:c r="E76" s="278" t="str">
        <x:v>Udon</x:v>
      </x:c>
      <x:c r="F76" s="278" t="str">
        <x:v>Udon</x:v>
      </x:c>
      <x:c r="G76" s="278" t="str">
        <x:v>Lunch,Dinner</x:v>
      </x:c>
      <x:c r="H76" s="278" t="str">
        <x:v>No</x:v>
      </x:c>
      <x:c r="I76" s="278" t="str">
        <x:v>Yes</x:v>
      </x:c>
      <x:c r="J76" s="278" t="str">
        <x:v>Yes</x:v>
      </x:c>
      <x:c r="K76" s="278" t="str">
        <x:v>No</x:v>
      </x:c>
      <x:c r="L76" s="376" t="str">
        <x:v>—</x:v>
      </x:c>
      <x:c r="M76" s="376" t="str">
        <x:v>Tabelog popular</x:v>
      </x:c>
      <x:c r="N76" s="376" t="str">
        <x:v>Not GF</x:v>
      </x:c>
      <x:c r="O76" s="376" t="str">
        <x:v>Usually dairy-free</x:v>
      </x:c>
      <x:c r="P76" s="376" t="str">
        <x:v>¥¥</x:v>
      </x:c>
      <x:c r="Q76" s="376" t="str">
        <x:v>Queue</x:v>
      </x:c>
      <x:c r="R76" s="376" t="str">
        <x:v>Udon</x:v>
      </x:c>
      <x:c r="S76" s="376" t="str">
        <x:v>Good group option; not GF.</x:v>
      </x:c>
      <x:c r="T76" s="376" t="str">
        <x:v>Group option</x:v>
      </x:c>
      <x:c r="U76" s="376" t="str">
        <x:v>Research</x:v>
      </x:c>
      <x:c r="V76" s="376" t="str">
        <x:v>No</x:v>
      </x:c>
      <x:c r="W76" s="376" t="str">
        <x:v>Not booked</x:v>
      </x:c>
      <x:c r="X76" s="376" t="str">
        <x:v>Verify live</x:v>
      </x:c>
      <x:c r="Y76" s="376" t="str">
        <x:v>No</x:v>
      </x:c>
      <x:c r="Z76" s="376" t="str">
        <x:v>https://www.google.com/maps/search/?api=1&amp;query=Omen+Kodaiji+Kyoto+Japan</x:v>
      </x:c>
      <x:c r="AA76" s="376" t="str">
        <x:v>https://tabelog.com/en/rstLst/?sk=Omen+Kodaiji</x:v>
      </x:c>
      <x:c r="AB76" s="376" t="str"/>
      <x:c r="AC76" s="376" t="str"/>
      <x:c r="AD76" s="376" t="str">
        <x:v>2026-07-23</x:v>
      </x:c>
      <x:c r="AE76" s="376" t="str">
        <x:v>Gluten-free and lactose-free accommodation must be reconfirmed directly; cross-contact is not assumed safe.</x:v>
      </x:c>
    </x:row>
    <x:row r="77">
      <x:c r="A77" s="278" t="str">
        <x:v>KY-073</x:v>
      </x:c>
      <x:c r="B77" s="278" t="str">
        <x:v>Kyoto</x:v>
      </x:c>
      <x:c r="C77" s="278" t="str">
        <x:v>Demachiyanagi</x:v>
      </x:c>
      <x:c r="D77" s="278" t="str">
        <x:v>Demachi Futaba</x:v>
      </x:c>
      <x:c r="E77" s="278" t="str">
        <x:v>Wagashi</x:v>
      </x:c>
      <x:c r="F77" s="278" t="str">
        <x:v>Wagashi</x:v>
      </x:c>
      <x:c r="G77" s="278" t="str">
        <x:v>Breakfast,Lunch,Dessert</x:v>
      </x:c>
      <x:c r="H77" s="278" t="str">
        <x:v>Yes</x:v>
      </x:c>
      <x:c r="I77" s="278" t="str">
        <x:v>Yes</x:v>
      </x:c>
      <x:c r="J77" s="278" t="str">
        <x:v>No</x:v>
      </x:c>
      <x:c r="K77" s="278" t="str">
        <x:v>Yes</x:v>
      </x:c>
      <x:c r="L77" s="376" t="str">
        <x:v>—</x:v>
      </x:c>
      <x:c r="M77" s="376" t="str">
        <x:v>Tabelog highly rated</x:v>
      </x:c>
      <x:c r="N77" s="376" t="str">
        <x:v>Rice-based sweets; verify flour/dustings</x:v>
      </x:c>
      <x:c r="O77" s="376" t="str">
        <x:v>Usually lactose-free</x:v>
      </x:c>
      <x:c r="P77" s="376" t="str">
        <x:v>¥</x:v>
      </x:c>
      <x:c r="Q77" s="376" t="str">
        <x:v>Queue</x:v>
      </x:c>
      <x:c r="R77" s="376" t="str">
        <x:v>Mame daifuku</x:v>
      </x:c>
      <x:c r="S77" s="376" t="str">
        <x:v>Excellent simple sweet stop.</x:v>
      </x:c>
      <x:c r="T77" s="376" t="str">
        <x:v>Top pick</x:v>
      </x:c>
      <x:c r="U77" s="376" t="str">
        <x:v>Research</x:v>
      </x:c>
      <x:c r="V77" s="376" t="str">
        <x:v>No</x:v>
      </x:c>
      <x:c r="W77" s="376" t="str">
        <x:v>Not booked</x:v>
      </x:c>
      <x:c r="X77" s="376" t="str">
        <x:v>Verify live</x:v>
      </x:c>
      <x:c r="Y77" s="376" t="str">
        <x:v>Yes</x:v>
      </x:c>
      <x:c r="Z77" s="376" t="str">
        <x:v>https://www.google.com/maps/search/?api=1&amp;query=Demachi+Futaba+Kyoto+Japan</x:v>
      </x:c>
      <x:c r="AA77" s="376" t="str">
        <x:v>https://tabelog.com/en/rstLst/?sk=Demachi+Futaba</x:v>
      </x:c>
      <x:c r="AB77" s="376" t="str"/>
      <x:c r="AC77" s="376" t="str"/>
      <x:c r="AD77" s="376" t="str">
        <x:v>2026-07-23</x:v>
      </x:c>
      <x:c r="AE77" s="376" t="str">
        <x:v>Gluten-free and lactose-free accommodation must be reconfirmed directly; cross-contact is not assumed safe.</x:v>
      </x:c>
    </x:row>
    <x:row r="78">
      <x:c r="A78" s="278" t="str">
        <x:v>KY-074</x:v>
      </x:c>
      <x:c r="B78" s="278" t="str">
        <x:v>Kyoto</x:v>
      </x:c>
      <x:c r="C78" s="278" t="str">
        <x:v>Gion</x:v>
      </x:c>
      <x:c r="D78" s="278" t="str">
        <x:v>Gion Tanto</x:v>
      </x:c>
      <x:c r="E78" s="278" t="str">
        <x:v>Okonomiyaki</x:v>
      </x:c>
      <x:c r="F78" s="278" t="str">
        <x:v>Okonomiyaki</x:v>
      </x:c>
      <x:c r="G78" s="278" t="str">
        <x:v>Lunch,Dinner</x:v>
      </x:c>
      <x:c r="H78" s="278" t="str">
        <x:v>No</x:v>
      </x:c>
      <x:c r="I78" s="278" t="str">
        <x:v>Yes</x:v>
      </x:c>
      <x:c r="J78" s="278" t="str">
        <x:v>Yes</x:v>
      </x:c>
      <x:c r="K78" s="278" t="str">
        <x:v>No</x:v>
      </x:c>
      <x:c r="L78" s="376" t="str">
        <x:v>—</x:v>
      </x:c>
      <x:c r="M78" s="376" t="str">
        <x:v>Tabelog popular</x:v>
      </x:c>
      <x:c r="N78" s="376" t="str">
        <x:v>Standard batter contains wheat</x:v>
      </x:c>
      <x:c r="O78" s="376" t="str">
        <x:v>Cheese can be omitted</x:v>
      </x:c>
      <x:c r="P78" s="376" t="str">
        <x:v>¥¥</x:v>
      </x:c>
      <x:c r="Q78" s="376" t="str">
        <x:v>Queue</x:v>
      </x:c>
      <x:c r="R78" s="376" t="str">
        <x:v>Okonomiyaki</x:v>
      </x:c>
      <x:c r="S78" s="376" t="str">
        <x:v>For companions unless GF accommodation confirmed.</x:v>
      </x:c>
      <x:c r="T78" s="376" t="str">
        <x:v>Group option</x:v>
      </x:c>
      <x:c r="U78" s="376" t="str">
        <x:v>Research</x:v>
      </x:c>
      <x:c r="V78" s="376" t="str">
        <x:v>No</x:v>
      </x:c>
      <x:c r="W78" s="376" t="str">
        <x:v>Not booked</x:v>
      </x:c>
      <x:c r="X78" s="376" t="str">
        <x:v>Verify live</x:v>
      </x:c>
      <x:c r="Y78" s="376" t="str">
        <x:v>No</x:v>
      </x:c>
      <x:c r="Z78" s="376" t="str">
        <x:v>https://www.google.com/maps/search/?api=1&amp;query=Gion+Tanto+Kyoto+Japan</x:v>
      </x:c>
      <x:c r="AA78" s="376" t="str">
        <x:v>https://tabelog.com/en/rstLst/?sk=Gion+Tanto</x:v>
      </x:c>
      <x:c r="AB78" s="376" t="str"/>
      <x:c r="AC78" s="376" t="str"/>
      <x:c r="AD78" s="376" t="str">
        <x:v>2026-07-23</x:v>
      </x:c>
      <x:c r="AE78" s="376" t="str">
        <x:v>Gluten-free and lactose-free accommodation must be reconfirmed directly; cross-contact is not assumed safe.</x:v>
      </x:c>
    </x:row>
    <x:row r="79">
      <x:c r="A79" s="278" t="str">
        <x:v>OS-075</x:v>
      </x:c>
      <x:c r="B79" s="278" t="str">
        <x:v>Osaka</x:v>
      </x:c>
      <x:c r="C79" s="278" t="str">
        <x:v>Nishi-Azabu / Nakanoshima</x:v>
      </x:c>
      <x:c r="D79" s="278" t="str">
        <x:v>HAJIME</x:v>
      </x:c>
      <x:c r="E79" s="278" t="str">
        <x:v>Innovative</x:v>
      </x:c>
      <x:c r="F79" s="278" t="str">
        <x:v>Innovative</x:v>
      </x:c>
      <x:c r="G79" s="278" t="str">
        <x:v>Lunch,Dinner</x:v>
      </x:c>
      <x:c r="H79" s="278" t="str">
        <x:v>No</x:v>
      </x:c>
      <x:c r="I79" s="278" t="str">
        <x:v>Yes</x:v>
      </x:c>
      <x:c r="J79" s="278" t="str">
        <x:v>Yes</x:v>
      </x:c>
      <x:c r="K79" s="278" t="str">
        <x:v>No</x:v>
      </x:c>
      <x:c r="L79" s="376" t="str">
        <x:v>3★ / MICHELIN Guide</x:v>
      </x:c>
      <x:c r="M79" s="376" t="str">
        <x:v>Tabelog highly rated</x:v>
      </x:c>
      <x:c r="N79" s="376" t="str">
        <x:v>Confirm before booking</x:v>
      </x:c>
      <x:c r="O79" s="376" t="str">
        <x:v>Confirm before booking</x:v>
      </x:c>
      <x:c r="P79" s="376" t="str">
        <x:v>¥¥¥¥</x:v>
      </x:c>
      <x:c r="Q79" s="376" t="str">
        <x:v>Required</x:v>
      </x:c>
      <x:c r="R79" s="376" t="str">
        <x:v>Tasting menu</x:v>
      </x:c>
      <x:c r="S79" s="376" t="str">
        <x:v>Only reserve after written dietary acceptance.</x:v>
      </x:c>
      <x:c r="T79" s="376" t="str">
        <x:v>Bucket list</x:v>
      </x:c>
      <x:c r="U79" s="376" t="str">
        <x:v>Research</x:v>
      </x:c>
      <x:c r="V79" s="376" t="str">
        <x:v>No</x:v>
      </x:c>
      <x:c r="W79" s="376" t="str">
        <x:v>Not booked</x:v>
      </x:c>
      <x:c r="X79" s="376" t="str">
        <x:v>Verify live</x:v>
      </x:c>
      <x:c r="Y79" s="376" t="str">
        <x:v>No</x:v>
      </x:c>
      <x:c r="Z79" s="376" t="str">
        <x:v>https://www.google.com/maps/search/?api=1&amp;query=HAJIME+Osaka+Japan</x:v>
      </x:c>
      <x:c r="AA79" s="376" t="str">
        <x:v>https://tabelog.com/en/rstLst/?sk=HAJIME</x:v>
      </x:c>
      <x:c r="AB79" s="376" t="str">
        <x:v>https://guide.michelin.com/us/en/osaka-region/osaka/restaurants</x:v>
      </x:c>
      <x:c r="AC79" s="376" t="str"/>
      <x:c r="AD79" s="376" t="str">
        <x:v>2026-07-23</x:v>
      </x:c>
      <x:c r="AE79" s="376" t="str">
        <x:v>Gluten-free and lactose-free accommodation must be reconfirmed directly; cross-contact is not assumed safe.</x:v>
      </x:c>
    </x:row>
    <x:row r="80">
      <x:c r="A80" s="278" t="str">
        <x:v>OS-076</x:v>
      </x:c>
      <x:c r="B80" s="278" t="str">
        <x:v>Osaka</x:v>
      </x:c>
      <x:c r="C80" s="278" t="str">
        <x:v>Honmachi</x:v>
      </x:c>
      <x:c r="D80" s="278" t="str">
        <x:v>La Cime</x:v>
      </x:c>
      <x:c r="E80" s="278" t="str">
        <x:v>French / Japanese</x:v>
      </x:c>
      <x:c r="F80" s="278" t="str">
        <x:v>French / Japanese</x:v>
      </x:c>
      <x:c r="G80" s="278" t="str">
        <x:v>Lunch,Dinner</x:v>
      </x:c>
      <x:c r="H80" s="278" t="str">
        <x:v>No</x:v>
      </x:c>
      <x:c r="I80" s="278" t="str">
        <x:v>Yes</x:v>
      </x:c>
      <x:c r="J80" s="278" t="str">
        <x:v>Yes</x:v>
      </x:c>
      <x:c r="K80" s="278" t="str">
        <x:v>No</x:v>
      </x:c>
      <x:c r="L80" s="376" t="str">
        <x:v>2★ / MICHELIN Guide</x:v>
      </x:c>
      <x:c r="M80" s="376" t="str">
        <x:v>Tabelog highly rated</x:v>
      </x:c>
      <x:c r="N80" s="376" t="str">
        <x:v>Confirm before booking</x:v>
      </x:c>
      <x:c r="O80" s="376" t="str">
        <x:v>Confirm before booking</x:v>
      </x:c>
      <x:c r="P80" s="376" t="str">
        <x:v>¥¥¥¥</x:v>
      </x:c>
      <x:c r="Q80" s="376" t="str">
        <x:v>Required</x:v>
      </x:c>
      <x:c r="R80" s="376" t="str">
        <x:v>Tasting menu</x:v>
      </x:c>
      <x:c r="S80" s="376" t="str">
        <x:v>Dairy likely; detailed request essential.</x:v>
      </x:c>
      <x:c r="T80" s="376" t="str">
        <x:v>Bucket list</x:v>
      </x:c>
      <x:c r="U80" s="376" t="str">
        <x:v>Research</x:v>
      </x:c>
      <x:c r="V80" s="376" t="str">
        <x:v>No</x:v>
      </x:c>
      <x:c r="W80" s="376" t="str">
        <x:v>Not booked</x:v>
      </x:c>
      <x:c r="X80" s="376" t="str">
        <x:v>Verify live</x:v>
      </x:c>
      <x:c r="Y80" s="376" t="str">
        <x:v>No</x:v>
      </x:c>
      <x:c r="Z80" s="376" t="str">
        <x:v>https://www.google.com/maps/search/?api=1&amp;query=La+Cime+Osaka+Japan</x:v>
      </x:c>
      <x:c r="AA80" s="376" t="str">
        <x:v>https://tabelog.com/en/rstLst/?sk=La+Cime</x:v>
      </x:c>
      <x:c r="AB80" s="376" t="str">
        <x:v>https://guide.michelin.com/us/en/osaka-region/osaka/restaurants</x:v>
      </x:c>
      <x:c r="AC80" s="376" t="str"/>
      <x:c r="AD80" s="376" t="str">
        <x:v>2026-07-23</x:v>
      </x:c>
      <x:c r="AE80" s="376" t="str">
        <x:v>Gluten-free and lactose-free accommodation must be reconfirmed directly; cross-contact is not assumed safe.</x:v>
      </x:c>
    </x:row>
    <x:row r="81">
      <x:c r="A81" s="376" t="str">
        <x:v>OS-077</x:v>
      </x:c>
      <x:c r="B81" s="376" t="str">
        <x:v>Osaka</x:v>
      </x:c>
      <x:c r="C81" s="376" t="str">
        <x:v>Suita</x:v>
      </x:c>
      <x:c r="D81" s="376" t="str">
        <x:v>Kashiwaya Osaka Senriyama</x:v>
      </x:c>
      <x:c r="E81" s="376" t="str">
        <x:v>Kaiseki</x:v>
      </x:c>
      <x:c r="F81" s="376" t="str">
        <x:v>Kaiseki</x:v>
      </x:c>
      <x:c r="G81" s="376" t="str">
        <x:v>Lunch,Dinner</x:v>
      </x:c>
      <x:c r="H81" s="376" t="str">
        <x:v>No</x:v>
      </x:c>
      <x:c r="I81" s="376" t="str">
        <x:v>Yes</x:v>
      </x:c>
      <x:c r="J81" s="376" t="str">
        <x:v>Yes</x:v>
      </x:c>
      <x:c r="K81" s="376" t="str">
        <x:v>No</x:v>
      </x:c>
      <x:c r="L81" s="376" t="str">
        <x:v>3★ / MICHELIN Guide</x:v>
      </x:c>
      <x:c r="M81" s="376" t="str">
        <x:v>Tabelog highly rated</x:v>
      </x:c>
      <x:c r="N81" s="376" t="str">
        <x:v>Confirm before booking</x:v>
      </x:c>
      <x:c r="O81" s="376" t="str">
        <x:v>Confirm before booking</x:v>
      </x:c>
      <x:c r="P81" s="376" t="str">
        <x:v>¥¥¥¥</x:v>
      </x:c>
      <x:c r="Q81" s="376" t="str">
        <x:v>Required</x:v>
      </x:c>
      <x:c r="R81" s="376" t="str">
        <x:v>Kaiseki</x:v>
      </x:c>
      <x:c r="S81" s="376" t="str">
        <x:v>Destination meal outside central Osaka.</x:v>
      </x:c>
      <x:c r="T81" s="376" t="str">
        <x:v>Bucket list</x:v>
      </x:c>
      <x:c r="U81" s="376" t="str">
        <x:v>Research</x:v>
      </x:c>
      <x:c r="V81" s="376" t="str">
        <x:v>No</x:v>
      </x:c>
      <x:c r="W81" s="376" t="str">
        <x:v>Not booked</x:v>
      </x:c>
      <x:c r="X81" s="376" t="str">
        <x:v>Verify live</x:v>
      </x:c>
      <x:c r="Y81" s="376" t="str">
        <x:v>No</x:v>
      </x:c>
      <x:c r="Z81" s="376" t="str">
        <x:v>https://www.google.com/maps/search/?api=1&amp;query=Kashiwaya+Osaka+Senriyama+Osaka+Japan</x:v>
      </x:c>
      <x:c r="AA81" s="376" t="str">
        <x:v>https://tabelog.com/en/rstLst/?sk=Kashiwaya+Osaka+Senriyama</x:v>
      </x:c>
      <x:c r="AB81" s="376" t="str">
        <x:v>https://guide.michelin.com/us/en/osaka-region/osaka/restaurants</x:v>
      </x:c>
      <x:c r="AC81" s="376" t="str"/>
      <x:c r="AD81" s="376" t="str">
        <x:v>2026-07-23</x:v>
      </x:c>
      <x:c r="AE81" s="376" t="str">
        <x:v>Gluten-free and lactose-free accommodation must be reconfirmed directly; cross-contact is not assumed safe.</x:v>
      </x:c>
    </x:row>
    <x:row r="82">
      <x:c r="A82" s="376" t="str">
        <x:v>OS-078</x:v>
      </x:c>
      <x:c r="B82" s="376" t="str">
        <x:v>Osaka</x:v>
      </x:c>
      <x:c r="C82" s="376" t="str">
        <x:v>Matsuyamachi</x:v>
      </x:c>
      <x:c r="D82" s="376" t="str">
        <x:v>Taian</x:v>
      </x:c>
      <x:c r="E82" s="376" t="str">
        <x:v>Kaiseki</x:v>
      </x:c>
      <x:c r="F82" s="376" t="str">
        <x:v>Kaiseki</x:v>
      </x:c>
      <x:c r="G82" s="376" t="str">
        <x:v>Dinner</x:v>
      </x:c>
      <x:c r="H82" s="376" t="str">
        <x:v>No</x:v>
      </x:c>
      <x:c r="I82" s="376" t="str">
        <x:v>No</x:v>
      </x:c>
      <x:c r="J82" s="376" t="str">
        <x:v>Yes</x:v>
      </x:c>
      <x:c r="K82" s="376" t="str">
        <x:v>No</x:v>
      </x:c>
      <x:c r="L82" s="376" t="str">
        <x:v>3★ / MICHELIN Guide</x:v>
      </x:c>
      <x:c r="M82" s="376" t="str">
        <x:v>Tabelog highly rated</x:v>
      </x:c>
      <x:c r="N82" s="376" t="str">
        <x:v>Confirm before booking</x:v>
      </x:c>
      <x:c r="O82" s="376" t="str">
        <x:v>Confirm before booking</x:v>
      </x:c>
      <x:c r="P82" s="376" t="str">
        <x:v>¥¥¥¥</x:v>
      </x:c>
      <x:c r="Q82" s="376" t="str">
        <x:v>Required</x:v>
      </x:c>
      <x:c r="R82" s="376" t="str">
        <x:v>Kaiseki</x:v>
      </x:c>
      <x:c r="S82" s="376" t="str">
        <x:v>Very difficult reservation.</x:v>
      </x:c>
      <x:c r="T82" s="376" t="str">
        <x:v>Bucket list</x:v>
      </x:c>
      <x:c r="U82" s="376" t="str">
        <x:v>Research</x:v>
      </x:c>
      <x:c r="V82" s="376" t="str">
        <x:v>No</x:v>
      </x:c>
      <x:c r="W82" s="376" t="str">
        <x:v>Not booked</x:v>
      </x:c>
      <x:c r="X82" s="376" t="str">
        <x:v>Verify live</x:v>
      </x:c>
      <x:c r="Y82" s="376" t="str">
        <x:v>No</x:v>
      </x:c>
      <x:c r="Z82" s="376" t="str">
        <x:v>https://www.google.com/maps/search/?api=1&amp;query=Taian+Osaka+Japan</x:v>
      </x:c>
      <x:c r="AA82" s="376" t="str">
        <x:v>https://tabelog.com/en/rstLst/?sk=Taian</x:v>
      </x:c>
      <x:c r="AB82" s="376" t="str">
        <x:v>https://guide.michelin.com/us/en/osaka-region/osaka/restaurants</x:v>
      </x:c>
      <x:c r="AC82" s="376" t="str"/>
      <x:c r="AD82" s="376" t="str">
        <x:v>2026-07-23</x:v>
      </x:c>
      <x:c r="AE82" s="376" t="str">
        <x:v>Gluten-free and lactose-free accommodation must be reconfirmed directly; cross-contact is not assumed safe.</x:v>
      </x:c>
    </x:row>
    <x:row r="83">
      <x:c r="A83" s="376" t="str">
        <x:v>OS-079</x:v>
      </x:c>
      <x:c r="B83" s="376" t="str">
        <x:v>Osaka</x:v>
      </x:c>
      <x:c r="C83" s="376" t="str">
        <x:v>Sakaisuji-Hommachi</x:v>
      </x:c>
      <x:c r="D83" s="376" t="str">
        <x:v>Fujiya 1935</x:v>
      </x:c>
      <x:c r="E83" s="376" t="str">
        <x:v>Innovative Spanish/Japanese</x:v>
      </x:c>
      <x:c r="F83" s="376" t="str">
        <x:v>Innovative Spanish/Japanese</x:v>
      </x:c>
      <x:c r="G83" s="376" t="str">
        <x:v>Lunch,Dinner</x:v>
      </x:c>
      <x:c r="H83" s="376" t="str">
        <x:v>No</x:v>
      </x:c>
      <x:c r="I83" s="376" t="str">
        <x:v>Yes</x:v>
      </x:c>
      <x:c r="J83" s="376" t="str">
        <x:v>Yes</x:v>
      </x:c>
      <x:c r="K83" s="376" t="str">
        <x:v>No</x:v>
      </x:c>
      <x:c r="L83" s="376" t="str">
        <x:v>2★ / MICHELIN Guide</x:v>
      </x:c>
      <x:c r="M83" s="376" t="str">
        <x:v>Tabelog highly rated</x:v>
      </x:c>
      <x:c r="N83" s="376" t="str">
        <x:v>Confirm before booking</x:v>
      </x:c>
      <x:c r="O83" s="376" t="str">
        <x:v>Confirm before booking</x:v>
      </x:c>
      <x:c r="P83" s="376" t="str">
        <x:v>¥¥¥¥</x:v>
      </x:c>
      <x:c r="Q83" s="376" t="str">
        <x:v>Required</x:v>
      </x:c>
      <x:c r="R83" s="376" t="str">
        <x:v>Tasting menu</x:v>
      </x:c>
      <x:c r="S83" s="376" t="str">
        <x:v>Strong special-meal candidate if accommodated.</x:v>
      </x:c>
      <x:c r="T83" s="376" t="str">
        <x:v>Top pick</x:v>
      </x:c>
      <x:c r="U83" s="376" t="str">
        <x:v>Research</x:v>
      </x:c>
      <x:c r="V83" s="376" t="str">
        <x:v>No</x:v>
      </x:c>
      <x:c r="W83" s="376" t="str">
        <x:v>Not booked</x:v>
      </x:c>
      <x:c r="X83" s="376" t="str">
        <x:v>Verify live</x:v>
      </x:c>
      <x:c r="Y83" s="376" t="str">
        <x:v>No</x:v>
      </x:c>
      <x:c r="Z83" s="376" t="str">
        <x:v>https://www.google.com/maps/search/?api=1&amp;query=Fujiya+1935+Osaka+Japan</x:v>
      </x:c>
      <x:c r="AA83" s="376" t="str">
        <x:v>https://tabelog.com/en/rstLst/?sk=Fujiya+1935</x:v>
      </x:c>
      <x:c r="AB83" s="376" t="str">
        <x:v>https://guide.michelin.com/us/en/osaka-region/osaka/restaurants</x:v>
      </x:c>
      <x:c r="AC83" s="376" t="str"/>
      <x:c r="AD83" s="376" t="str">
        <x:v>2026-07-23</x:v>
      </x:c>
      <x:c r="AE83" s="376" t="str">
        <x:v>Gluten-free and lactose-free accommodation must be reconfirmed directly; cross-contact is not assumed safe.</x:v>
      </x:c>
    </x:row>
    <x:row r="84">
      <x:c r="A84" s="376" t="str">
        <x:v>OS-080</x:v>
      </x:c>
      <x:c r="B84" s="376" t="str">
        <x:v>Osaka</x:v>
      </x:c>
      <x:c r="C84" s="376" t="str">
        <x:v>Nishitenma</x:v>
      </x:c>
      <x:c r="D84" s="376" t="str">
        <x:v>Nishitemma Nakamura</x:v>
      </x:c>
      <x:c r="E84" s="376" t="str">
        <x:v>Japanese</x:v>
      </x:c>
      <x:c r="F84" s="376" t="str">
        <x:v>Japanese</x:v>
      </x:c>
      <x:c r="G84" s="376" t="str">
        <x:v>Dinner</x:v>
      </x:c>
      <x:c r="H84" s="376" t="str">
        <x:v>No</x:v>
      </x:c>
      <x:c r="I84" s="376" t="str">
        <x:v>No</x:v>
      </x:c>
      <x:c r="J84" s="376" t="str">
        <x:v>Yes</x:v>
      </x:c>
      <x:c r="K84" s="376" t="str">
        <x:v>No</x:v>
      </x:c>
      <x:c r="L84" s="376" t="str">
        <x:v>MICHELIN Guide selection</x:v>
      </x:c>
      <x:c r="M84" s="376" t="str">
        <x:v>Tabelog highly rated</x:v>
      </x:c>
      <x:c r="N84" s="376" t="str">
        <x:v>Confirm before booking</x:v>
      </x:c>
      <x:c r="O84" s="376" t="str">
        <x:v>Likely adaptable; confirm</x:v>
      </x:c>
      <x:c r="P84" s="376" t="str">
        <x:v>¥¥¥¥</x:v>
      </x:c>
      <x:c r="Q84" s="376" t="str">
        <x:v>Required</x:v>
      </x:c>
      <x:c r="R84" s="376" t="str">
        <x:v>Seasonal Japanese menu</x:v>
      </x:c>
      <x:c r="S84" s="376" t="str">
        <x:v>Good Japanese fine-dining candidate.</x:v>
      </x:c>
      <x:c r="T84" s="376" t="str">
        <x:v>Top pick</x:v>
      </x:c>
      <x:c r="U84" s="376" t="str">
        <x:v>Research</x:v>
      </x:c>
      <x:c r="V84" s="376" t="str">
        <x:v>No</x:v>
      </x:c>
      <x:c r="W84" s="376" t="str">
        <x:v>Not booked</x:v>
      </x:c>
      <x:c r="X84" s="376" t="str">
        <x:v>Verify live</x:v>
      </x:c>
      <x:c r="Y84" s="376" t="str">
        <x:v>No</x:v>
      </x:c>
      <x:c r="Z84" s="376" t="str">
        <x:v>https://www.google.com/maps/search/?api=1&amp;query=Nishitemma+Nakamura+Osaka+Japan</x:v>
      </x:c>
      <x:c r="AA84" s="376" t="str">
        <x:v>https://tabelog.com/en/rstLst/?sk=Nishitemma+Nakamura</x:v>
      </x:c>
      <x:c r="AB84" s="376" t="str">
        <x:v>https://guide.michelin.com/us/en/osaka-region/osaka/restaurants</x:v>
      </x:c>
      <x:c r="AC84" s="376" t="str"/>
      <x:c r="AD84" s="376" t="str">
        <x:v>2026-07-23</x:v>
      </x:c>
      <x:c r="AE84" s="376" t="str">
        <x:v>Gluten-free and lactose-free accommodation must be reconfirmed directly; cross-contact is not assumed safe.</x:v>
      </x:c>
    </x:row>
    <x:row r="85">
      <x:c r="A85" s="376" t="str">
        <x:v>OS-081</x:v>
      </x:c>
      <x:c r="B85" s="376" t="str">
        <x:v>Osaka</x:v>
      </x:c>
      <x:c r="C85" s="376" t="str">
        <x:v>Fukushima</x:v>
      </x:c>
      <x:c r="D85" s="376" t="str">
        <x:v>ad hoc</x:v>
      </x:c>
      <x:c r="E85" s="376" t="str">
        <x:v>French</x:v>
      </x:c>
      <x:c r="F85" s="376" t="str">
        <x:v>French</x:v>
      </x:c>
      <x:c r="G85" s="376" t="str">
        <x:v>Lunch,Dinner</x:v>
      </x:c>
      <x:c r="H85" s="376" t="str">
        <x:v>No</x:v>
      </x:c>
      <x:c r="I85" s="376" t="str">
        <x:v>Yes</x:v>
      </x:c>
      <x:c r="J85" s="376" t="str">
        <x:v>Yes</x:v>
      </x:c>
      <x:c r="K85" s="376" t="str">
        <x:v>No</x:v>
      </x:c>
      <x:c r="L85" s="376" t="str">
        <x:v>MICHELIN Guide selection</x:v>
      </x:c>
      <x:c r="M85" s="376" t="str">
        <x:v>Tabelog highly rated</x:v>
      </x:c>
      <x:c r="N85" s="376" t="str">
        <x:v>Confirm before booking</x:v>
      </x:c>
      <x:c r="O85" s="376" t="str">
        <x:v>Confirm before booking</x:v>
      </x:c>
      <x:c r="P85" s="376" t="str">
        <x:v>¥¥¥</x:v>
      </x:c>
      <x:c r="Q85" s="376" t="str">
        <x:v>Required</x:v>
      </x:c>
      <x:c r="R85" s="376" t="str">
        <x:v>Tasting menu</x:v>
      </x:c>
      <x:c r="S85" s="376" t="str">
        <x:v>French techniques mean dairy needs explicit handling.</x:v>
      </x:c>
      <x:c r="T85" s="376" t="str">
        <x:v>Consider</x:v>
      </x:c>
      <x:c r="U85" s="376" t="str">
        <x:v>Research</x:v>
      </x:c>
      <x:c r="V85" s="376" t="str">
        <x:v>No</x:v>
      </x:c>
      <x:c r="W85" s="376" t="str">
        <x:v>Not booked</x:v>
      </x:c>
      <x:c r="X85" s="376" t="str">
        <x:v>Verify live</x:v>
      </x:c>
      <x:c r="Y85" s="376" t="str">
        <x:v>No</x:v>
      </x:c>
      <x:c r="Z85" s="376" t="str">
        <x:v>https://www.google.com/maps/search/?api=1&amp;query=ad+hoc+Osaka+Japan</x:v>
      </x:c>
      <x:c r="AA85" s="376" t="str">
        <x:v>https://tabelog.com/en/rstLst/?sk=ad+hoc</x:v>
      </x:c>
      <x:c r="AB85" s="376" t="str">
        <x:v>https://guide.michelin.com/us/en/osaka-region/osaka/restaurants</x:v>
      </x:c>
      <x:c r="AC85" s="376" t="str"/>
      <x:c r="AD85" s="376" t="str">
        <x:v>2026-07-23</x:v>
      </x:c>
      <x:c r="AE85" s="376" t="str">
        <x:v>Gluten-free and lactose-free accommodation must be reconfirmed directly; cross-contact is not assumed safe.</x:v>
      </x:c>
    </x:row>
    <x:row r="86">
      <x:c r="A86" s="376" t="str">
        <x:v>OS-082</x:v>
      </x:c>
      <x:c r="B86" s="376" t="str">
        <x:v>Osaka</x:v>
      </x:c>
      <x:c r="C86" s="376" t="str">
        <x:v>Nishitenma</x:v>
      </x:c>
      <x:c r="D86" s="376" t="str">
        <x:v>Oimatsu Kitagawa</x:v>
      </x:c>
      <x:c r="E86" s="376" t="str">
        <x:v>Kaiseki</x:v>
      </x:c>
      <x:c r="F86" s="376" t="str">
        <x:v>Kaiseki</x:v>
      </x:c>
      <x:c r="G86" s="376" t="str">
        <x:v>Dinner</x:v>
      </x:c>
      <x:c r="H86" s="376" t="str">
        <x:v>No</x:v>
      </x:c>
      <x:c r="I86" s="376" t="str">
        <x:v>No</x:v>
      </x:c>
      <x:c r="J86" s="376" t="str">
        <x:v>Yes</x:v>
      </x:c>
      <x:c r="K86" s="376" t="str">
        <x:v>No</x:v>
      </x:c>
      <x:c r="L86" s="376" t="str">
        <x:v>MICHELIN Guide selection</x:v>
      </x:c>
      <x:c r="M86" s="376" t="str">
        <x:v>Tabelog highly rated</x:v>
      </x:c>
      <x:c r="N86" s="376" t="str">
        <x:v>Confirm before booking</x:v>
      </x:c>
      <x:c r="O86" s="376" t="str">
        <x:v>Confirm before booking</x:v>
      </x:c>
      <x:c r="P86" s="376" t="str">
        <x:v>¥¥¥¥</x:v>
      </x:c>
      <x:c r="Q86" s="376" t="str">
        <x:v>Required</x:v>
      </x:c>
      <x:c r="R86" s="376" t="str">
        <x:v>Kaiseki</x:v>
      </x:c>
      <x:c r="S86" s="376" t="str">
        <x:v>Formal dinner option.</x:v>
      </x:c>
      <x:c r="T86" s="376" t="str">
        <x:v>Consider</x:v>
      </x:c>
      <x:c r="U86" s="376" t="str">
        <x:v>Research</x:v>
      </x:c>
      <x:c r="V86" s="376" t="str">
        <x:v>No</x:v>
      </x:c>
      <x:c r="W86" s="376" t="str">
        <x:v>Not booked</x:v>
      </x:c>
      <x:c r="X86" s="376" t="str">
        <x:v>Verify live</x:v>
      </x:c>
      <x:c r="Y86" s="376" t="str">
        <x:v>No</x:v>
      </x:c>
      <x:c r="Z86" s="376" t="str">
        <x:v>https://www.google.com/maps/search/?api=1&amp;query=Oimatsu+Kitagawa+Osaka+Japan</x:v>
      </x:c>
      <x:c r="AA86" s="376" t="str">
        <x:v>https://tabelog.com/en/rstLst/?sk=Oimatsu+Kitagawa</x:v>
      </x:c>
      <x:c r="AB86" s="376" t="str">
        <x:v>https://guide.michelin.com/us/en/osaka-region/osaka/restaurants</x:v>
      </x:c>
      <x:c r="AC86" s="376" t="str"/>
      <x:c r="AD86" s="376" t="str">
        <x:v>2026-07-23</x:v>
      </x:c>
      <x:c r="AE86" s="376" t="str">
        <x:v>Gluten-free and lactose-free accommodation must be reconfirmed directly; cross-contact is not assumed safe.</x:v>
      </x:c>
    </x:row>
    <x:row r="87">
      <x:c r="A87" s="376" t="str">
        <x:v>OS-083</x:v>
      </x:c>
      <x:c r="B87" s="376" t="str">
        <x:v>Osaka</x:v>
      </x:c>
      <x:c r="C87" s="376" t="str">
        <x:v>Namba</x:v>
      </x:c>
      <x:c r="D87" s="376" t="str">
        <x:v>Comeconoco Laboratory &amp; Cafe</x:v>
      </x:c>
      <x:c r="E87" s="376" t="str">
        <x:v>Gluten-free cafe</x:v>
      </x:c>
      <x:c r="F87" s="376" t="str">
        <x:v>GF Specialist</x:v>
      </x:c>
      <x:c r="G87" s="376" t="str">
        <x:v>Breakfast,Lunch,Cafe,Dessert</x:v>
      </x:c>
      <x:c r="H87" s="376" t="str">
        <x:v>Yes</x:v>
      </x:c>
      <x:c r="I87" s="376" t="str">
        <x:v>Yes</x:v>
      </x:c>
      <x:c r="J87" s="376" t="str">
        <x:v>No</x:v>
      </x:c>
      <x:c r="K87" s="376" t="str">
        <x:v>Yes</x:v>
      </x:c>
      <x:c r="L87" s="376" t="str">
        <x:v>—</x:v>
      </x:c>
      <x:c r="M87" s="376" t="str">
        <x:v>Tabelog GF specialist</x:v>
      </x:c>
      <x:c r="N87" s="376" t="str">
        <x:v>GF-focused; verify current hours/menu</x:v>
      </x:c>
      <x:c r="O87" s="376" t="str">
        <x:v>Many dairy-free options; verify</x:v>
      </x:c>
      <x:c r="P87" s="376" t="str">
        <x:v>¥¥</x:v>
      </x:c>
      <x:c r="Q87" s="376" t="str">
        <x:v>No/varies</x:v>
      </x:c>
      <x:c r="R87" s="376" t="str">
        <x:v>Rice-flour bread / café food</x:v>
      </x:c>
      <x:c r="S87" s="376" t="str">
        <x:v>Major practical dietary anchor.</x:v>
      </x:c>
      <x:c r="T87" s="376" t="str">
        <x:v>Top pick</x:v>
      </x:c>
      <x:c r="U87" s="376" t="str">
        <x:v>Research</x:v>
      </x:c>
      <x:c r="V87" s="376" t="str">
        <x:v>No</x:v>
      </x:c>
      <x:c r="W87" s="376" t="str">
        <x:v>Not booked</x:v>
      </x:c>
      <x:c r="X87" s="376" t="str">
        <x:v>Verify live</x:v>
      </x:c>
      <x:c r="Y87" s="376" t="str">
        <x:v>Yes</x:v>
      </x:c>
      <x:c r="Z87" s="376" t="str">
        <x:v>https://www.google.com/maps/search/?api=1&amp;query=Comeconoco+Laboratory+%26+Cafe+Osaka+Japan</x:v>
      </x:c>
      <x:c r="AA87" s="376" t="str">
        <x:v>https://tabelog.com/en/rstLst/?sk=Comeconoco+Laboratory+%26+Cafe</x:v>
      </x:c>
      <x:c r="AB87" s="376" t="str"/>
      <x:c r="AC87" s="376" t="str"/>
      <x:c r="AD87" s="376" t="str">
        <x:v>2026-07-23</x:v>
      </x:c>
      <x:c r="AE87" s="376" t="str">
        <x:v>Gluten-free and lactose-free accommodation must be reconfirmed directly; cross-contact is not assumed safe.</x:v>
      </x:c>
    </x:row>
    <x:row r="88">
      <x:c r="A88" s="376" t="str">
        <x:v>OS-084</x:v>
      </x:c>
      <x:c r="B88" s="376" t="str">
        <x:v>Osaka</x:v>
      </x:c>
      <x:c r="C88" s="376" t="str">
        <x:v>Namba</x:v>
      </x:c>
      <x:c r="D88" s="376" t="str">
        <x:v>OKO - Fun Okonomiyaki Bar</x:v>
      </x:c>
      <x:c r="E88" s="376" t="str">
        <x:v>Okonomiyaki</x:v>
      </x:c>
      <x:c r="F88" s="376" t="str">
        <x:v>GF Specialist</x:v>
      </x:c>
      <x:c r="G88" s="376" t="str">
        <x:v>Lunch,Dinner</x:v>
      </x:c>
      <x:c r="H88" s="376" t="str">
        <x:v>No</x:v>
      </x:c>
      <x:c r="I88" s="376" t="str">
        <x:v>Yes</x:v>
      </x:c>
      <x:c r="J88" s="376" t="str">
        <x:v>Yes</x:v>
      </x:c>
      <x:c r="K88" s="376" t="str">
        <x:v>No</x:v>
      </x:c>
      <x:c r="L88" s="376" t="str">
        <x:v>—</x:v>
      </x:c>
      <x:c r="M88" s="376" t="str">
        <x:v>Tabelog GF candidate</x:v>
      </x:c>
      <x:c r="N88" s="376" t="str">
        <x:v>Gluten-free options reported; verify kitchen</x:v>
      </x:c>
      <x:c r="O88" s="376" t="str">
        <x:v>Cheese/mayo can be omitted; verify</x:v>
      </x:c>
      <x:c r="P88" s="376" t="str">
        <x:v>¥¥</x:v>
      </x:c>
      <x:c r="Q88" s="376" t="str">
        <x:v>Recommended</x:v>
      </x:c>
      <x:c r="R88" s="376" t="str">
        <x:v>GF okonomiyaki option</x:v>
      </x:c>
      <x:c r="S88" s="376" t="str">
        <x:v>Strong Osaka-style food candidate if confirmed.</x:v>
      </x:c>
      <x:c r="T88" s="376" t="str">
        <x:v>Top pick</x:v>
      </x:c>
      <x:c r="U88" s="376" t="str">
        <x:v>Research</x:v>
      </x:c>
      <x:c r="V88" s="376" t="str">
        <x:v>No</x:v>
      </x:c>
      <x:c r="W88" s="376" t="str">
        <x:v>Not booked</x:v>
      </x:c>
      <x:c r="X88" s="376" t="str">
        <x:v>Verify live</x:v>
      </x:c>
      <x:c r="Y88" s="376" t="str">
        <x:v>No</x:v>
      </x:c>
      <x:c r="Z88" s="376" t="str">
        <x:v>https://www.google.com/maps/search/?api=1&amp;query=OKO+-+Fun+Okonomiyaki+Bar+Osaka+Japan</x:v>
      </x:c>
      <x:c r="AA88" s="376" t="str">
        <x:v>https://tabelog.com/en/rstLst/?sk=OKO+-+Fun+Okonomiyaki+Bar</x:v>
      </x:c>
      <x:c r="AB88" s="376" t="str"/>
      <x:c r="AC88" s="376" t="str"/>
      <x:c r="AD88" s="376" t="str">
        <x:v>2026-07-23</x:v>
      </x:c>
      <x:c r="AE88" s="376" t="str">
        <x:v>Gluten-free and lactose-free accommodation must be reconfirmed directly; cross-contact is not assumed safe.</x:v>
      </x:c>
    </x:row>
    <x:row r="89">
      <x:c r="A89" s="376" t="str">
        <x:v>OS-085</x:v>
      </x:c>
      <x:c r="B89" s="376" t="str">
        <x:v>Osaka</x:v>
      </x:c>
      <x:c r="C89" s="376" t="str">
        <x:v>Namba</x:v>
      </x:c>
      <x:c r="D89" s="376" t="str">
        <x:v>Matsusakagyu Yakiniku M</x:v>
      </x:c>
      <x:c r="E89" s="376" t="str">
        <x:v>Yakiniku</x:v>
      </x:c>
      <x:c r="F89" s="376" t="str">
        <x:v>Yakiniku</x:v>
      </x:c>
      <x:c r="G89" s="376" t="str">
        <x:v>Dinner</x:v>
      </x:c>
      <x:c r="H89" s="376" t="str">
        <x:v>No</x:v>
      </x:c>
      <x:c r="I89" s="376" t="str">
        <x:v>No</x:v>
      </x:c>
      <x:c r="J89" s="376" t="str">
        <x:v>Yes</x:v>
      </x:c>
      <x:c r="K89" s="376" t="str">
        <x:v>No</x:v>
      </x:c>
      <x:c r="L89" s="376" t="str">
        <x:v>—</x:v>
      </x:c>
      <x:c r="M89" s="376" t="str">
        <x:v>Tabelog popular</x:v>
      </x:c>
      <x:c r="N89" s="376" t="str">
        <x:v>Plain grilled meat possible; verify sauces</x:v>
      </x:c>
      <x:c r="O89" s="376" t="str">
        <x:v>Naturally LF if plain</x:v>
      </x:c>
      <x:c r="P89" s="376" t="str">
        <x:v>¥¥¥</x:v>
      </x:c>
      <x:c r="Q89" s="376" t="str">
        <x:v>Required</x:v>
      </x:c>
      <x:c r="R89" s="376" t="str">
        <x:v>Matsusaka beef</x:v>
      </x:c>
      <x:c r="S89" s="376" t="str">
        <x:v>Ask for salt-only meat and separate utensils.</x:v>
      </x:c>
      <x:c r="T89" s="376" t="str">
        <x:v>Top pick</x:v>
      </x:c>
      <x:c r="U89" s="376" t="str">
        <x:v>Research</x:v>
      </x:c>
      <x:c r="V89" s="376" t="str">
        <x:v>No</x:v>
      </x:c>
      <x:c r="W89" s="376" t="str">
        <x:v>Not booked</x:v>
      </x:c>
      <x:c r="X89" s="376" t="str">
        <x:v>Verify live</x:v>
      </x:c>
      <x:c r="Y89" s="376" t="str">
        <x:v>No</x:v>
      </x:c>
      <x:c r="Z89" s="376" t="str">
        <x:v>https://www.google.com/maps/search/?api=1&amp;query=Matsusakagyu+Yakiniku+M+Osaka+Japan</x:v>
      </x:c>
      <x:c r="AA89" s="376" t="str">
        <x:v>https://tabelog.com/en/rstLst/?sk=Matsusakagyu+Yakiniku+M</x:v>
      </x:c>
      <x:c r="AB89" s="376" t="str"/>
      <x:c r="AC89" s="376" t="str"/>
      <x:c r="AD89" s="376" t="str">
        <x:v>2026-07-23</x:v>
      </x:c>
      <x:c r="AE89" s="376" t="str">
        <x:v>Gluten-free and lactose-free accommodation must be reconfirmed directly; cross-contact is not assumed safe.</x:v>
      </x:c>
    </x:row>
    <x:row r="90">
      <x:c r="A90" s="376" t="str">
        <x:v>OS-086</x:v>
      </x:c>
      <x:c r="B90" s="376" t="str">
        <x:v>Osaka</x:v>
      </x:c>
      <x:c r="C90" s="376" t="str">
        <x:v>Shinsaibashi</x:v>
      </x:c>
      <x:c r="D90" s="376" t="str">
        <x:v>Yakiniku M Hozenji Yokocho</x:v>
      </x:c>
      <x:c r="E90" s="376" t="str">
        <x:v>Yakiniku</x:v>
      </x:c>
      <x:c r="F90" s="376" t="str">
        <x:v>Yakiniku</x:v>
      </x:c>
      <x:c r="G90" s="376" t="str">
        <x:v>Dinner</x:v>
      </x:c>
      <x:c r="H90" s="376" t="str">
        <x:v>No</x:v>
      </x:c>
      <x:c r="I90" s="376" t="str">
        <x:v>No</x:v>
      </x:c>
      <x:c r="J90" s="376" t="str">
        <x:v>Yes</x:v>
      </x:c>
      <x:c r="K90" s="376" t="str">
        <x:v>No</x:v>
      </x:c>
      <x:c r="L90" s="376" t="str">
        <x:v>—</x:v>
      </x:c>
      <x:c r="M90" s="376" t="str">
        <x:v>Tabelog popular</x:v>
      </x:c>
      <x:c r="N90" s="376" t="str">
        <x:v>Plain grilled meat possible; verify sauces</x:v>
      </x:c>
      <x:c r="O90" s="376" t="str">
        <x:v>Naturally LF if plain</x:v>
      </x:c>
      <x:c r="P90" s="376" t="str">
        <x:v>¥¥¥</x:v>
      </x:c>
      <x:c r="Q90" s="376" t="str">
        <x:v>Required</x:v>
      </x:c>
      <x:c r="R90" s="376" t="str">
        <x:v>Wagyu yakiniku</x:v>
      </x:c>
      <x:c r="S90" s="376" t="str">
        <x:v>Convenient Dotonbori-area dinner.</x:v>
      </x:c>
      <x:c r="T90" s="376" t="str">
        <x:v>Top pick</x:v>
      </x:c>
      <x:c r="U90" s="376" t="str">
        <x:v>Research</x:v>
      </x:c>
      <x:c r="V90" s="376" t="str">
        <x:v>No</x:v>
      </x:c>
      <x:c r="W90" s="376" t="str">
        <x:v>Not booked</x:v>
      </x:c>
      <x:c r="X90" s="376" t="str">
        <x:v>Verify live</x:v>
      </x:c>
      <x:c r="Y90" s="376" t="str">
        <x:v>No</x:v>
      </x:c>
      <x:c r="Z90" s="376" t="str">
        <x:v>https://www.google.com/maps/search/?api=1&amp;query=Yakiniku+M+Hozenji+Yokocho+Osaka+Japan</x:v>
      </x:c>
      <x:c r="AA90" s="376" t="str">
        <x:v>https://tabelog.com/en/rstLst/?sk=Yakiniku+M+Hozenji+Yokocho</x:v>
      </x:c>
      <x:c r="AB90" s="376" t="str"/>
      <x:c r="AC90" s="376" t="str"/>
      <x:c r="AD90" s="376" t="str">
        <x:v>2026-07-23</x:v>
      </x:c>
      <x:c r="AE90" s="376" t="str">
        <x:v>Gluten-free and lactose-free accommodation must be reconfirmed directly; cross-contact is not assumed safe.</x:v>
      </x:c>
    </x:row>
    <x:row r="91">
      <x:c r="A91" s="376" t="str">
        <x:v>OS-087</x:v>
      </x:c>
      <x:c r="B91" s="376" t="str">
        <x:v>Osaka</x:v>
      </x:c>
      <x:c r="C91" s="376" t="str">
        <x:v>Dotonbori</x:v>
      </x:c>
      <x:c r="D91" s="376" t="str">
        <x:v>Ajinoya Honten</x:v>
      </x:c>
      <x:c r="E91" s="376" t="str">
        <x:v>Okonomiyaki</x:v>
      </x:c>
      <x:c r="F91" s="376" t="str">
        <x:v>Okonomiyaki</x:v>
      </x:c>
      <x:c r="G91" s="376" t="str">
        <x:v>Lunch,Dinner</x:v>
      </x:c>
      <x:c r="H91" s="376" t="str">
        <x:v>No</x:v>
      </x:c>
      <x:c r="I91" s="376" t="str">
        <x:v>Yes</x:v>
      </x:c>
      <x:c r="J91" s="376" t="str">
        <x:v>Yes</x:v>
      </x:c>
      <x:c r="K91" s="376" t="str">
        <x:v>No</x:v>
      </x:c>
      <x:c r="L91" s="376" t="str">
        <x:v>Bib Gourmand / MICHELIN Guide</x:v>
      </x:c>
      <x:c r="M91" s="376" t="str">
        <x:v>Tabelog highly rated</x:v>
      </x:c>
      <x:c r="N91" s="376" t="str">
        <x:v>Standard batter not GF</x:v>
      </x:c>
      <x:c r="O91" s="376" t="str">
        <x:v>Can omit cheese; sauces need checking</x:v>
      </x:c>
      <x:c r="P91" s="376" t="str">
        <x:v>¥¥</x:v>
      </x:c>
      <x:c r="Q91" s="376" t="str">
        <x:v>Queue</x:v>
      </x:c>
      <x:c r="R91" s="376" t="str">
        <x:v>Okonomiyaki</x:v>
      </x:c>
      <x:c r="S91" s="376" t="str">
        <x:v>Classic companion choice; not GF.</x:v>
      </x:c>
      <x:c r="T91" s="376" t="str">
        <x:v>Group option</x:v>
      </x:c>
      <x:c r="U91" s="376" t="str">
        <x:v>Research</x:v>
      </x:c>
      <x:c r="V91" s="376" t="str">
        <x:v>No</x:v>
      </x:c>
      <x:c r="W91" s="376" t="str">
        <x:v>Not booked</x:v>
      </x:c>
      <x:c r="X91" s="376" t="str">
        <x:v>Verify live</x:v>
      </x:c>
      <x:c r="Y91" s="376" t="str">
        <x:v>No</x:v>
      </x:c>
      <x:c r="Z91" s="376" t="str">
        <x:v>https://www.google.com/maps/search/?api=1&amp;query=Ajinoya+Honten+Osaka+Japan</x:v>
      </x:c>
      <x:c r="AA91" s="376" t="str">
        <x:v>https://tabelog.com/en/rstLst/?sk=Ajinoya+Honten</x:v>
      </x:c>
      <x:c r="AB91" s="376" t="str">
        <x:v>https://guide.michelin.com/us/en/osaka-region/osaka/restaurants</x:v>
      </x:c>
      <x:c r="AC91" s="376" t="str"/>
      <x:c r="AD91" s="376" t="str">
        <x:v>2026-07-23</x:v>
      </x:c>
      <x:c r="AE91" s="376" t="str">
        <x:v>Gluten-free and lactose-free accommodation must be reconfirmed directly; cross-contact is not assumed safe.</x:v>
      </x:c>
    </x:row>
    <x:row r="92">
      <x:c r="A92" s="376" t="str">
        <x:v>OS-088</x:v>
      </x:c>
      <x:c r="B92" s="376" t="str">
        <x:v>Osaka</x:v>
      </x:c>
      <x:c r="C92" s="376" t="str">
        <x:v>Dotonbori</x:v>
      </x:c>
      <x:c r="D92" s="376" t="str">
        <x:v>Mizuno</x:v>
      </x:c>
      <x:c r="E92" s="376" t="str">
        <x:v>Okonomiyaki</x:v>
      </x:c>
      <x:c r="F92" s="376" t="str">
        <x:v>Okonomiyaki</x:v>
      </x:c>
      <x:c r="G92" s="376" t="str">
        <x:v>Lunch,Dinner</x:v>
      </x:c>
      <x:c r="H92" s="376" t="str">
        <x:v>No</x:v>
      </x:c>
      <x:c r="I92" s="376" t="str">
        <x:v>Yes</x:v>
      </x:c>
      <x:c r="J92" s="376" t="str">
        <x:v>Yes</x:v>
      </x:c>
      <x:c r="K92" s="376" t="str">
        <x:v>No</x:v>
      </x:c>
      <x:c r="L92" s="376" t="str">
        <x:v>MICHELIN Guide selection</x:v>
      </x:c>
      <x:c r="M92" s="376" t="str">
        <x:v>Tabelog highly rated</x:v>
      </x:c>
      <x:c r="N92" s="376" t="str">
        <x:v>Standard batter not GF</x:v>
      </x:c>
      <x:c r="O92" s="376" t="str">
        <x:v>Can omit cheese; sauces need checking</x:v>
      </x:c>
      <x:c r="P92" s="376" t="str">
        <x:v>¥¥</x:v>
      </x:c>
      <x:c r="Q92" s="376" t="str">
        <x:v>Queue</x:v>
      </x:c>
      <x:c r="R92" s="376" t="str">
        <x:v>Okonomiyaki</x:v>
      </x:c>
      <x:c r="S92" s="376" t="str">
        <x:v>Famous but not suitable for GF without confirmed alternative.</x:v>
      </x:c>
      <x:c r="T92" s="376" t="str">
        <x:v>Group option</x:v>
      </x:c>
      <x:c r="U92" s="376" t="str">
        <x:v>Research</x:v>
      </x:c>
      <x:c r="V92" s="376" t="str">
        <x:v>No</x:v>
      </x:c>
      <x:c r="W92" s="376" t="str">
        <x:v>Not booked</x:v>
      </x:c>
      <x:c r="X92" s="376" t="str">
        <x:v>Verify live</x:v>
      </x:c>
      <x:c r="Y92" s="376" t="str">
        <x:v>No</x:v>
      </x:c>
      <x:c r="Z92" s="376" t="str">
        <x:v>https://www.google.com/maps/search/?api=1&amp;query=Mizuno+Osaka+Japan</x:v>
      </x:c>
      <x:c r="AA92" s="376" t="str">
        <x:v>https://tabelog.com/en/rstLst/?sk=Mizuno</x:v>
      </x:c>
      <x:c r="AB92" s="376" t="str">
        <x:v>https://guide.michelin.com/us/en/osaka-region/osaka/restaurants</x:v>
      </x:c>
      <x:c r="AC92" s="376" t="str"/>
      <x:c r="AD92" s="376" t="str">
        <x:v>2026-07-23</x:v>
      </x:c>
      <x:c r="AE92" s="376" t="str">
        <x:v>Gluten-free and lactose-free accommodation must be reconfirmed directly; cross-contact is not assumed safe.</x:v>
      </x:c>
    </x:row>
    <x:row r="93">
      <x:c r="A93" s="376" t="str">
        <x:v>OS-089</x:v>
      </x:c>
      <x:c r="B93" s="376" t="str">
        <x:v>Osaka</x:v>
      </x:c>
      <x:c r="C93" s="376" t="str">
        <x:v>Namba</x:v>
      </x:c>
      <x:c r="D93" s="376" t="str">
        <x:v>Takoyaki Wanaka Sennichimae</x:v>
      </x:c>
      <x:c r="E93" s="376" t="str">
        <x:v>Takoyaki</x:v>
      </x:c>
      <x:c r="F93" s="376" t="str">
        <x:v>Takoyaki</x:v>
      </x:c>
      <x:c r="G93" s="376" t="str">
        <x:v>Lunch,Dinner</x:v>
      </x:c>
      <x:c r="H93" s="376" t="str">
        <x:v>No</x:v>
      </x:c>
      <x:c r="I93" s="376" t="str">
        <x:v>Yes</x:v>
      </x:c>
      <x:c r="J93" s="376" t="str">
        <x:v>Yes</x:v>
      </x:c>
      <x:c r="K93" s="376" t="str">
        <x:v>No</x:v>
      </x:c>
      <x:c r="L93" s="376" t="str">
        <x:v>—</x:v>
      </x:c>
      <x:c r="M93" s="376" t="str">
        <x:v>Tabelog popular</x:v>
      </x:c>
      <x:c r="N93" s="376" t="str">
        <x:v>Not GF</x:v>
      </x:c>
      <x:c r="O93" s="376" t="str">
        <x:v>Usually low dairy; toppings vary</x:v>
      </x:c>
      <x:c r="P93" s="376" t="str">
        <x:v>¥</x:v>
      </x:c>
      <x:c r="Q93" s="376" t="str">
        <x:v>Queue</x:v>
      </x:c>
      <x:c r="R93" s="376" t="str">
        <x:v>Takoyaki</x:v>
      </x:c>
      <x:c r="S93" s="376" t="str">
        <x:v>Iconic companion snack.</x:v>
      </x:c>
      <x:c r="T93" s="376" t="str">
        <x:v>Group option</x:v>
      </x:c>
      <x:c r="U93" s="376" t="str">
        <x:v>Research</x:v>
      </x:c>
      <x:c r="V93" s="376" t="str">
        <x:v>No</x:v>
      </x:c>
      <x:c r="W93" s="376" t="str">
        <x:v>Not booked</x:v>
      </x:c>
      <x:c r="X93" s="376" t="str">
        <x:v>Verify live</x:v>
      </x:c>
      <x:c r="Y93" s="376" t="str">
        <x:v>No</x:v>
      </x:c>
      <x:c r="Z93" s="376" t="str">
        <x:v>https://www.google.com/maps/search/?api=1&amp;query=Takoyaki+Wanaka+Sennichimae+Osaka+Japan</x:v>
      </x:c>
      <x:c r="AA93" s="376" t="str">
        <x:v>https://tabelog.com/en/rstLst/?sk=Takoyaki+Wanaka+Sennichimae</x:v>
      </x:c>
      <x:c r="AB93" s="376" t="str"/>
      <x:c r="AC93" s="376" t="str"/>
      <x:c r="AD93" s="376" t="str">
        <x:v>2026-07-23</x:v>
      </x:c>
      <x:c r="AE93" s="376" t="str">
        <x:v>Gluten-free and lactose-free accommodation must be reconfirmed directly; cross-contact is not assumed safe.</x:v>
      </x:c>
    </x:row>
    <x:row r="94">
      <x:c r="A94" s="376" t="str">
        <x:v>OS-090</x:v>
      </x:c>
      <x:c r="B94" s="376" t="str">
        <x:v>Osaka</x:v>
      </x:c>
      <x:c r="C94" s="376" t="str">
        <x:v>Dotonbori</x:v>
      </x:c>
      <x:c r="D94" s="376" t="str">
        <x:v>Takoyaki Juhachiban</x:v>
      </x:c>
      <x:c r="E94" s="376" t="str">
        <x:v>Takoyaki</x:v>
      </x:c>
      <x:c r="F94" s="376" t="str">
        <x:v>Takoyaki</x:v>
      </x:c>
      <x:c r="G94" s="376" t="str">
        <x:v>Lunch,Dinner</x:v>
      </x:c>
      <x:c r="H94" s="376" t="str">
        <x:v>No</x:v>
      </x:c>
      <x:c r="I94" s="376" t="str">
        <x:v>Yes</x:v>
      </x:c>
      <x:c r="J94" s="376" t="str">
        <x:v>Yes</x:v>
      </x:c>
      <x:c r="K94" s="376" t="str">
        <x:v>No</x:v>
      </x:c>
      <x:c r="L94" s="376" t="str">
        <x:v>—</x:v>
      </x:c>
      <x:c r="M94" s="376" t="str">
        <x:v>Tabelog popular</x:v>
      </x:c>
      <x:c r="N94" s="376" t="str">
        <x:v>Not GF</x:v>
      </x:c>
      <x:c r="O94" s="376" t="str">
        <x:v>Usually low dairy; toppings vary</x:v>
      </x:c>
      <x:c r="P94" s="376" t="str">
        <x:v>¥</x:v>
      </x:c>
      <x:c r="Q94" s="376" t="str">
        <x:v>Queue</x:v>
      </x:c>
      <x:c r="R94" s="376" t="str">
        <x:v>Takoyaki</x:v>
      </x:c>
      <x:c r="S94" s="376" t="str">
        <x:v>Another classic companion option.</x:v>
      </x:c>
      <x:c r="T94" s="376" t="str">
        <x:v>Group option</x:v>
      </x:c>
      <x:c r="U94" s="376" t="str">
        <x:v>Research</x:v>
      </x:c>
      <x:c r="V94" s="376" t="str">
        <x:v>No</x:v>
      </x:c>
      <x:c r="W94" s="376" t="str">
        <x:v>Not booked</x:v>
      </x:c>
      <x:c r="X94" s="376" t="str">
        <x:v>Verify live</x:v>
      </x:c>
      <x:c r="Y94" s="376" t="str">
        <x:v>No</x:v>
      </x:c>
      <x:c r="Z94" s="376" t="str">
        <x:v>https://www.google.com/maps/search/?api=1&amp;query=Takoyaki+Juhachiban+Osaka+Japan</x:v>
      </x:c>
      <x:c r="AA94" s="376" t="str">
        <x:v>https://tabelog.com/en/rstLst/?sk=Takoyaki+Juhachiban</x:v>
      </x:c>
      <x:c r="AB94" s="376" t="str"/>
      <x:c r="AC94" s="376" t="str"/>
      <x:c r="AD94" s="376" t="str">
        <x:v>2026-07-23</x:v>
      </x:c>
      <x:c r="AE94" s="376" t="str">
        <x:v>Gluten-free and lactose-free accommodation must be reconfirmed directly; cross-contact is not assumed safe.</x:v>
      </x:c>
    </x:row>
    <x:row r="95">
      <x:c r="A95" s="376" t="str">
        <x:v>OS-091</x:v>
      </x:c>
      <x:c r="B95" s="376" t="str">
        <x:v>Osaka</x:v>
      </x:c>
      <x:c r="C95" s="376" t="str">
        <x:v>Shinsekai</x:v>
      </x:c>
      <x:c r="D95" s="376" t="str">
        <x:v>Yaekatsu</x:v>
      </x:c>
      <x:c r="E95" s="376" t="str">
        <x:v>Kushikatsu</x:v>
      </x:c>
      <x:c r="F95" s="376" t="str">
        <x:v>Kushikatsu</x:v>
      </x:c>
      <x:c r="G95" s="376" t="str">
        <x:v>Lunch,Dinner</x:v>
      </x:c>
      <x:c r="H95" s="376" t="str">
        <x:v>No</x:v>
      </x:c>
      <x:c r="I95" s="376" t="str">
        <x:v>Yes</x:v>
      </x:c>
      <x:c r="J95" s="376" t="str">
        <x:v>Yes</x:v>
      </x:c>
      <x:c r="K95" s="376" t="str">
        <x:v>No</x:v>
      </x:c>
      <x:c r="L95" s="376" t="str">
        <x:v>—</x:v>
      </x:c>
      <x:c r="M95" s="376" t="str">
        <x:v>Tabelog highly rated</x:v>
      </x:c>
      <x:c r="N95" s="376" t="str">
        <x:v>Not GF / shared fryer</x:v>
      </x:c>
      <x:c r="O95" s="376" t="str">
        <x:v>Some items LF but batter unsuitable</x:v>
      </x:c>
      <x:c r="P95" s="376" t="str">
        <x:v>¥¥</x:v>
      </x:c>
      <x:c r="Q95" s="376" t="str">
        <x:v>Queue</x:v>
      </x:c>
      <x:c r="R95" s="376" t="str">
        <x:v>Kushikatsu</x:v>
      </x:c>
      <x:c r="S95" s="376" t="str">
        <x:v>Classic but not GF.</x:v>
      </x:c>
      <x:c r="T95" s="376" t="str">
        <x:v>Group option</x:v>
      </x:c>
      <x:c r="U95" s="376" t="str">
        <x:v>Research</x:v>
      </x:c>
      <x:c r="V95" s="376" t="str">
        <x:v>No</x:v>
      </x:c>
      <x:c r="W95" s="376" t="str">
        <x:v>Not booked</x:v>
      </x:c>
      <x:c r="X95" s="376" t="str">
        <x:v>Verify live</x:v>
      </x:c>
      <x:c r="Y95" s="376" t="str">
        <x:v>No</x:v>
      </x:c>
      <x:c r="Z95" s="376" t="str">
        <x:v>https://www.google.com/maps/search/?api=1&amp;query=Yaekatsu+Osaka+Japan</x:v>
      </x:c>
      <x:c r="AA95" s="376" t="str">
        <x:v>https://tabelog.com/en/rstLst/?sk=Yaekatsu</x:v>
      </x:c>
      <x:c r="AB95" s="376" t="str"/>
      <x:c r="AC95" s="376" t="str"/>
      <x:c r="AD95" s="376" t="str">
        <x:v>2026-07-23</x:v>
      </x:c>
      <x:c r="AE95" s="376" t="str">
        <x:v>Gluten-free and lactose-free accommodation must be reconfirmed directly; cross-contact is not assumed safe.</x:v>
      </x:c>
    </x:row>
    <x:row r="96">
      <x:c r="A96" s="376" t="str">
        <x:v>OS-092</x:v>
      </x:c>
      <x:c r="B96" s="376" t="str">
        <x:v>Osaka</x:v>
      </x:c>
      <x:c r="C96" s="376" t="str">
        <x:v>Kuromon</x:v>
      </x:c>
      <x:c r="D96" s="376" t="str">
        <x:v>Kuromon Market seafood stalls</x:v>
      </x:c>
      <x:c r="E96" s="376" t="str">
        <x:v>Seafood / Market</x:v>
      </x:c>
      <x:c r="F96" s="376" t="str">
        <x:v>Market</x:v>
      </x:c>
      <x:c r="G96" s="376" t="str">
        <x:v>Breakfast,Lunch</x:v>
      </x:c>
      <x:c r="H96" s="376" t="str">
        <x:v>Yes</x:v>
      </x:c>
      <x:c r="I96" s="376" t="str">
        <x:v>Yes</x:v>
      </x:c>
      <x:c r="J96" s="376" t="str">
        <x:v>No</x:v>
      </x:c>
      <x:c r="K96" s="376" t="str">
        <x:v>No</x:v>
      </x:c>
      <x:c r="L96" s="376" t="str">
        <x:v>—</x:v>
      </x:c>
      <x:c r="M96" s="376" t="str">
        <x:v>Tabelog area research</x:v>
      </x:c>
      <x:c r="N96" s="376" t="str">
        <x:v>Choose plain sashimi/grilled seafood; verify sauces</x:v>
      </x:c>
      <x:c r="O96" s="376" t="str">
        <x:v>Mostly easy if plain</x:v>
      </x:c>
      <x:c r="P96" s="376" t="str">
        <x:v>¥-¥¥¥</x:v>
      </x:c>
      <x:c r="Q96" s="376" t="str">
        <x:v>No</x:v>
      </x:c>
      <x:c r="R96" s="376" t="str">
        <x:v>Seafood / fruit</x:v>
      </x:c>
      <x:c r="S96" s="376" t="str">
        <x:v>Useful flexible breakfast/lunch zone.</x:v>
      </x:c>
      <x:c r="T96" s="376" t="str">
        <x:v>Top pick</x:v>
      </x:c>
      <x:c r="U96" s="376" t="str">
        <x:v>Research</x:v>
      </x:c>
      <x:c r="V96" s="376" t="str">
        <x:v>No</x:v>
      </x:c>
      <x:c r="W96" s="376" t="str">
        <x:v>Not booked</x:v>
      </x:c>
      <x:c r="X96" s="376" t="str">
        <x:v>Verify live</x:v>
      </x:c>
      <x:c r="Y96" s="376" t="str">
        <x:v>Yes</x:v>
      </x:c>
      <x:c r="Z96" s="376" t="str">
        <x:v>https://www.google.com/maps/search/?api=1&amp;query=Kuromon+Market+seafood+stalls+Osaka+Japan</x:v>
      </x:c>
      <x:c r="AA96" s="376" t="str">
        <x:v>https://tabelog.com/en/rstLst/?sk=Kuromon+Market+seafood+stalls</x:v>
      </x:c>
      <x:c r="AB96" s="376" t="str"/>
      <x:c r="AC96" s="376" t="str"/>
      <x:c r="AD96" s="376" t="str">
        <x:v>2026-07-23</x:v>
      </x:c>
      <x:c r="AE96" s="376" t="str">
        <x:v>Gluten-free and lactose-free accommodation must be reconfirmed directly; cross-contact is not assumed safe.</x:v>
      </x:c>
    </x:row>
    <x:row r="97">
      <x:c r="A97" s="376" t="str">
        <x:v>OS-093</x:v>
      </x:c>
      <x:c r="B97" s="376" t="str">
        <x:v>Osaka</x:v>
      </x:c>
      <x:c r="C97" s="376" t="str">
        <x:v>Namba</x:v>
      </x:c>
      <x:c r="D97" s="376" t="str">
        <x:v>Endo Sushi Kyobashi</x:v>
      </x:c>
      <x:c r="E97" s="376" t="str">
        <x:v>Sushi</x:v>
      </x:c>
      <x:c r="F97" s="376" t="str">
        <x:v>Sushi / Breakfast</x:v>
      </x:c>
      <x:c r="G97" s="376" t="str">
        <x:v>Breakfast,Lunch</x:v>
      </x:c>
      <x:c r="H97" s="376" t="str">
        <x:v>Yes</x:v>
      </x:c>
      <x:c r="I97" s="376" t="str">
        <x:v>Yes</x:v>
      </x:c>
      <x:c r="J97" s="376" t="str">
        <x:v>No</x:v>
      </x:c>
      <x:c r="K97" s="376" t="str">
        <x:v>No</x:v>
      </x:c>
      <x:c r="L97" s="376" t="str">
        <x:v>—</x:v>
      </x:c>
      <x:c r="M97" s="376" t="str">
        <x:v>Tabelog highly rated</x:v>
      </x:c>
      <x:c r="N97" s="376" t="str">
        <x:v>Confirm soy sauce/marinades</x:v>
      </x:c>
      <x:c r="O97" s="376" t="str">
        <x:v>Naturally low dairy</x:v>
      </x:c>
      <x:c r="P97" s="376" t="str">
        <x:v>¥¥</x:v>
      </x:c>
      <x:c r="Q97" s="376" t="str">
        <x:v>Queue</x:v>
      </x:c>
      <x:c r="R97" s="376" t="str">
        <x:v>Sushi breakfast</x:v>
      </x:c>
      <x:c r="S97" s="376" t="str">
        <x:v>Classic early sushi option.</x:v>
      </x:c>
      <x:c r="T97" s="376" t="str">
        <x:v>Top pick</x:v>
      </x:c>
      <x:c r="U97" s="376" t="str">
        <x:v>Research</x:v>
      </x:c>
      <x:c r="V97" s="376" t="str">
        <x:v>No</x:v>
      </x:c>
      <x:c r="W97" s="376" t="str">
        <x:v>Not booked</x:v>
      </x:c>
      <x:c r="X97" s="376" t="str">
        <x:v>Verify live</x:v>
      </x:c>
      <x:c r="Y97" s="376" t="str">
        <x:v>Yes</x:v>
      </x:c>
      <x:c r="Z97" s="376" t="str">
        <x:v>https://www.google.com/maps/search/?api=1&amp;query=Endo+Sushi+Kyobashi+Osaka+Japan</x:v>
      </x:c>
      <x:c r="AA97" s="376" t="str">
        <x:v>https://tabelog.com/en/rstLst/?sk=Endo+Sushi+Kyobashi</x:v>
      </x:c>
      <x:c r="AB97" s="376" t="str"/>
      <x:c r="AC97" s="376" t="str"/>
      <x:c r="AD97" s="376" t="str">
        <x:v>2026-07-23</x:v>
      </x:c>
      <x:c r="AE97" s="376" t="str">
        <x:v>Gluten-free and lactose-free accommodation must be reconfirmed directly; cross-contact is not assumed safe.</x:v>
      </x:c>
    </x:row>
    <x:row r="98">
      <x:c r="A98" s="376" t="str">
        <x:v>OS-094</x:v>
      </x:c>
      <x:c r="B98" s="376" t="str">
        <x:v>Osaka</x:v>
      </x:c>
      <x:c r="C98" s="376" t="str">
        <x:v>Umeda</x:v>
      </x:c>
      <x:c r="D98" s="376" t="str">
        <x:v>The City Bakery Grand Front Osaka</x:v>
      </x:c>
      <x:c r="E98" s="376" t="str">
        <x:v>Cafe / Bakery</x:v>
      </x:c>
      <x:c r="F98" s="376" t="str">
        <x:v>Cafe</x:v>
      </x:c>
      <x:c r="G98" s="376" t="str">
        <x:v>Breakfast,Lunch,Cafe</x:v>
      </x:c>
      <x:c r="H98" s="376" t="str">
        <x:v>Yes</x:v>
      </x:c>
      <x:c r="I98" s="376" t="str">
        <x:v>Yes</x:v>
      </x:c>
      <x:c r="J98" s="376" t="str">
        <x:v>No</x:v>
      </x:c>
      <x:c r="K98" s="376" t="str">
        <x:v>Yes</x:v>
      </x:c>
      <x:c r="L98" s="376" t="str">
        <x:v>—</x:v>
      </x:c>
      <x:c r="M98" s="376" t="str">
        <x:v>Tabelog popular</x:v>
      </x:c>
      <x:c r="N98" s="376" t="str">
        <x:v>Limited GF</x:v>
      </x:c>
      <x:c r="O98" s="376" t="str">
        <x:v>Plant milk/omit dairy varies</x:v>
      </x:c>
      <x:c r="P98" s="376" t="str">
        <x:v>¥¥</x:v>
      </x:c>
      <x:c r="Q98" s="376" t="str">
        <x:v>No</x:v>
      </x:c>
      <x:c r="R98" s="376" t="str">
        <x:v>Coffee / breakfast</x:v>
      </x:c>
      <x:c r="S98" s="376" t="str">
        <x:v>Companion-friendly breakfast.</x:v>
      </x:c>
      <x:c r="T98" s="376" t="str">
        <x:v>Backup</x:v>
      </x:c>
      <x:c r="U98" s="376" t="str">
        <x:v>Research</x:v>
      </x:c>
      <x:c r="V98" s="376" t="str">
        <x:v>No</x:v>
      </x:c>
      <x:c r="W98" s="376" t="str">
        <x:v>Not booked</x:v>
      </x:c>
      <x:c r="X98" s="376" t="str">
        <x:v>Verify live</x:v>
      </x:c>
      <x:c r="Y98" s="376" t="str">
        <x:v>Yes</x:v>
      </x:c>
      <x:c r="Z98" s="376" t="str">
        <x:v>https://www.google.com/maps/search/?api=1&amp;query=The+City+Bakery+Grand+Front+Osaka+Osaka+Japan</x:v>
      </x:c>
      <x:c r="AA98" s="376" t="str">
        <x:v>https://tabelog.com/en/rstLst/?sk=The+City+Bakery+Grand+Front+Osaka</x:v>
      </x:c>
      <x:c r="AB98" s="376" t="str"/>
      <x:c r="AC98" s="376" t="str"/>
      <x:c r="AD98" s="376" t="str">
        <x:v>2026-07-23</x:v>
      </x:c>
      <x:c r="AE98" s="376" t="str">
        <x:v>Gluten-free and lactose-free accommodation must be reconfirmed directly; cross-contact is not assumed safe.</x:v>
      </x:c>
    </x:row>
    <x:row r="99">
      <x:c r="A99" s="376" t="str">
        <x:v>OS-095</x:v>
      </x:c>
      <x:c r="B99" s="376" t="str">
        <x:v>Osaka</x:v>
      </x:c>
      <x:c r="C99" s="376" t="str">
        <x:v>Kitahama</x:v>
      </x:c>
      <x:c r="D99" s="376" t="str">
        <x:v>Brooklyn Roasting Company Kitahama</x:v>
      </x:c>
      <x:c r="E99" s="376" t="str">
        <x:v>Coffee</x:v>
      </x:c>
      <x:c r="F99" s="376" t="str">
        <x:v>Coffee</x:v>
      </x:c>
      <x:c r="G99" s="376" t="str">
        <x:v>Breakfast,Cafe</x:v>
      </x:c>
      <x:c r="H99" s="376" t="str">
        <x:v>Yes</x:v>
      </x:c>
      <x:c r="I99" s="376" t="str">
        <x:v>No</x:v>
      </x:c>
      <x:c r="J99" s="376" t="str">
        <x:v>No</x:v>
      </x:c>
      <x:c r="K99" s="376" t="str">
        <x:v>Yes</x:v>
      </x:c>
      <x:c r="L99" s="376" t="str">
        <x:v>—</x:v>
      </x:c>
      <x:c r="M99" s="376" t="str">
        <x:v>Tabelog popular</x:v>
      </x:c>
      <x:c r="N99" s="376" t="str">
        <x:v>Coffee GF; food varies</x:v>
      </x:c>
      <x:c r="O99" s="376" t="str">
        <x:v>Plant milk may be available</x:v>
      </x:c>
      <x:c r="P99" s="376" t="str">
        <x:v>¥</x:v>
      </x:c>
      <x:c r="Q99" s="376" t="str">
        <x:v>No</x:v>
      </x:c>
      <x:c r="R99" s="376" t="str">
        <x:v>Coffee</x:v>
      </x:c>
      <x:c r="S99" s="376" t="str">
        <x:v>Scenic riverfront coffee.</x:v>
      </x:c>
      <x:c r="T99" s="376" t="str">
        <x:v>Top pick</x:v>
      </x:c>
      <x:c r="U99" s="376" t="str">
        <x:v>Research</x:v>
      </x:c>
      <x:c r="V99" s="376" t="str">
        <x:v>No</x:v>
      </x:c>
      <x:c r="W99" s="376" t="str">
        <x:v>Not booked</x:v>
      </x:c>
      <x:c r="X99" s="376" t="str">
        <x:v>Verify live</x:v>
      </x:c>
      <x:c r="Y99" s="376" t="str">
        <x:v>Yes</x:v>
      </x:c>
      <x:c r="Z99" s="376" t="str">
        <x:v>https://www.google.com/maps/search/?api=1&amp;query=Brooklyn+Roasting+Company+Kitahama+Osaka+Japan</x:v>
      </x:c>
      <x:c r="AA99" s="376" t="str">
        <x:v>https://tabelog.com/en/rstLst/?sk=Brooklyn+Roasting+Company+Kitahama</x:v>
      </x:c>
      <x:c r="AB99" s="376" t="str"/>
      <x:c r="AC99" s="376" t="str"/>
      <x:c r="AD99" s="376" t="str">
        <x:v>2026-07-23</x:v>
      </x:c>
      <x:c r="AE99" s="376" t="str">
        <x:v>Gluten-free and lactose-free accommodation must be reconfirmed directly; cross-contact is not assumed safe.</x:v>
      </x:c>
    </x:row>
    <x:row r="100">
      <x:c r="A100" s="376" t="str">
        <x:v>OS-096</x:v>
      </x:c>
      <x:c r="B100" s="376" t="str">
        <x:v>Osaka</x:v>
      </x:c>
      <x:c r="C100" s="376" t="str">
        <x:v>Nishi</x:v>
      </x:c>
      <x:c r="D100" s="376" t="str">
        <x:v>Mel Coffee Roasters</x:v>
      </x:c>
      <x:c r="E100" s="376" t="str">
        <x:v>Coffee</x:v>
      </x:c>
      <x:c r="F100" s="376" t="str">
        <x:v>Coffee</x:v>
      </x:c>
      <x:c r="G100" s="376" t="str">
        <x:v>Breakfast,Cafe</x:v>
      </x:c>
      <x:c r="H100" s="376" t="str">
        <x:v>Yes</x:v>
      </x:c>
      <x:c r="I100" s="376" t="str">
        <x:v>No</x:v>
      </x:c>
      <x:c r="J100" s="376" t="str">
        <x:v>No</x:v>
      </x:c>
      <x:c r="K100" s="376" t="str">
        <x:v>Yes</x:v>
      </x:c>
      <x:c r="L100" s="376" t="str">
        <x:v>—</x:v>
      </x:c>
      <x:c r="M100" s="376" t="str">
        <x:v>Tabelog highly rated</x:v>
      </x:c>
      <x:c r="N100" s="376" t="str">
        <x:v>Coffee GF</x:v>
      </x:c>
      <x:c r="O100" s="376" t="str">
        <x:v>Black coffee LF</x:v>
      </x:c>
      <x:c r="P100" s="376" t="str">
        <x:v>¥</x:v>
      </x:c>
      <x:c r="Q100" s="376" t="str">
        <x:v>No</x:v>
      </x:c>
      <x:c r="R100" s="376" t="str">
        <x:v>Coffee</x:v>
      </x:c>
      <x:c r="S100" s="376" t="str">
        <x:v>Excellent specialty coffee.</x:v>
      </x:c>
      <x:c r="T100" s="376" t="str">
        <x:v>Top pick</x:v>
      </x:c>
      <x:c r="U100" s="376" t="str">
        <x:v>Research</x:v>
      </x:c>
      <x:c r="V100" s="376" t="str">
        <x:v>No</x:v>
      </x:c>
      <x:c r="W100" s="376" t="str">
        <x:v>Not booked</x:v>
      </x:c>
      <x:c r="X100" s="376" t="str">
        <x:v>Verify live</x:v>
      </x:c>
      <x:c r="Y100" s="376" t="str">
        <x:v>Yes</x:v>
      </x:c>
      <x:c r="Z100" s="376" t="str">
        <x:v>https://www.google.com/maps/search/?api=1&amp;query=Mel+Coffee+Roasters+Osaka+Japan</x:v>
      </x:c>
      <x:c r="AA100" s="376" t="str">
        <x:v>https://tabelog.com/en/rstLst/?sk=Mel+Coffee+Roasters</x:v>
      </x:c>
      <x:c r="AB100" s="376" t="str"/>
      <x:c r="AC100" s="376" t="str"/>
      <x:c r="AD100" s="376" t="str">
        <x:v>2026-07-23</x:v>
      </x:c>
      <x:c r="AE100" s="376" t="str">
        <x:v>Gluten-free and lactose-free accommodation must be reconfirmed directly; cross-contact is not assumed safe.</x:v>
      </x:c>
    </x:row>
    <x:row r="101">
      <x:c r="A101" s="376" t="str">
        <x:v>OS-097</x:v>
      </x:c>
      <x:c r="B101" s="376" t="str">
        <x:v>Osaka</x:v>
      </x:c>
      <x:c r="C101" s="376" t="str">
        <x:v>Shinsaibashi</x:v>
      </x:c>
      <x:c r="D101" s="376" t="str">
        <x:v>LiLo Coffee Roasters</x:v>
      </x:c>
      <x:c r="E101" s="376" t="str">
        <x:v>Coffee</x:v>
      </x:c>
      <x:c r="F101" s="376" t="str">
        <x:v>Coffee</x:v>
      </x:c>
      <x:c r="G101" s="376" t="str">
        <x:v>Breakfast,Cafe</x:v>
      </x:c>
      <x:c r="H101" s="376" t="str">
        <x:v>Yes</x:v>
      </x:c>
      <x:c r="I101" s="376" t="str">
        <x:v>No</x:v>
      </x:c>
      <x:c r="J101" s="376" t="str">
        <x:v>No</x:v>
      </x:c>
      <x:c r="K101" s="376" t="str">
        <x:v>Yes</x:v>
      </x:c>
      <x:c r="L101" s="376" t="str">
        <x:v>—</x:v>
      </x:c>
      <x:c r="M101" s="376" t="str">
        <x:v>Tabelog highly rated</x:v>
      </x:c>
      <x:c r="N101" s="376" t="str">
        <x:v>Coffee GF</x:v>
      </x:c>
      <x:c r="O101" s="376" t="str">
        <x:v>Black coffee LF</x:v>
      </x:c>
      <x:c r="P101" s="376" t="str">
        <x:v>¥</x:v>
      </x:c>
      <x:c r="Q101" s="376" t="str">
        <x:v>No</x:v>
      </x:c>
      <x:c r="R101" s="376" t="str">
        <x:v>Coffee</x:v>
      </x:c>
      <x:c r="S101" s="376" t="str">
        <x:v>Easy coffee stop near shopping.</x:v>
      </x:c>
      <x:c r="T101" s="376" t="str">
        <x:v>Top pick</x:v>
      </x:c>
      <x:c r="U101" s="376" t="str">
        <x:v>Research</x:v>
      </x:c>
      <x:c r="V101" s="376" t="str">
        <x:v>No</x:v>
      </x:c>
      <x:c r="W101" s="376" t="str">
        <x:v>Not booked</x:v>
      </x:c>
      <x:c r="X101" s="376" t="str">
        <x:v>Verify live</x:v>
      </x:c>
      <x:c r="Y101" s="376" t="str">
        <x:v>Yes</x:v>
      </x:c>
      <x:c r="Z101" s="376" t="str">
        <x:v>https://www.google.com/maps/search/?api=1&amp;query=LiLo+Coffee+Roasters+Osaka+Japan</x:v>
      </x:c>
      <x:c r="AA101" s="376" t="str">
        <x:v>https://tabelog.com/en/rstLst/?sk=LiLo+Coffee+Roasters</x:v>
      </x:c>
      <x:c r="AB101" s="376" t="str"/>
      <x:c r="AC101" s="376" t="str"/>
      <x:c r="AD101" s="376" t="str">
        <x:v>2026-07-23</x:v>
      </x:c>
      <x:c r="AE101" s="376" t="str">
        <x:v>Gluten-free and lactose-free accommodation must be reconfirmed directly; cross-contact is not assumed safe.</x:v>
      </x:c>
    </x:row>
    <x:row r="102">
      <x:c r="A102" s="376" t="str">
        <x:v>OS-098</x:v>
      </x:c>
      <x:c r="B102" s="376" t="str">
        <x:v>Osaka</x:v>
      </x:c>
      <x:c r="C102" s="376" t="str">
        <x:v>Nakazakicho</x:v>
      </x:c>
      <x:c r="D102" s="376" t="str">
        <x:v>Cafe Arabiq</x:v>
      </x:c>
      <x:c r="E102" s="376" t="str">
        <x:v>Cafe</x:v>
      </x:c>
      <x:c r="F102" s="376" t="str">
        <x:v>Cafe</x:v>
      </x:c>
      <x:c r="G102" s="376" t="str">
        <x:v>Breakfast,Lunch,Cafe,Dessert</x:v>
      </x:c>
      <x:c r="H102" s="376" t="str">
        <x:v>Yes</x:v>
      </x:c>
      <x:c r="I102" s="376" t="str">
        <x:v>Yes</x:v>
      </x:c>
      <x:c r="J102" s="376" t="str">
        <x:v>No</x:v>
      </x:c>
      <x:c r="K102" s="376" t="str">
        <x:v>Yes</x:v>
      </x:c>
      <x:c r="L102" s="376" t="str">
        <x:v>—</x:v>
      </x:c>
      <x:c r="M102" s="376" t="str">
        <x:v>Tabelog popular</x:v>
      </x:c>
      <x:c r="N102" s="376" t="str">
        <x:v>Limited GF</x:v>
      </x:c>
      <x:c r="O102" s="376" t="str">
        <x:v>Dairy common in desserts</x:v>
      </x:c>
      <x:c r="P102" s="376" t="str">
        <x:v>¥¥</x:v>
      </x:c>
      <x:c r="Q102" s="376" t="str">
        <x:v>No</x:v>
      </x:c>
      <x:c r="R102" s="376" t="str">
        <x:v>Coffee / cake</x:v>
      </x:c>
      <x:c r="S102" s="376" t="str">
        <x:v>Atmospheric companion café.</x:v>
      </x:c>
      <x:c r="T102" s="376" t="str">
        <x:v>Consider</x:v>
      </x:c>
      <x:c r="U102" s="376" t="str">
        <x:v>Research</x:v>
      </x:c>
      <x:c r="V102" s="376" t="str">
        <x:v>No</x:v>
      </x:c>
      <x:c r="W102" s="376" t="str">
        <x:v>Not booked</x:v>
      </x:c>
      <x:c r="X102" s="376" t="str">
        <x:v>Verify live</x:v>
      </x:c>
      <x:c r="Y102" s="376" t="str">
        <x:v>Yes</x:v>
      </x:c>
      <x:c r="Z102" s="376" t="str">
        <x:v>https://www.google.com/maps/search/?api=1&amp;query=Cafe+Arabiq+Osaka+Japan</x:v>
      </x:c>
      <x:c r="AA102" s="376" t="str">
        <x:v>https://tabelog.com/en/rstLst/?sk=Cafe+Arabiq</x:v>
      </x:c>
      <x:c r="AB102" s="376" t="str"/>
      <x:c r="AC102" s="376" t="str"/>
      <x:c r="AD102" s="376" t="str">
        <x:v>2026-07-23</x:v>
      </x:c>
      <x:c r="AE102" s="376" t="str">
        <x:v>Gluten-free and lactose-free accommodation must be reconfirmed directly; cross-contact is not assumed safe.</x:v>
      </x:c>
    </x:row>
    <x:row r="103">
      <x:c r="A103" s="376" t="str">
        <x:v>OS-099</x:v>
      </x:c>
      <x:c r="B103" s="376" t="str">
        <x:v>Osaka</x:v>
      </x:c>
      <x:c r="C103" s="376" t="str">
        <x:v>Namba</x:v>
      </x:c>
      <x:c r="D103" s="376" t="str">
        <x:v>Rikuro Ojisan no Mise</x:v>
      </x:c>
      <x:c r="E103" s="376" t="str">
        <x:v>Cheesecake</x:v>
      </x:c>
      <x:c r="F103" s="376" t="str">
        <x:v>Dessert</x:v>
      </x:c>
      <x:c r="G103" s="376" t="str">
        <x:v>Breakfast,Lunch,Dessert</x:v>
      </x:c>
      <x:c r="H103" s="376" t="str">
        <x:v>Yes</x:v>
      </x:c>
      <x:c r="I103" s="376" t="str">
        <x:v>Yes</x:v>
      </x:c>
      <x:c r="J103" s="376" t="str">
        <x:v>No</x:v>
      </x:c>
      <x:c r="K103" s="376" t="str">
        <x:v>Yes</x:v>
      </x:c>
      <x:c r="L103" s="376" t="str">
        <x:v>—</x:v>
      </x:c>
      <x:c r="M103" s="376" t="str">
        <x:v>Tabelog iconic</x:v>
      </x:c>
      <x:c r="N103" s="376" t="str">
        <x:v>Not GF</x:v>
      </x:c>
      <x:c r="O103" s="376" t="str">
        <x:v>Contains lactose/dairy</x:v>
      </x:c>
      <x:c r="P103" s="376" t="str">
        <x:v>¥</x:v>
      </x:c>
      <x:c r="Q103" s="376" t="str">
        <x:v>Queue</x:v>
      </x:c>
      <x:c r="R103" s="376" t="str">
        <x:v>Cheesecake</x:v>
      </x:c>
      <x:c r="S103" s="376" t="str">
        <x:v>Included for companions; not dietary-safe.</x:v>
      </x:c>
      <x:c r="T103" s="376" t="str">
        <x:v>Group option</x:v>
      </x:c>
      <x:c r="U103" s="376" t="str">
        <x:v>Research</x:v>
      </x:c>
      <x:c r="V103" s="376" t="str">
        <x:v>No</x:v>
      </x:c>
      <x:c r="W103" s="376" t="str">
        <x:v>Not booked</x:v>
      </x:c>
      <x:c r="X103" s="376" t="str">
        <x:v>Verify live</x:v>
      </x:c>
      <x:c r="Y103" s="376" t="str">
        <x:v>Yes</x:v>
      </x:c>
      <x:c r="Z103" s="376" t="str">
        <x:v>https://www.google.com/maps/search/?api=1&amp;query=Rikuro+Ojisan+no+Mise+Osaka+Japan</x:v>
      </x:c>
      <x:c r="AA103" s="376" t="str">
        <x:v>https://tabelog.com/en/rstLst/?sk=Rikuro+Ojisan+no+Mise</x:v>
      </x:c>
      <x:c r="AB103" s="376" t="str"/>
      <x:c r="AC103" s="376" t="str"/>
      <x:c r="AD103" s="376" t="str">
        <x:v>2026-07-23</x:v>
      </x:c>
      <x:c r="AE103" s="376" t="str">
        <x:v>Gluten-free and lactose-free accommodation must be reconfirmed directly; cross-contact is not assumed safe.</x:v>
      </x:c>
    </x:row>
    <x:row r="104">
      <x:c r="A104" s="376" t="str">
        <x:v>OS-100</x:v>
      </x:c>
      <x:c r="B104" s="376" t="str">
        <x:v>Osaka</x:v>
      </x:c>
      <x:c r="C104" s="376" t="str">
        <x:v>Umeda</x:v>
      </x:c>
      <x:c r="D104" s="376" t="str">
        <x:v>Harukoma Sushi</x:v>
      </x:c>
      <x:c r="E104" s="376" t="str">
        <x:v>Sushi</x:v>
      </x:c>
      <x:c r="F104" s="376" t="str">
        <x:v>Sushi</x:v>
      </x:c>
      <x:c r="G104" s="376" t="str">
        <x:v>Lunch,Dinner</x:v>
      </x:c>
      <x:c r="H104" s="376" t="str">
        <x:v>No</x:v>
      </x:c>
      <x:c r="I104" s="376" t="str">
        <x:v>Yes</x:v>
      </x:c>
      <x:c r="J104" s="376" t="str">
        <x:v>Yes</x:v>
      </x:c>
      <x:c r="K104" s="376" t="str">
        <x:v>No</x:v>
      </x:c>
      <x:c r="L104" s="376" t="str">
        <x:v>—</x:v>
      </x:c>
      <x:c r="M104" s="376" t="str">
        <x:v>Tabelog popular</x:v>
      </x:c>
      <x:c r="N104" s="376" t="str">
        <x:v>Confirm soy sauce/marinades</x:v>
      </x:c>
      <x:c r="O104" s="376" t="str">
        <x:v>Naturally low dairy</x:v>
      </x:c>
      <x:c r="P104" s="376" t="str">
        <x:v>¥¥</x:v>
      </x:c>
      <x:c r="Q104" s="376" t="str">
        <x:v>Queue</x:v>
      </x:c>
      <x:c r="R104" s="376" t="str">
        <x:v>Sushi</x:v>
      </x:c>
      <x:c r="S104" s="376" t="str">
        <x:v>High-value casual sushi.</x:v>
      </x:c>
      <x:c r="T104" s="376" t="str">
        <x:v>Consider</x:v>
      </x:c>
      <x:c r="U104" s="376" t="str">
        <x:v>Research</x:v>
      </x:c>
      <x:c r="V104" s="376" t="str">
        <x:v>No</x:v>
      </x:c>
      <x:c r="W104" s="376" t="str">
        <x:v>Not booked</x:v>
      </x:c>
      <x:c r="X104" s="376" t="str">
        <x:v>Verify live</x:v>
      </x:c>
      <x:c r="Y104" s="376" t="str">
        <x:v>No</x:v>
      </x:c>
      <x:c r="Z104" s="376" t="str">
        <x:v>https://www.google.com/maps/search/?api=1&amp;query=Harukoma+Sushi+Osaka+Japan</x:v>
      </x:c>
      <x:c r="AA104" s="376" t="str">
        <x:v>https://tabelog.com/en/rstLst/?sk=Harukoma+Sushi</x:v>
      </x:c>
      <x:c r="AB104" s="376" t="str"/>
      <x:c r="AC104" s="376" t="str"/>
      <x:c r="AD104" s="376" t="str">
        <x:v>2026-07-23</x:v>
      </x:c>
      <x:c r="AE104" s="376" t="str">
        <x:v>Gluten-free and lactose-free accommodation must be reconfirmed directly; cross-contact is not assumed safe.</x:v>
      </x:c>
    </x:row>
    <x:row r="105">
      <x:c r="A105" s="376" t="str">
        <x:v>OS-101</x:v>
      </x:c>
      <x:c r="B105" s="376" t="str">
        <x:v>Osaka</x:v>
      </x:c>
      <x:c r="C105" s="376" t="str">
        <x:v>Namba</x:v>
      </x:c>
      <x:c r="D105" s="376" t="str">
        <x:v>Sushi Sennin</x:v>
      </x:c>
      <x:c r="E105" s="376" t="str">
        <x:v>Sushi</x:v>
      </x:c>
      <x:c r="F105" s="376" t="str">
        <x:v>Sushi</x:v>
      </x:c>
      <x:c r="G105" s="376" t="str">
        <x:v>Lunch,Dinner</x:v>
      </x:c>
      <x:c r="H105" s="376" t="str">
        <x:v>No</x:v>
      </x:c>
      <x:c r="I105" s="376" t="str">
        <x:v>Yes</x:v>
      </x:c>
      <x:c r="J105" s="376" t="str">
        <x:v>Yes</x:v>
      </x:c>
      <x:c r="K105" s="376" t="str">
        <x:v>No</x:v>
      </x:c>
      <x:c r="L105" s="376" t="str">
        <x:v>—</x:v>
      </x:c>
      <x:c r="M105" s="376" t="str">
        <x:v>Tabelog candidate</x:v>
      </x:c>
      <x:c r="N105" s="376" t="str">
        <x:v>Confirm soy sauce/marinades</x:v>
      </x:c>
      <x:c r="O105" s="376" t="str">
        <x:v>Naturally low dairy</x:v>
      </x:c>
      <x:c r="P105" s="376" t="str">
        <x:v>¥¥</x:v>
      </x:c>
      <x:c r="Q105" s="376" t="str">
        <x:v>Recommended</x:v>
      </x:c>
      <x:c r="R105" s="376" t="str">
        <x:v>Sushi</x:v>
      </x:c>
      <x:c r="S105" s="376" t="str">
        <x:v>Backup casual sushi candidate.</x:v>
      </x:c>
      <x:c r="T105" s="376" t="str">
        <x:v>Consider</x:v>
      </x:c>
      <x:c r="U105" s="376" t="str">
        <x:v>Research</x:v>
      </x:c>
      <x:c r="V105" s="376" t="str">
        <x:v>No</x:v>
      </x:c>
      <x:c r="W105" s="376" t="str">
        <x:v>Not booked</x:v>
      </x:c>
      <x:c r="X105" s="376" t="str">
        <x:v>Verify live</x:v>
      </x:c>
      <x:c r="Y105" s="376" t="str">
        <x:v>No</x:v>
      </x:c>
      <x:c r="Z105" s="376" t="str">
        <x:v>https://www.google.com/maps/search/?api=1&amp;query=Sushi+Sennin+Osaka+Japan</x:v>
      </x:c>
      <x:c r="AA105" s="376" t="str">
        <x:v>https://tabelog.com/en/rstLst/?sk=Sushi+Sennin</x:v>
      </x:c>
      <x:c r="AB105" s="376" t="str"/>
      <x:c r="AC105" s="376" t="str"/>
      <x:c r="AD105" s="376" t="str">
        <x:v>2026-07-23</x:v>
      </x:c>
      <x:c r="AE105" s="376" t="str">
        <x:v>Gluten-free and lactose-free accommodation must be reconfirmed directly; cross-contact is not assumed safe.</x:v>
      </x:c>
    </x:row>
    <x:row r="106">
      <x:c r="A106" s="376" t="str">
        <x:v>OS-102</x:v>
      </x:c>
      <x:c r="B106" s="376" t="str">
        <x:v>Osaka</x:v>
      </x:c>
      <x:c r="C106" s="376" t="str">
        <x:v>Fukushima</x:v>
      </x:c>
      <x:c r="D106" s="376" t="str">
        <x:v>Moeyo Mensuke</x:v>
      </x:c>
      <x:c r="E106" s="376" t="str">
        <x:v>Ramen</x:v>
      </x:c>
      <x:c r="F106" s="376" t="str">
        <x:v>Ramen</x:v>
      </x:c>
      <x:c r="G106" s="376" t="str">
        <x:v>Lunch,Dinner</x:v>
      </x:c>
      <x:c r="H106" s="376" t="str">
        <x:v>No</x:v>
      </x:c>
      <x:c r="I106" s="376" t="str">
        <x:v>Yes</x:v>
      </x:c>
      <x:c r="J106" s="376" t="str">
        <x:v>Yes</x:v>
      </x:c>
      <x:c r="K106" s="376" t="str">
        <x:v>No</x:v>
      </x:c>
      <x:c r="L106" s="376" t="str">
        <x:v>—</x:v>
      </x:c>
      <x:c r="M106" s="376" t="str">
        <x:v>Tabelog highly rated</x:v>
      </x:c>
      <x:c r="N106" s="376" t="str">
        <x:v>Not GF</x:v>
      </x:c>
      <x:c r="O106" s="376" t="str">
        <x:v>Verify broth</x:v>
      </x:c>
      <x:c r="P106" s="376" t="str">
        <x:v>¥¥</x:v>
      </x:c>
      <x:c r="Q106" s="376" t="str">
        <x:v>Queue</x:v>
      </x:c>
      <x:c r="R106" s="376" t="str">
        <x:v>Duck ramen</x:v>
      </x:c>
      <x:c r="S106" s="376" t="str">
        <x:v>For companions; not GF.</x:v>
      </x:c>
      <x:c r="T106" s="376" t="str">
        <x:v>Group option</x:v>
      </x:c>
      <x:c r="U106" s="376" t="str">
        <x:v>Research</x:v>
      </x:c>
      <x:c r="V106" s="376" t="str">
        <x:v>No</x:v>
      </x:c>
      <x:c r="W106" s="376" t="str">
        <x:v>Not booked</x:v>
      </x:c>
      <x:c r="X106" s="376" t="str">
        <x:v>Verify live</x:v>
      </x:c>
      <x:c r="Y106" s="376" t="str">
        <x:v>No</x:v>
      </x:c>
      <x:c r="Z106" s="376" t="str">
        <x:v>https://www.google.com/maps/search/?api=1&amp;query=Moeyo+Mensuke+Osaka+Japan</x:v>
      </x:c>
      <x:c r="AA106" s="376" t="str">
        <x:v>https://tabelog.com/en/rstLst/?sk=Moeyo+Mensuke</x:v>
      </x:c>
      <x:c r="AB106" s="376" t="str"/>
      <x:c r="AC106" s="376" t="str"/>
      <x:c r="AD106" s="376" t="str">
        <x:v>2026-07-23</x:v>
      </x:c>
      <x:c r="AE106" s="376" t="str">
        <x:v>Gluten-free and lactose-free accommodation must be reconfirmed directly; cross-contact is not assumed safe.</x:v>
      </x:c>
    </x:row>
    <x:row r="107">
      <x:c r="A107" s="376" t="str">
        <x:v>OS-103</x:v>
      </x:c>
      <x:c r="B107" s="376" t="str">
        <x:v>Osaka</x:v>
      </x:c>
      <x:c r="C107" s="376" t="str">
        <x:v>Namba</x:v>
      </x:c>
      <x:c r="D107" s="376" t="str">
        <x:v>Jiyuken Namba Honten</x:v>
      </x:c>
      <x:c r="E107" s="376" t="str">
        <x:v>Curry</x:v>
      </x:c>
      <x:c r="F107" s="376" t="str">
        <x:v>Curry</x:v>
      </x:c>
      <x:c r="G107" s="376" t="str">
        <x:v>Lunch,Dinner</x:v>
      </x:c>
      <x:c r="H107" s="376" t="str">
        <x:v>No</x:v>
      </x:c>
      <x:c r="I107" s="376" t="str">
        <x:v>Yes</x:v>
      </x:c>
      <x:c r="J107" s="376" t="str">
        <x:v>Yes</x:v>
      </x:c>
      <x:c r="K107" s="376" t="str">
        <x:v>No</x:v>
      </x:c>
      <x:c r="L107" s="376" t="str">
        <x:v>—</x:v>
      </x:c>
      <x:c r="M107" s="376" t="str">
        <x:v>Tabelog classic</x:v>
      </x:c>
      <x:c r="N107" s="376" t="str">
        <x:v>Usually not GF; roux contains wheat</x:v>
      </x:c>
      <x:c r="O107" s="376" t="str">
        <x:v>May contain dairy</x:v>
      </x:c>
      <x:c r="P107" s="376" t="str">
        <x:v>¥</x:v>
      </x:c>
      <x:c r="Q107" s="376" t="str">
        <x:v>Queue</x:v>
      </x:c>
      <x:c r="R107" s="376" t="str">
        <x:v>Mixed curry</x:v>
      </x:c>
      <x:c r="S107" s="376" t="str">
        <x:v>Historic companion option.</x:v>
      </x:c>
      <x:c r="T107" s="376" t="str">
        <x:v>Group option</x:v>
      </x:c>
      <x:c r="U107" s="376" t="str">
        <x:v>Research</x:v>
      </x:c>
      <x:c r="V107" s="376" t="str">
        <x:v>No</x:v>
      </x:c>
      <x:c r="W107" s="376" t="str">
        <x:v>Not booked</x:v>
      </x:c>
      <x:c r="X107" s="376" t="str">
        <x:v>Verify live</x:v>
      </x:c>
      <x:c r="Y107" s="376" t="str">
        <x:v>No</x:v>
      </x:c>
      <x:c r="Z107" s="376" t="str">
        <x:v>https://www.google.com/maps/search/?api=1&amp;query=Jiyuken+Namba+Honten+Osaka+Japan</x:v>
      </x:c>
      <x:c r="AA107" s="376" t="str">
        <x:v>https://tabelog.com/en/rstLst/?sk=Jiyuken+Namba+Honten</x:v>
      </x:c>
      <x:c r="AB107" s="376" t="str"/>
      <x:c r="AC107" s="376" t="str"/>
      <x:c r="AD107" s="376" t="str">
        <x:v>2026-07-23</x:v>
      </x:c>
      <x:c r="AE107" s="376" t="str">
        <x:v>Gluten-free and lactose-free accommodation must be reconfirmed directly; cross-contact is not assumed safe.</x:v>
      </x:c>
    </x:row>
    <x:row r="108">
      <x:c r="A108" s="376" t="str">
        <x:v>OS-104</x:v>
      </x:c>
      <x:c r="B108" s="376" t="str">
        <x:v>Osaka</x:v>
      </x:c>
      <x:c r="C108" s="376" t="str">
        <x:v>Umeda</x:v>
      </x:c>
      <x:c r="D108" s="376" t="str">
        <x:v>Indian Curry Umeda</x:v>
      </x:c>
      <x:c r="E108" s="376" t="str">
        <x:v>Japanese curry</x:v>
      </x:c>
      <x:c r="F108" s="376" t="str">
        <x:v>Japanese curry</x:v>
      </x:c>
      <x:c r="G108" s="376" t="str">
        <x:v>Lunch,Dinner</x:v>
      </x:c>
      <x:c r="H108" s="376" t="str">
        <x:v>No</x:v>
      </x:c>
      <x:c r="I108" s="376" t="str">
        <x:v>Yes</x:v>
      </x:c>
      <x:c r="J108" s="376" t="str">
        <x:v>Yes</x:v>
      </x:c>
      <x:c r="K108" s="376" t="str">
        <x:v>No</x:v>
      </x:c>
      <x:c r="L108" s="376" t="str">
        <x:v>—</x:v>
      </x:c>
      <x:c r="M108" s="376" t="str">
        <x:v>Tabelog classic</x:v>
      </x:c>
      <x:c r="N108" s="376" t="str">
        <x:v>Not GF in standard form</x:v>
      </x:c>
      <x:c r="O108" s="376" t="str">
        <x:v>May contain dairy</x:v>
      </x:c>
      <x:c r="P108" s="376" t="str">
        <x:v>¥</x:v>
      </x:c>
      <x:c r="Q108" s="376" t="str">
        <x:v>Queue</x:v>
      </x:c>
      <x:c r="R108" s="376" t="str">
        <x:v>Curry</x:v>
      </x:c>
      <x:c r="S108" s="376" t="str">
        <x:v>For companions.</x:v>
      </x:c>
      <x:c r="T108" s="376" t="str">
        <x:v>Group option</x:v>
      </x:c>
      <x:c r="U108" s="376" t="str">
        <x:v>Research</x:v>
      </x:c>
      <x:c r="V108" s="376" t="str">
        <x:v>No</x:v>
      </x:c>
      <x:c r="W108" s="376" t="str">
        <x:v>Not booked</x:v>
      </x:c>
      <x:c r="X108" s="376" t="str">
        <x:v>Verify live</x:v>
      </x:c>
      <x:c r="Y108" s="376" t="str">
        <x:v>No</x:v>
      </x:c>
      <x:c r="Z108" s="376" t="str">
        <x:v>https://www.google.com/maps/search/?api=1&amp;query=Indian+Curry+Umeda+Osaka+Japan</x:v>
      </x:c>
      <x:c r="AA108" s="376" t="str">
        <x:v>https://tabelog.com/en/rstLst/?sk=Indian+Curry+Umeda</x:v>
      </x:c>
      <x:c r="AB108" s="376" t="str"/>
      <x:c r="AC108" s="376" t="str"/>
      <x:c r="AD108" s="376" t="str">
        <x:v>2026-07-23</x:v>
      </x:c>
      <x:c r="AE108" s="376" t="str">
        <x:v>Gluten-free and lactose-free accommodation must be reconfirmed directly; cross-contact is not assumed safe.</x:v>
      </x:c>
    </x:row>
    <x:row r="109">
      <x:c r="A109" s="376" t="str">
        <x:v>OS-105</x:v>
      </x:c>
      <x:c r="B109" s="376" t="str">
        <x:v>Osaka</x:v>
      </x:c>
      <x:c r="C109" s="376" t="str">
        <x:v>Tenma</x:v>
      </x:c>
      <x:c r="D109" s="376" t="str">
        <x:v>Sushiroku</x:v>
      </x:c>
      <x:c r="E109" s="376" t="str">
        <x:v>Sushi</x:v>
      </x:c>
      <x:c r="F109" s="376" t="str">
        <x:v>Sushi</x:v>
      </x:c>
      <x:c r="G109" s="376" t="str">
        <x:v>Lunch,Dinner</x:v>
      </x:c>
      <x:c r="H109" s="376" t="str">
        <x:v>No</x:v>
      </x:c>
      <x:c r="I109" s="376" t="str">
        <x:v>Yes</x:v>
      </x:c>
      <x:c r="J109" s="376" t="str">
        <x:v>Yes</x:v>
      </x:c>
      <x:c r="K109" s="376" t="str">
        <x:v>No</x:v>
      </x:c>
      <x:c r="L109" s="376" t="str">
        <x:v>—</x:v>
      </x:c>
      <x:c r="M109" s="376" t="str">
        <x:v>Tabelog candidate</x:v>
      </x:c>
      <x:c r="N109" s="376" t="str">
        <x:v>Confirm soy sauce/marinades</x:v>
      </x:c>
      <x:c r="O109" s="376" t="str">
        <x:v>Naturally low dairy</x:v>
      </x:c>
      <x:c r="P109" s="376" t="str">
        <x:v>¥¥¥</x:v>
      </x:c>
      <x:c r="Q109" s="376" t="str">
        <x:v>Recommended</x:v>
      </x:c>
      <x:c r="R109" s="376" t="str">
        <x:v>Sushi course</x:v>
      </x:c>
      <x:c r="S109" s="376" t="str">
        <x:v>Potential mid-range reservation.</x:v>
      </x:c>
      <x:c r="T109" s="376" t="str">
        <x:v>Consider</x:v>
      </x:c>
      <x:c r="U109" s="376" t="str">
        <x:v>Research</x:v>
      </x:c>
      <x:c r="V109" s="376" t="str">
        <x:v>No</x:v>
      </x:c>
      <x:c r="W109" s="376" t="str">
        <x:v>Not booked</x:v>
      </x:c>
      <x:c r="X109" s="376" t="str">
        <x:v>Verify live</x:v>
      </x:c>
      <x:c r="Y109" s="376" t="str">
        <x:v>No</x:v>
      </x:c>
      <x:c r="Z109" s="376" t="str">
        <x:v>https://www.google.com/maps/search/?api=1&amp;query=Sushiroku+Osaka+Japan</x:v>
      </x:c>
      <x:c r="AA109" s="376" t="str">
        <x:v>https://tabelog.com/en/rstLst/?sk=Sushiroku</x:v>
      </x:c>
      <x:c r="AB109" s="376" t="str"/>
      <x:c r="AC109" s="376" t="str"/>
      <x:c r="AD109" s="376" t="str">
        <x:v>2026-07-23</x:v>
      </x:c>
      <x:c r="AE109" s="376" t="str">
        <x:v>Gluten-free and lactose-free accommodation must be reconfirmed directly; cross-contact is not assumed safe.</x:v>
      </x:c>
    </x:row>
    <x:row r="110">
      <x:c r="A110" s="376" t="str">
        <x:v>OS-106</x:v>
      </x:c>
      <x:c r="B110" s="376" t="str">
        <x:v>Osaka</x:v>
      </x:c>
      <x:c r="C110" s="376" t="str">
        <x:v>Nakanoshima</x:v>
      </x:c>
      <x:c r="D110" s="376" t="str">
        <x:v>40 Sky Bar &amp; Lounge</x:v>
      </x:c>
      <x:c r="E110" s="376" t="str">
        <x:v>Hotel Cafe / View</x:v>
      </x:c>
      <x:c r="F110" s="376" t="str">
        <x:v>Hotel Dining</x:v>
      </x:c>
      <x:c r="G110" s="376" t="str">
        <x:v>Breakfast,Lunch,Cafe,Dinner</x:v>
      </x:c>
      <x:c r="H110" s="376" t="str">
        <x:v>Yes</x:v>
      </x:c>
      <x:c r="I110" s="376" t="str">
        <x:v>Yes</x:v>
      </x:c>
      <x:c r="J110" s="376" t="str">
        <x:v>Yes</x:v>
      </x:c>
      <x:c r="K110" s="376" t="str">
        <x:v>Yes</x:v>
      </x:c>
      <x:c r="L110" s="376" t="str">
        <x:v>—</x:v>
      </x:c>
      <x:c r="M110" s="376" t="str">
        <x:v>Tabelog hotel dining</x:v>
      </x:c>
      <x:c r="N110" s="376" t="str">
        <x:v>Advance request recommended</x:v>
      </x:c>
      <x:c r="O110" s="376" t="str">
        <x:v>Advance request recommended</x:v>
      </x:c>
      <x:c r="P110" s="376" t="str">
        <x:v>¥¥¥</x:v>
      </x:c>
      <x:c r="Q110" s="376" t="str">
        <x:v>Recommended</x:v>
      </x:c>
      <x:c r="R110" s="376" t="str">
        <x:v>View + meal</x:v>
      </x:c>
      <x:c r="S110" s="376" t="str">
        <x:v>Good group rest stop with hotel support.</x:v>
      </x:c>
      <x:c r="T110" s="376" t="str">
        <x:v>Consider</x:v>
      </x:c>
      <x:c r="U110" s="376" t="str">
        <x:v>Research</x:v>
      </x:c>
      <x:c r="V110" s="376" t="str">
        <x:v>No</x:v>
      </x:c>
      <x:c r="W110" s="376" t="str">
        <x:v>Not booked</x:v>
      </x:c>
      <x:c r="X110" s="376" t="str">
        <x:v>Verify live</x:v>
      </x:c>
      <x:c r="Y110" s="376" t="str">
        <x:v>Yes</x:v>
      </x:c>
      <x:c r="Z110" s="376" t="str">
        <x:v>https://www.google.com/maps/search/?api=1&amp;query=40+Sky+Bar+%26+Lounge+Osaka+Japan</x:v>
      </x:c>
      <x:c r="AA110" s="376" t="str">
        <x:v>https://tabelog.com/en/rstLst/?sk=40+Sky+Bar+%26+Lounge</x:v>
      </x:c>
      <x:c r="AB110" s="376" t="str"/>
      <x:c r="AC110" s="376" t="str"/>
      <x:c r="AD110" s="376" t="str">
        <x:v>2026-07-23</x:v>
      </x:c>
      <x:c r="AE110" s="376" t="str">
        <x:v>Gluten-free and lactose-free accommodation must be reconfirmed directly; cross-contact is not assumed safe.</x:v>
      </x:c>
    </x:row>
    <x:row r="111">
      <x:c r="A111" s="376" t="str">
        <x:v>HA-107</x:v>
      </x:c>
      <x:c r="B111" s="376" t="str">
        <x:v>Hakone</x:v>
      </x:c>
      <x:c r="C111" s="376" t="str">
        <x:v>Gora</x:v>
      </x:c>
      <x:c r="D111" s="376" t="str">
        <x:v>Gora Kadan</x:v>
      </x:c>
      <x:c r="E111" s="376" t="str">
        <x:v>Ryokan kaiseki</x:v>
      </x:c>
      <x:c r="F111" s="376" t="str">
        <x:v>Ryokan</x:v>
      </x:c>
      <x:c r="G111" s="376" t="str">
        <x:v>Breakfast,Dinner</x:v>
      </x:c>
      <x:c r="H111" s="376" t="str">
        <x:v>Yes</x:v>
      </x:c>
      <x:c r="I111" s="376" t="str">
        <x:v>No</x:v>
      </x:c>
      <x:c r="J111" s="376" t="str">
        <x:v>Yes</x:v>
      </x:c>
      <x:c r="K111" s="376" t="str">
        <x:v>No</x:v>
      </x:c>
      <x:c r="L111" s="376" t="str">
        <x:v>MICHELIN Key hotel / restaurant research</x:v>
      </x:c>
      <x:c r="M111" s="376" t="str">
        <x:v>Tabelog ryokan research</x:v>
      </x:c>
      <x:c r="N111" s="376" t="str">
        <x:v>Must confirm before booking</x:v>
      </x:c>
      <x:c r="O111" s="376" t="str">
        <x:v>Must confirm before booking</x:v>
      </x:c>
      <x:c r="P111" s="376" t="str">
        <x:v>¥¥¥¥</x:v>
      </x:c>
      <x:c r="Q111" s="376" t="str">
        <x:v>Required</x:v>
      </x:c>
      <x:c r="R111" s="376" t="str">
        <x:v>Ryokan dinner + breakfast</x:v>
      </x:c>
      <x:c r="S111" s="376" t="str">
        <x:v>Ask for written GF and lactose-free confirmation before paying.</x:v>
      </x:c>
      <x:c r="T111" s="376" t="str">
        <x:v>Bucket list</x:v>
      </x:c>
      <x:c r="U111" s="376" t="str">
        <x:v>Research</x:v>
      </x:c>
      <x:c r="V111" s="376" t="str">
        <x:v>No</x:v>
      </x:c>
      <x:c r="W111" s="376" t="str">
        <x:v>Not booked</x:v>
      </x:c>
      <x:c r="X111" s="376" t="str">
        <x:v>Verify live</x:v>
      </x:c>
      <x:c r="Y111" s="376" t="str">
        <x:v>Yes</x:v>
      </x:c>
      <x:c r="Z111" s="376" t="str">
        <x:v>https://www.google.com/maps/search/?api=1&amp;query=Gora+Kadan+Hakone+Japan</x:v>
      </x:c>
      <x:c r="AA111" s="376" t="str">
        <x:v>https://tabelog.com/en/rstLst/?sk=Gora+Kadan</x:v>
      </x:c>
      <x:c r="AB111" s="376" t="str">
        <x:v>https://guide.michelin.com/us/en/kanagawa-region/restaurants</x:v>
      </x:c>
      <x:c r="AC111" s="376" t="str"/>
      <x:c r="AD111" s="376" t="str">
        <x:v>2026-07-23</x:v>
      </x:c>
      <x:c r="AE111" s="376" t="str">
        <x:v>Gluten-free and lactose-free accommodation must be reconfirmed directly; cross-contact is not assumed safe.</x:v>
      </x:c>
    </x:row>
    <x:row r="112">
      <x:c r="A112" s="376" t="str">
        <x:v>HA-108</x:v>
      </x:c>
      <x:c r="B112" s="376" t="str">
        <x:v>Hakone</x:v>
      </x:c>
      <x:c r="C112" s="376" t="str">
        <x:v>Gora</x:v>
      </x:c>
      <x:c r="D112" s="376" t="str">
        <x:v>FUFU Hakone</x:v>
      </x:c>
      <x:c r="E112" s="376" t="str">
        <x:v>Ryokan dining</x:v>
      </x:c>
      <x:c r="F112" s="376" t="str">
        <x:v>Ryokan</x:v>
      </x:c>
      <x:c r="G112" s="376" t="str">
        <x:v>Breakfast,Dinner</x:v>
      </x:c>
      <x:c r="H112" s="376" t="str">
        <x:v>Yes</x:v>
      </x:c>
      <x:c r="I112" s="376" t="str">
        <x:v>No</x:v>
      </x:c>
      <x:c r="J112" s="376" t="str">
        <x:v>Yes</x:v>
      </x:c>
      <x:c r="K112" s="376" t="str">
        <x:v>No</x:v>
      </x:c>
      <x:c r="L112" s="376" t="str">
        <x:v>—</x:v>
      </x:c>
      <x:c r="M112" s="376" t="str">
        <x:v>Tabelog ryokan research</x:v>
      </x:c>
      <x:c r="N112" s="376" t="str">
        <x:v>Must confirm before booking</x:v>
      </x:c>
      <x:c r="O112" s="376" t="str">
        <x:v>Must confirm before booking</x:v>
      </x:c>
      <x:c r="P112" s="376" t="str">
        <x:v>¥¥¥¥</x:v>
      </x:c>
      <x:c r="Q112" s="376" t="str">
        <x:v>Required</x:v>
      </x:c>
      <x:c r="R112" s="376" t="str">
        <x:v>Ryokan dinner + breakfast</x:v>
      </x:c>
      <x:c r="S112" s="376" t="str">
        <x:v>Modern luxury candidate; verify meal flexibility.</x:v>
      </x:c>
      <x:c r="T112" s="376" t="str">
        <x:v>Top pick</x:v>
      </x:c>
      <x:c r="U112" s="376" t="str">
        <x:v>Research</x:v>
      </x:c>
      <x:c r="V112" s="376" t="str">
        <x:v>No</x:v>
      </x:c>
      <x:c r="W112" s="376" t="str">
        <x:v>Not booked</x:v>
      </x:c>
      <x:c r="X112" s="376" t="str">
        <x:v>Verify live</x:v>
      </x:c>
      <x:c r="Y112" s="376" t="str">
        <x:v>Yes</x:v>
      </x:c>
      <x:c r="Z112" s="376" t="str">
        <x:v>https://www.google.com/maps/search/?api=1&amp;query=FUFU+Hakone+Hakone+Japan</x:v>
      </x:c>
      <x:c r="AA112" s="376" t="str">
        <x:v>https://tabelog.com/en/rstLst/?sk=FUFU+Hakone</x:v>
      </x:c>
      <x:c r="AB112" s="376" t="str"/>
      <x:c r="AC112" s="376" t="str"/>
      <x:c r="AD112" s="376" t="str">
        <x:v>2026-07-23</x:v>
      </x:c>
      <x:c r="AE112" s="376" t="str">
        <x:v>Gluten-free and lactose-free accommodation must be reconfirmed directly; cross-contact is not assumed safe.</x:v>
      </x:c>
    </x:row>
    <x:row r="113">
      <x:c r="A113" s="376" t="str">
        <x:v>HA-109</x:v>
      </x:c>
      <x:c r="B113" s="376" t="str">
        <x:v>Hakone</x:v>
      </x:c>
      <x:c r="C113" s="376" t="str">
        <x:v>Miyanoshita</x:v>
      </x:c>
      <x:c r="D113" s="376" t="str">
        <x:v>Hakone Ginyu</x:v>
      </x:c>
      <x:c r="E113" s="376" t="str">
        <x:v>Ryokan kaiseki</x:v>
      </x:c>
      <x:c r="F113" s="376" t="str">
        <x:v>Ryokan</x:v>
      </x:c>
      <x:c r="G113" s="376" t="str">
        <x:v>Breakfast,Dinner</x:v>
      </x:c>
      <x:c r="H113" s="376" t="str">
        <x:v>Yes</x:v>
      </x:c>
      <x:c r="I113" s="376" t="str">
        <x:v>No</x:v>
      </x:c>
      <x:c r="J113" s="376" t="str">
        <x:v>Yes</x:v>
      </x:c>
      <x:c r="K113" s="376" t="str">
        <x:v>No</x:v>
      </x:c>
      <x:c r="L113" s="376" t="str">
        <x:v>—</x:v>
      </x:c>
      <x:c r="M113" s="376" t="str">
        <x:v>Tabelog ryokan research</x:v>
      </x:c>
      <x:c r="N113" s="376" t="str">
        <x:v>Must confirm before booking</x:v>
      </x:c>
      <x:c r="O113" s="376" t="str">
        <x:v>Must confirm before booking</x:v>
      </x:c>
      <x:c r="P113" s="376" t="str">
        <x:v>¥¥¥¥</x:v>
      </x:c>
      <x:c r="Q113" s="376" t="str">
        <x:v>Required</x:v>
      </x:c>
      <x:c r="R113" s="376" t="str">
        <x:v>Ryokan meal + view</x:v>
      </x:c>
      <x:c r="S113" s="376" t="str">
        <x:v>Hard reservation; dietary acceptance essential.</x:v>
      </x:c>
      <x:c r="T113" s="376" t="str">
        <x:v>Bucket list</x:v>
      </x:c>
      <x:c r="U113" s="376" t="str">
        <x:v>Research</x:v>
      </x:c>
      <x:c r="V113" s="376" t="str">
        <x:v>No</x:v>
      </x:c>
      <x:c r="W113" s="376" t="str">
        <x:v>Not booked</x:v>
      </x:c>
      <x:c r="X113" s="376" t="str">
        <x:v>Verify live</x:v>
      </x:c>
      <x:c r="Y113" s="376" t="str">
        <x:v>Yes</x:v>
      </x:c>
      <x:c r="Z113" s="376" t="str">
        <x:v>https://www.google.com/maps/search/?api=1&amp;query=Hakone+Ginyu+Hakone+Japan</x:v>
      </x:c>
      <x:c r="AA113" s="376" t="str">
        <x:v>https://tabelog.com/en/rstLst/?sk=Hakone+Ginyu</x:v>
      </x:c>
      <x:c r="AB113" s="376" t="str"/>
      <x:c r="AC113" s="376" t="str"/>
      <x:c r="AD113" s="376" t="str">
        <x:v>2026-07-23</x:v>
      </x:c>
      <x:c r="AE113" s="376" t="str">
        <x:v>Gluten-free and lactose-free accommodation must be reconfirmed directly; cross-contact is not assumed safe.</x:v>
      </x:c>
    </x:row>
    <x:row r="114">
      <x:c r="A114" s="376" t="str">
        <x:v>HA-110</x:v>
      </x:c>
      <x:c r="B114" s="376" t="str">
        <x:v>Hakone</x:v>
      </x:c>
      <x:c r="C114" s="376" t="str">
        <x:v>Miyanoshita</x:v>
      </x:c>
      <x:c r="D114" s="376" t="str">
        <x:v>Fujiya Hotel The Fujiya</x:v>
      </x:c>
      <x:c r="E114" s="376" t="str">
        <x:v>Hotel Dining</x:v>
      </x:c>
      <x:c r="F114" s="376" t="str">
        <x:v>Hotel Dining</x:v>
      </x:c>
      <x:c r="G114" s="376" t="str">
        <x:v>Breakfast,Lunch,Dinner</x:v>
      </x:c>
      <x:c r="H114" s="376" t="str">
        <x:v>Yes</x:v>
      </x:c>
      <x:c r="I114" s="376" t="str">
        <x:v>Yes</x:v>
      </x:c>
      <x:c r="J114" s="376" t="str">
        <x:v>Yes</x:v>
      </x:c>
      <x:c r="K114" s="376" t="str">
        <x:v>No</x:v>
      </x:c>
      <x:c r="L114" s="376" t="str">
        <x:v>—</x:v>
      </x:c>
      <x:c r="M114" s="376" t="str">
        <x:v>Tabelog hotel dining</x:v>
      </x:c>
      <x:c r="N114" s="376" t="str">
        <x:v>Advance request recommended</x:v>
      </x:c>
      <x:c r="O114" s="376" t="str">
        <x:v>Advance request recommended</x:v>
      </x:c>
      <x:c r="P114" s="376" t="str">
        <x:v>¥¥¥</x:v>
      </x:c>
      <x:c r="Q114" s="376" t="str">
        <x:v>Recommended</x:v>
      </x:c>
      <x:c r="R114" s="376" t="str">
        <x:v>Classic hotel breakfast / curry</x:v>
      </x:c>
      <x:c r="S114" s="376" t="str">
        <x:v>Hotel kitchens may be easier for detailed requests.</x:v>
      </x:c>
      <x:c r="T114" s="376" t="str">
        <x:v>Consider</x:v>
      </x:c>
      <x:c r="U114" s="376" t="str">
        <x:v>Research</x:v>
      </x:c>
      <x:c r="V114" s="376" t="str">
        <x:v>No</x:v>
      </x:c>
      <x:c r="W114" s="376" t="str">
        <x:v>Not booked</x:v>
      </x:c>
      <x:c r="X114" s="376" t="str">
        <x:v>Verify live</x:v>
      </x:c>
      <x:c r="Y114" s="376" t="str">
        <x:v>Yes</x:v>
      </x:c>
      <x:c r="Z114" s="376" t="str">
        <x:v>https://www.google.com/maps/search/?api=1&amp;query=Fujiya+Hotel+The+Fujiya+Hakone+Japan</x:v>
      </x:c>
      <x:c r="AA114" s="376" t="str">
        <x:v>https://tabelog.com/en/rstLst/?sk=Fujiya+Hotel+The+Fujiya</x:v>
      </x:c>
      <x:c r="AB114" s="376" t="str"/>
      <x:c r="AC114" s="376" t="str"/>
      <x:c r="AD114" s="376" t="str">
        <x:v>2026-07-23</x:v>
      </x:c>
      <x:c r="AE114" s="376" t="str">
        <x:v>Gluten-free and lactose-free accommodation must be reconfirmed directly; cross-contact is not assumed safe.</x:v>
      </x:c>
    </x:row>
    <x:row r="115">
      <x:c r="A115" s="376" t="str">
        <x:v>HA-111</x:v>
      </x:c>
      <x:c r="B115" s="376" t="str">
        <x:v>Hakone</x:v>
      </x:c>
      <x:c r="C115" s="376" t="str">
        <x:v>Gora</x:v>
      </x:c>
      <x:c r="D115" s="376" t="str">
        <x:v>Itoh Dining by NOBU</x:v>
      </x:c>
      <x:c r="E115" s="376" t="str">
        <x:v>Teppanyaki</x:v>
      </x:c>
      <x:c r="F115" s="376" t="str">
        <x:v>Teppanyaki</x:v>
      </x:c>
      <x:c r="G115" s="376" t="str">
        <x:v>Lunch,Dinner</x:v>
      </x:c>
      <x:c r="H115" s="376" t="str">
        <x:v>No</x:v>
      </x:c>
      <x:c r="I115" s="376" t="str">
        <x:v>Yes</x:v>
      </x:c>
      <x:c r="J115" s="376" t="str">
        <x:v>Yes</x:v>
      </x:c>
      <x:c r="K115" s="376" t="str">
        <x:v>No</x:v>
      </x:c>
      <x:c r="L115" s="376" t="str">
        <x:v>—</x:v>
      </x:c>
      <x:c r="M115" s="376" t="str">
        <x:v>Tabelog popular</x:v>
      </x:c>
      <x:c r="N115" s="376" t="str">
        <x:v>Plain grilled items possible; verify sauces</x:v>
      </x:c>
      <x:c r="O115" s="376" t="str">
        <x:v>Omit butter; confirm</x:v>
      </x:c>
      <x:c r="P115" s="376" t="str">
        <x:v>¥¥¥</x:v>
      </x:c>
      <x:c r="Q115" s="376" t="str">
        <x:v>Required</x:v>
      </x:c>
      <x:c r="R115" s="376" t="str">
        <x:v>Wagyu / teppanyaki</x:v>
      </x:c>
      <x:c r="S115" s="376" t="str">
        <x:v>Potentially adaptable special meal.</x:v>
      </x:c>
      <x:c r="T115" s="376" t="str">
        <x:v>Top pick</x:v>
      </x:c>
      <x:c r="U115" s="376" t="str">
        <x:v>Research</x:v>
      </x:c>
      <x:c r="V115" s="376" t="str">
        <x:v>No</x:v>
      </x:c>
      <x:c r="W115" s="376" t="str">
        <x:v>Not booked</x:v>
      </x:c>
      <x:c r="X115" s="376" t="str">
        <x:v>Verify live</x:v>
      </x:c>
      <x:c r="Y115" s="376" t="str">
        <x:v>No</x:v>
      </x:c>
      <x:c r="Z115" s="376" t="str">
        <x:v>https://www.google.com/maps/search/?api=1&amp;query=Itoh+Dining+by+NOBU+Hakone+Japan</x:v>
      </x:c>
      <x:c r="AA115" s="376" t="str">
        <x:v>https://tabelog.com/en/rstLst/?sk=Itoh+Dining+by+NOBU</x:v>
      </x:c>
      <x:c r="AB115" s="376" t="str"/>
      <x:c r="AC115" s="376" t="str"/>
      <x:c r="AD115" s="376" t="str">
        <x:v>2026-07-23</x:v>
      </x:c>
      <x:c r="AE115" s="376" t="str">
        <x:v>Gluten-free and lactose-free accommodation must be reconfirmed directly; cross-contact is not assumed safe.</x:v>
      </x:c>
    </x:row>
    <x:row r="116">
      <x:c r="A116" s="376" t="str">
        <x:v>HA-112</x:v>
      </x:c>
      <x:c r="B116" s="376" t="str">
        <x:v>Hakone</x:v>
      </x:c>
      <x:c r="C116" s="376" t="str">
        <x:v>Gora</x:v>
      </x:c>
      <x:c r="D116" s="376" t="str">
        <x:v>Gyoza Center</x:v>
      </x:c>
      <x:c r="E116" s="376" t="str">
        <x:v>Gyoza</x:v>
      </x:c>
      <x:c r="F116" s="376" t="str">
        <x:v>Gyoza</x:v>
      </x:c>
      <x:c r="G116" s="376" t="str">
        <x:v>Lunch,Dinner</x:v>
      </x:c>
      <x:c r="H116" s="376" t="str">
        <x:v>No</x:v>
      </x:c>
      <x:c r="I116" s="376" t="str">
        <x:v>Yes</x:v>
      </x:c>
      <x:c r="J116" s="376" t="str">
        <x:v>Yes</x:v>
      </x:c>
      <x:c r="K116" s="376" t="str">
        <x:v>No</x:v>
      </x:c>
      <x:c r="L116" s="376" t="str">
        <x:v>—</x:v>
      </x:c>
      <x:c r="M116" s="376" t="str">
        <x:v>Tabelog popular</x:v>
      </x:c>
      <x:c r="N116" s="376" t="str">
        <x:v>Not GF</x:v>
      </x:c>
      <x:c r="O116" s="376" t="str">
        <x:v>Some fillings LF; wrappers not</x:v>
      </x:c>
      <x:c r="P116" s="376" t="str">
        <x:v>¥¥</x:v>
      </x:c>
      <x:c r="Q116" s="376" t="str">
        <x:v>Queue</x:v>
      </x:c>
      <x:c r="R116" s="376" t="str">
        <x:v>Gyoza</x:v>
      </x:c>
      <x:c r="S116" s="376" t="str">
        <x:v>Fun group option, not GF.</x:v>
      </x:c>
      <x:c r="T116" s="376" t="str">
        <x:v>Group option</x:v>
      </x:c>
      <x:c r="U116" s="376" t="str">
        <x:v>Research</x:v>
      </x:c>
      <x:c r="V116" s="376" t="str">
        <x:v>No</x:v>
      </x:c>
      <x:c r="W116" s="376" t="str">
        <x:v>Not booked</x:v>
      </x:c>
      <x:c r="X116" s="376" t="str">
        <x:v>Verify live</x:v>
      </x:c>
      <x:c r="Y116" s="376" t="str">
        <x:v>No</x:v>
      </x:c>
      <x:c r="Z116" s="376" t="str">
        <x:v>https://www.google.com/maps/search/?api=1&amp;query=Gyoza+Center+Hakone+Japan</x:v>
      </x:c>
      <x:c r="AA116" s="376" t="str">
        <x:v>https://tabelog.com/en/rstLst/?sk=Gyoza+Center</x:v>
      </x:c>
      <x:c r="AB116" s="376" t="str"/>
      <x:c r="AC116" s="376" t="str"/>
      <x:c r="AD116" s="376" t="str">
        <x:v>2026-07-23</x:v>
      </x:c>
      <x:c r="AE116" s="376" t="str">
        <x:v>Gluten-free and lactose-free accommodation must be reconfirmed directly; cross-contact is not assumed safe.</x:v>
      </x:c>
    </x:row>
    <x:row r="117">
      <x:c r="A117" s="376" t="str">
        <x:v>HA-113</x:v>
      </x:c>
      <x:c r="B117" s="376" t="str">
        <x:v>Hakone</x:v>
      </x:c>
      <x:c r="C117" s="376" t="str">
        <x:v>Gora</x:v>
      </x:c>
      <x:c r="D117" s="376" t="str">
        <x:v>Tamura Ginkatsutei</x:v>
      </x:c>
      <x:c r="E117" s="376" t="str">
        <x:v>Tofu cutlet</x:v>
      </x:c>
      <x:c r="F117" s="376" t="str">
        <x:v>Tofu cutlet</x:v>
      </x:c>
      <x:c r="G117" s="376" t="str">
        <x:v>Lunch,Dinner</x:v>
      </x:c>
      <x:c r="H117" s="376" t="str">
        <x:v>No</x:v>
      </x:c>
      <x:c r="I117" s="376" t="str">
        <x:v>Yes</x:v>
      </x:c>
      <x:c r="J117" s="376" t="str">
        <x:v>Yes</x:v>
      </x:c>
      <x:c r="K117" s="376" t="str">
        <x:v>No</x:v>
      </x:c>
      <x:c r="L117" s="376" t="str">
        <x:v>—</x:v>
      </x:c>
      <x:c r="M117" s="376" t="str">
        <x:v>Tabelog highly rated</x:v>
      </x:c>
      <x:c r="N117" s="376" t="str">
        <x:v>Breading/sauce likely contain gluten</x:v>
      </x:c>
      <x:c r="O117" s="376" t="str">
        <x:v>Dairy generally limited</x:v>
      </x:c>
      <x:c r="P117" s="376" t="str">
        <x:v>¥¥</x:v>
      </x:c>
      <x:c r="Q117" s="376" t="str">
        <x:v>Queue</x:v>
      </x:c>
      <x:c r="R117" s="376" t="str">
        <x:v>Tofu katsuni</x:v>
      </x:c>
      <x:c r="S117" s="376" t="str">
        <x:v>Popular local specialty; not a GF anchor.</x:v>
      </x:c>
      <x:c r="T117" s="376" t="str">
        <x:v>Group option</x:v>
      </x:c>
      <x:c r="U117" s="376" t="str">
        <x:v>Research</x:v>
      </x:c>
      <x:c r="V117" s="376" t="str">
        <x:v>No</x:v>
      </x:c>
      <x:c r="W117" s="376" t="str">
        <x:v>Not booked</x:v>
      </x:c>
      <x:c r="X117" s="376" t="str">
        <x:v>Verify live</x:v>
      </x:c>
      <x:c r="Y117" s="376" t="str">
        <x:v>No</x:v>
      </x:c>
      <x:c r="Z117" s="376" t="str">
        <x:v>https://www.google.com/maps/search/?api=1&amp;query=Tamura+Ginkatsutei+Hakone+Japan</x:v>
      </x:c>
      <x:c r="AA117" s="376" t="str">
        <x:v>https://tabelog.com/en/rstLst/?sk=Tamura+Ginkatsutei</x:v>
      </x:c>
      <x:c r="AB117" s="376" t="str"/>
      <x:c r="AC117" s="376" t="str"/>
      <x:c r="AD117" s="376" t="str">
        <x:v>2026-07-23</x:v>
      </x:c>
      <x:c r="AE117" s="376" t="str">
        <x:v>Gluten-free and lactose-free accommodation must be reconfirmed directly; cross-contact is not assumed safe.</x:v>
      </x:c>
    </x:row>
    <x:row r="118">
      <x:c r="A118" s="376" t="str">
        <x:v>HA-114</x:v>
      </x:c>
      <x:c r="B118" s="376" t="str">
        <x:v>Hakone</x:v>
      </x:c>
      <x:c r="C118" s="376" t="str">
        <x:v>Gora</x:v>
      </x:c>
      <x:c r="D118" s="376" t="str">
        <x:v>WPÜ DINING Hakone</x:v>
      </x:c>
      <x:c r="E118" s="376" t="str">
        <x:v>Cafe / Yoshoku</x:v>
      </x:c>
      <x:c r="F118" s="376" t="str">
        <x:v>GF Candidate</x:v>
      </x:c>
      <x:c r="G118" s="376" t="str">
        <x:v>Breakfast,Lunch,Dinner,Cafe</x:v>
      </x:c>
      <x:c r="H118" s="376" t="str">
        <x:v>Yes</x:v>
      </x:c>
      <x:c r="I118" s="376" t="str">
        <x:v>Yes</x:v>
      </x:c>
      <x:c r="J118" s="376" t="str">
        <x:v>Yes</x:v>
      </x:c>
      <x:c r="K118" s="376" t="str">
        <x:v>Yes</x:v>
      </x:c>
      <x:c r="L118" s="376" t="str">
        <x:v>—</x:v>
      </x:c>
      <x:c r="M118" s="376" t="str">
        <x:v>Tabelog lists GF options</x:v>
      </x:c>
      <x:c r="N118" s="376" t="str">
        <x:v>GF options listed; verify current menu</x:v>
      </x:c>
      <x:c r="O118" s="376" t="str">
        <x:v>LF/vegan options may be available</x:v>
      </x:c>
      <x:c r="P118" s="376" t="str">
        <x:v>¥¥</x:v>
      </x:c>
      <x:c r="Q118" s="376" t="str">
        <x:v>Recommended</x:v>
      </x:c>
      <x:c r="R118" s="376" t="str">
        <x:v>Breakfast / café meals</x:v>
      </x:c>
      <x:c r="S118" s="376" t="str">
        <x:v>Useful flexible Gora option.</x:v>
      </x:c>
      <x:c r="T118" s="376" t="str">
        <x:v>Top pick</x:v>
      </x:c>
      <x:c r="U118" s="376" t="str">
        <x:v>Research</x:v>
      </x:c>
      <x:c r="V118" s="376" t="str">
        <x:v>No</x:v>
      </x:c>
      <x:c r="W118" s="376" t="str">
        <x:v>Not booked</x:v>
      </x:c>
      <x:c r="X118" s="376" t="str">
        <x:v>Verify live</x:v>
      </x:c>
      <x:c r="Y118" s="376" t="str">
        <x:v>Yes</x:v>
      </x:c>
      <x:c r="Z118" s="376" t="str">
        <x:v>https://www.google.com/maps/search/?api=1&amp;query=WP%C3%9C+DINING+Hakone+Hakone+Japan</x:v>
      </x:c>
      <x:c r="AA118" s="376" t="str">
        <x:v>https://tabelog.com/en/rstLst/?sk=WP%C3%9C+DINING+Hakone</x:v>
      </x:c>
      <x:c r="AB118" s="376" t="str"/>
      <x:c r="AC118" s="376" t="str"/>
      <x:c r="AD118" s="376" t="str">
        <x:v>2026-07-23</x:v>
      </x:c>
      <x:c r="AE118" s="376" t="str">
        <x:v>Gluten-free and lactose-free accommodation must be reconfirmed directly; cross-contact is not assumed safe.</x:v>
      </x:c>
    </x:row>
    <x:row r="119">
      <x:c r="A119" s="376" t="str">
        <x:v>HA-115</x:v>
      </x:c>
      <x:c r="B119" s="376" t="str">
        <x:v>Hakone</x:v>
      </x:c>
      <x:c r="C119" s="376" t="str">
        <x:v>Gora</x:v>
      </x:c>
      <x:c r="D119" s="376" t="str">
        <x:v>Isshiki-do Saro</x:v>
      </x:c>
      <x:c r="E119" s="376" t="str">
        <x:v>Cafe / Sandwiches</x:v>
      </x:c>
      <x:c r="F119" s="376" t="str">
        <x:v>Cafe</x:v>
      </x:c>
      <x:c r="G119" s="376" t="str">
        <x:v>Breakfast,Lunch,Cafe,Dessert</x:v>
      </x:c>
      <x:c r="H119" s="376" t="str">
        <x:v>Yes</x:v>
      </x:c>
      <x:c r="I119" s="376" t="str">
        <x:v>Yes</x:v>
      </x:c>
      <x:c r="J119" s="376" t="str">
        <x:v>No</x:v>
      </x:c>
      <x:c r="K119" s="376" t="str">
        <x:v>Yes</x:v>
      </x:c>
      <x:c r="L119" s="376" t="str">
        <x:v>—</x:v>
      </x:c>
      <x:c r="M119" s="376" t="str">
        <x:v>Tabelog popular</x:v>
      </x:c>
      <x:c r="N119" s="376" t="str">
        <x:v>Limited GF</x:v>
      </x:c>
      <x:c r="O119" s="376" t="str">
        <x:v>Dairy common</x:v>
      </x:c>
      <x:c r="P119" s="376" t="str">
        <x:v>¥¥</x:v>
      </x:c>
      <x:c r="Q119" s="376" t="str">
        <x:v>No</x:v>
      </x:c>
      <x:c r="R119" s="376" t="str">
        <x:v>Sandwich / soft serve</x:v>
      </x:c>
      <x:c r="S119" s="376" t="str">
        <x:v>Companion café near Gora.</x:v>
      </x:c>
      <x:c r="T119" s="376" t="str">
        <x:v>Consider</x:v>
      </x:c>
      <x:c r="U119" s="376" t="str">
        <x:v>Research</x:v>
      </x:c>
      <x:c r="V119" s="376" t="str">
        <x:v>No</x:v>
      </x:c>
      <x:c r="W119" s="376" t="str">
        <x:v>Not booked</x:v>
      </x:c>
      <x:c r="X119" s="376" t="str">
        <x:v>Verify live</x:v>
      </x:c>
      <x:c r="Y119" s="376" t="str">
        <x:v>Yes</x:v>
      </x:c>
      <x:c r="Z119" s="376" t="str">
        <x:v>https://www.google.com/maps/search/?api=1&amp;query=Isshiki-do+Saro+Hakone+Japan</x:v>
      </x:c>
      <x:c r="AA119" s="376" t="str">
        <x:v>https://tabelog.com/en/rstLst/?sk=Isshiki-do+Saro</x:v>
      </x:c>
      <x:c r="AB119" s="376" t="str"/>
      <x:c r="AC119" s="376" t="str"/>
      <x:c r="AD119" s="376" t="str">
        <x:v>2026-07-23</x:v>
      </x:c>
      <x:c r="AE119" s="376" t="str">
        <x:v>Gluten-free and lactose-free accommodation must be reconfirmed directly; cross-contact is not assumed safe.</x:v>
      </x:c>
    </x:row>
    <x:row r="120">
      <x:c r="A120" s="376" t="str">
        <x:v>HA-116</x:v>
      </x:c>
      <x:c r="B120" s="376" t="str">
        <x:v>Hakone</x:v>
      </x:c>
      <x:c r="C120" s="376" t="str">
        <x:v>Hakone-Yumoto</x:v>
      </x:c>
      <x:c r="D120" s="376" t="str">
        <x:v>Hatsuhana Soba Honten</x:v>
      </x:c>
      <x:c r="E120" s="376" t="str">
        <x:v>Soba</x:v>
      </x:c>
      <x:c r="F120" s="376" t="str">
        <x:v>Soba</x:v>
      </x:c>
      <x:c r="G120" s="376" t="str">
        <x:v>Lunch,Dinner</x:v>
      </x:c>
      <x:c r="H120" s="376" t="str">
        <x:v>No</x:v>
      </x:c>
      <x:c r="I120" s="376" t="str">
        <x:v>Yes</x:v>
      </x:c>
      <x:c r="J120" s="376" t="str">
        <x:v>Yes</x:v>
      </x:c>
      <x:c r="K120" s="376" t="str">
        <x:v>No</x:v>
      </x:c>
      <x:c r="L120" s="376" t="str">
        <x:v>—</x:v>
      </x:c>
      <x:c r="M120" s="376" t="str">
        <x:v>Tabelog highly rated</x:v>
      </x:c>
      <x:c r="N120" s="376" t="str">
        <x:v>Soba may contain wheat; verify 100% buckwheat</x:v>
      </x:c>
      <x:c r="O120" s="376" t="str">
        <x:v>Usually LF</x:v>
      </x:c>
      <x:c r="P120" s="376" t="str">
        <x:v>¥¥</x:v>
      </x:c>
      <x:c r="Q120" s="376" t="str">
        <x:v>Queue</x:v>
      </x:c>
      <x:c r="R120" s="376" t="str">
        <x:v>Soba</x:v>
      </x:c>
      <x:c r="S120" s="376" t="str">
        <x:v>Do not assume gluten-free.</x:v>
      </x:c>
      <x:c r="T120" s="376" t="str">
        <x:v>Consider</x:v>
      </x:c>
      <x:c r="U120" s="376" t="str">
        <x:v>Research</x:v>
      </x:c>
      <x:c r="V120" s="376" t="str">
        <x:v>No</x:v>
      </x:c>
      <x:c r="W120" s="376" t="str">
        <x:v>Not booked</x:v>
      </x:c>
      <x:c r="X120" s="376" t="str">
        <x:v>Verify live</x:v>
      </x:c>
      <x:c r="Y120" s="376" t="str">
        <x:v>No</x:v>
      </x:c>
      <x:c r="Z120" s="376" t="str">
        <x:v>https://www.google.com/maps/search/?api=1&amp;query=Hatsuhana+Soba+Honten+Hakone+Japan</x:v>
      </x:c>
      <x:c r="AA120" s="376" t="str">
        <x:v>https://tabelog.com/en/rstLst/?sk=Hatsuhana+Soba+Honten</x:v>
      </x:c>
      <x:c r="AB120" s="376" t="str"/>
      <x:c r="AC120" s="376" t="str"/>
      <x:c r="AD120" s="376" t="str">
        <x:v>2026-07-23</x:v>
      </x:c>
      <x:c r="AE120" s="376" t="str">
        <x:v>Gluten-free and lactose-free accommodation must be reconfirmed directly; cross-contact is not assumed safe.</x:v>
      </x:c>
    </x:row>
    <x:row r="121">
      <x:c r="A121" s="376" t="str">
        <x:v>HA-117</x:v>
      </x:c>
      <x:c r="B121" s="376" t="str">
        <x:v>Hakone</x:v>
      </x:c>
      <x:c r="C121" s="376" t="str">
        <x:v>Hakone-Yumoto</x:v>
      </x:c>
      <x:c r="D121" s="376" t="str">
        <x:v>Yubadon Naokichi</x:v>
      </x:c>
      <x:c r="E121" s="376" t="str">
        <x:v>Tofu / Japanese</x:v>
      </x:c>
      <x:c r="F121" s="376" t="str">
        <x:v>Tofu / Japanese</x:v>
      </x:c>
      <x:c r="G121" s="376" t="str">
        <x:v>Lunch</x:v>
      </x:c>
      <x:c r="H121" s="376" t="str">
        <x:v>No</x:v>
      </x:c>
      <x:c r="I121" s="376" t="str">
        <x:v>Yes</x:v>
      </x:c>
      <x:c r="J121" s="376" t="str">
        <x:v>No</x:v>
      </x:c>
      <x:c r="K121" s="376" t="str">
        <x:v>No</x:v>
      </x:c>
      <x:c r="L121" s="376" t="str">
        <x:v>—</x:v>
      </x:c>
      <x:c r="M121" s="376" t="str">
        <x:v>Tabelog popular</x:v>
      </x:c>
      <x:c r="N121" s="376" t="str">
        <x:v>Confirm soy sauce and thickeners</x:v>
      </x:c>
      <x:c r="O121" s="376" t="str">
        <x:v>Usually low dairy</x:v>
      </x:c>
      <x:c r="P121" s="376" t="str">
        <x:v>¥¥</x:v>
      </x:c>
      <x:c r="Q121" s="376" t="str">
        <x:v>Queue</x:v>
      </x:c>
      <x:c r="R121" s="376" t="str">
        <x:v>Yuba rice bowl</x:v>
      </x:c>
      <x:c r="S121" s="376" t="str">
        <x:v>Potentially adaptable with communication.</x:v>
      </x:c>
      <x:c r="T121" s="376" t="str">
        <x:v>Consider</x:v>
      </x:c>
      <x:c r="U121" s="376" t="str">
        <x:v>Research</x:v>
      </x:c>
      <x:c r="V121" s="376" t="str">
        <x:v>No</x:v>
      </x:c>
      <x:c r="W121" s="376" t="str">
        <x:v>Not booked</x:v>
      </x:c>
      <x:c r="X121" s="376" t="str">
        <x:v>Verify live</x:v>
      </x:c>
      <x:c r="Y121" s="376" t="str">
        <x:v>No</x:v>
      </x:c>
      <x:c r="Z121" s="376" t="str">
        <x:v>https://www.google.com/maps/search/?api=1&amp;query=Yubadon+Naokichi+Hakone+Japan</x:v>
      </x:c>
      <x:c r="AA121" s="376" t="str">
        <x:v>https://tabelog.com/en/rstLst/?sk=Yubadon+Naokichi</x:v>
      </x:c>
      <x:c r="AB121" s="376" t="str"/>
      <x:c r="AC121" s="376" t="str"/>
      <x:c r="AD121" s="376" t="str">
        <x:v>2026-07-23</x:v>
      </x:c>
      <x:c r="AE121" s="376" t="str">
        <x:v>Gluten-free and lactose-free accommodation must be reconfirmed directly; cross-contact is not assumed safe.</x:v>
      </x:c>
    </x:row>
    <x:row r="122">
      <x:c r="A122" s="376" t="str">
        <x:v>HA-118</x:v>
      </x:c>
      <x:c r="B122" s="376" t="str">
        <x:v>Hakone</x:v>
      </x:c>
      <x:c r="C122" s="376" t="str">
        <x:v>Hakone-Yumoto</x:v>
      </x:c>
      <x:c r="D122" s="376" t="str">
        <x:v>808 Monsmare</x:v>
      </x:c>
      <x:c r="E122" s="376" t="str">
        <x:v>Pizza / Italian</x:v>
      </x:c>
      <x:c r="F122" s="376" t="str">
        <x:v>Pizza / Italian</x:v>
      </x:c>
      <x:c r="G122" s="376" t="str">
        <x:v>Lunch,Dinner</x:v>
      </x:c>
      <x:c r="H122" s="376" t="str">
        <x:v>No</x:v>
      </x:c>
      <x:c r="I122" s="376" t="str">
        <x:v>Yes</x:v>
      </x:c>
      <x:c r="J122" s="376" t="str">
        <x:v>Yes</x:v>
      </x:c>
      <x:c r="K122" s="376" t="str">
        <x:v>No</x:v>
      </x:c>
      <x:c r="L122" s="376" t="str">
        <x:v>—</x:v>
      </x:c>
      <x:c r="M122" s="376" t="str">
        <x:v>Tabelog popular</x:v>
      </x:c>
      <x:c r="N122" s="376" t="str">
        <x:v>Standard pizza not GF</x:v>
      </x:c>
      <x:c r="O122" s="376" t="str">
        <x:v>Cheese/dairy heavy</x:v>
      </x:c>
      <x:c r="P122" s="376" t="str">
        <x:v>¥¥</x:v>
      </x:c>
      <x:c r="Q122" s="376" t="str">
        <x:v>Recommended</x:v>
      </x:c>
      <x:c r="R122" s="376" t="str">
        <x:v>Wood-fired pizza</x:v>
      </x:c>
      <x:c r="S122" s="376" t="str">
        <x:v>Companion option.</x:v>
      </x:c>
      <x:c r="T122" s="376" t="str">
        <x:v>Group option</x:v>
      </x:c>
      <x:c r="U122" s="376" t="str">
        <x:v>Research</x:v>
      </x:c>
      <x:c r="V122" s="376" t="str">
        <x:v>No</x:v>
      </x:c>
      <x:c r="W122" s="376" t="str">
        <x:v>Not booked</x:v>
      </x:c>
      <x:c r="X122" s="376" t="str">
        <x:v>Verify live</x:v>
      </x:c>
      <x:c r="Y122" s="376" t="str">
        <x:v>No</x:v>
      </x:c>
      <x:c r="Z122" s="376" t="str">
        <x:v>https://www.google.com/maps/search/?api=1&amp;query=808+Monsmare+Hakone+Japan</x:v>
      </x:c>
      <x:c r="AA122" s="376" t="str">
        <x:v>https://tabelog.com/en/rstLst/?sk=808+Monsmare</x:v>
      </x:c>
      <x:c r="AB122" s="376" t="str"/>
      <x:c r="AC122" s="376" t="str"/>
      <x:c r="AD122" s="376" t="str">
        <x:v>2026-07-23</x:v>
      </x:c>
      <x:c r="AE122" s="376" t="str">
        <x:v>Gluten-free and lactose-free accommodation must be reconfirmed directly; cross-contact is not assumed safe.</x:v>
      </x:c>
    </x:row>
    <x:row r="123">
      <x:c r="A123" s="376" t="str">
        <x:v>HA-119</x:v>
      </x:c>
      <x:c r="B123" s="376" t="str">
        <x:v>Hakone</x:v>
      </x:c>
      <x:c r="C123" s="376" t="str">
        <x:v>Moto-Hakone</x:v>
      </x:c>
      <x:c r="D123" s="376" t="str">
        <x:v>Bakery &amp; Table Hakone</x:v>
      </x:c>
      <x:c r="E123" s="376" t="str">
        <x:v>Bakery / Cafe</x:v>
      </x:c>
      <x:c r="F123" s="376" t="str">
        <x:v>Cafe</x:v>
      </x:c>
      <x:c r="G123" s="376" t="str">
        <x:v>Breakfast,Lunch,Cafe,Dessert</x:v>
      </x:c>
      <x:c r="H123" s="376" t="str">
        <x:v>Yes</x:v>
      </x:c>
      <x:c r="I123" s="376" t="str">
        <x:v>Yes</x:v>
      </x:c>
      <x:c r="J123" s="376" t="str">
        <x:v>No</x:v>
      </x:c>
      <x:c r="K123" s="376" t="str">
        <x:v>Yes</x:v>
      </x:c>
      <x:c r="L123" s="376" t="str">
        <x:v>—</x:v>
      </x:c>
      <x:c r="M123" s="376" t="str">
        <x:v>Tabelog popular</x:v>
      </x:c>
      <x:c r="N123" s="376" t="str">
        <x:v>Limited GF</x:v>
      </x:c>
      <x:c r="O123" s="376" t="str">
        <x:v>Dairy common</x:v>
      </x:c>
      <x:c r="P123" s="376" t="str">
        <x:v>¥¥</x:v>
      </x:c>
      <x:c r="Q123" s="376" t="str">
        <x:v>Queue</x:v>
      </x:c>
      <x:c r="R123" s="376" t="str">
        <x:v>Bread / lake view</x:v>
      </x:c>
      <x:c r="S123" s="376" t="str">
        <x:v>Great setting for companions.</x:v>
      </x:c>
      <x:c r="T123" s="376" t="str">
        <x:v>Consider</x:v>
      </x:c>
      <x:c r="U123" s="376" t="str">
        <x:v>Research</x:v>
      </x:c>
      <x:c r="V123" s="376" t="str">
        <x:v>No</x:v>
      </x:c>
      <x:c r="W123" s="376" t="str">
        <x:v>Not booked</x:v>
      </x:c>
      <x:c r="X123" s="376" t="str">
        <x:v>Verify live</x:v>
      </x:c>
      <x:c r="Y123" s="376" t="str">
        <x:v>Yes</x:v>
      </x:c>
      <x:c r="Z123" s="376" t="str">
        <x:v>https://www.google.com/maps/search/?api=1&amp;query=Bakery+%26+Table+Hakone+Hakone+Japan</x:v>
      </x:c>
      <x:c r="AA123" s="376" t="str">
        <x:v>https://tabelog.com/en/rstLst/?sk=Bakery+%26+Table+Hakone</x:v>
      </x:c>
      <x:c r="AB123" s="376" t="str"/>
      <x:c r="AC123" s="376" t="str"/>
      <x:c r="AD123" s="376" t="str">
        <x:v>2026-07-23</x:v>
      </x:c>
      <x:c r="AE123" s="376" t="str">
        <x:v>Gluten-free and lactose-free accommodation must be reconfirmed directly; cross-contact is not assumed safe.</x:v>
      </x:c>
    </x:row>
    <x:row r="124">
      <x:c r="A124" s="376" t="str">
        <x:v>HA-120</x:v>
      </x:c>
      <x:c r="B124" s="376" t="str">
        <x:v>Hakone</x:v>
      </x:c>
      <x:c r="C124" s="376" t="str">
        <x:v>Moto-Hakone</x:v>
      </x:c>
      <x:c r="D124" s="376" t="str">
        <x:v>La Terrazza Ashinoko</x:v>
      </x:c>
      <x:c r="E124" s="376" t="str">
        <x:v>Italian</x:v>
      </x:c>
      <x:c r="F124" s="376" t="str">
        <x:v>Italian</x:v>
      </x:c>
      <x:c r="G124" s="376" t="str">
        <x:v>Lunch,Dinner</x:v>
      </x:c>
      <x:c r="H124" s="376" t="str">
        <x:v>No</x:v>
      </x:c>
      <x:c r="I124" s="376" t="str">
        <x:v>Yes</x:v>
      </x:c>
      <x:c r="J124" s="376" t="str">
        <x:v>Yes</x:v>
      </x:c>
      <x:c r="K124" s="376" t="str">
        <x:v>No</x:v>
      </x:c>
      <x:c r="L124" s="376" t="str">
        <x:v>—</x:v>
      </x:c>
      <x:c r="M124" s="376" t="str">
        <x:v>Tabelog popular</x:v>
      </x:c>
      <x:c r="N124" s="376" t="str">
        <x:v>Standard pizza/pasta not GF</x:v>
      </x:c>
      <x:c r="O124" s="376" t="str">
        <x:v>Dairy common; ask</x:v>
      </x:c>
      <x:c r="P124" s="376" t="str">
        <x:v>¥¥¥</x:v>
      </x:c>
      <x:c r="Q124" s="376" t="str">
        <x:v>Recommended</x:v>
      </x:c>
      <x:c r="R124" s="376" t="str">
        <x:v>Pizza / lake view</x:v>
      </x:c>
      <x:c r="S124" s="376" t="str">
        <x:v>Scenic lunch, not a dietary anchor.</x:v>
      </x:c>
      <x:c r="T124" s="376" t="str">
        <x:v>Consider</x:v>
      </x:c>
      <x:c r="U124" s="376" t="str">
        <x:v>Research</x:v>
      </x:c>
      <x:c r="V124" s="376" t="str">
        <x:v>No</x:v>
      </x:c>
      <x:c r="W124" s="376" t="str">
        <x:v>Not booked</x:v>
      </x:c>
      <x:c r="X124" s="376" t="str">
        <x:v>Verify live</x:v>
      </x:c>
      <x:c r="Y124" s="376" t="str">
        <x:v>No</x:v>
      </x:c>
      <x:c r="Z124" s="376" t="str">
        <x:v>https://www.google.com/maps/search/?api=1&amp;query=La+Terrazza+Ashinoko+Hakone+Japan</x:v>
      </x:c>
      <x:c r="AA124" s="376" t="str">
        <x:v>https://tabelog.com/en/rstLst/?sk=La+Terrazza+Ashinoko</x:v>
      </x:c>
      <x:c r="AB124" s="376" t="str"/>
      <x:c r="AC124" s="376" t="str"/>
      <x:c r="AD124" s="376" t="str">
        <x:v>2026-07-23</x:v>
      </x:c>
      <x:c r="AE124" s="376" t="str">
        <x:v>Gluten-free and lactose-free accommodation must be reconfirmed directly; cross-contact is not assumed safe.</x:v>
      </x:c>
    </x:row>
    <x:row r="125">
      <x:c r="A125" s="376" t="str">
        <x:v>HA-121</x:v>
      </x:c>
      <x:c r="B125" s="376" t="str">
        <x:v>Hakone</x:v>
      </x:c>
      <x:c r="C125" s="376" t="str">
        <x:v>Sengokuhara</x:v>
      </x:c>
      <x:c r="D125" s="376" t="str">
        <x:v>Hakone Sushi</x:v>
      </x:c>
      <x:c r="E125" s="376" t="str">
        <x:v>Sushi</x:v>
      </x:c>
      <x:c r="F125" s="376" t="str">
        <x:v>Sushi</x:v>
      </x:c>
      <x:c r="G125" s="376" t="str">
        <x:v>Lunch,Dinner</x:v>
      </x:c>
      <x:c r="H125" s="376" t="str">
        <x:v>No</x:v>
      </x:c>
      <x:c r="I125" s="376" t="str">
        <x:v>Yes</x:v>
      </x:c>
      <x:c r="J125" s="376" t="str">
        <x:v>Yes</x:v>
      </x:c>
      <x:c r="K125" s="376" t="str">
        <x:v>No</x:v>
      </x:c>
      <x:c r="L125" s="376" t="str">
        <x:v>—</x:v>
      </x:c>
      <x:c r="M125" s="376" t="str">
        <x:v>Tabelog candidate</x:v>
      </x:c>
      <x:c r="N125" s="376" t="str">
        <x:v>Confirm soy sauce/marinades</x:v>
      </x:c>
      <x:c r="O125" s="376" t="str">
        <x:v>Naturally low dairy</x:v>
      </x:c>
      <x:c r="P125" s="376" t="str">
        <x:v>¥¥¥</x:v>
      </x:c>
      <x:c r="Q125" s="376" t="str">
        <x:v>Recommended</x:v>
      </x:c>
      <x:c r="R125" s="376" t="str">
        <x:v>Sushi</x:v>
      </x:c>
      <x:c r="S125" s="376" t="str">
        <x:v>Potential dietary-friendly format if confirmed.</x:v>
      </x:c>
      <x:c r="T125" s="376" t="str">
        <x:v>Consider</x:v>
      </x:c>
      <x:c r="U125" s="376" t="str">
        <x:v>Research</x:v>
      </x:c>
      <x:c r="V125" s="376" t="str">
        <x:v>No</x:v>
      </x:c>
      <x:c r="W125" s="376" t="str">
        <x:v>Not booked</x:v>
      </x:c>
      <x:c r="X125" s="376" t="str">
        <x:v>Verify live</x:v>
      </x:c>
      <x:c r="Y125" s="376" t="str">
        <x:v>No</x:v>
      </x:c>
      <x:c r="Z125" s="376" t="str">
        <x:v>https://www.google.com/maps/search/?api=1&amp;query=Hakone+Sushi+Hakone+Japan</x:v>
      </x:c>
      <x:c r="AA125" s="376" t="str">
        <x:v>https://tabelog.com/en/rstLst/?sk=Hakone+Sushi</x:v>
      </x:c>
      <x:c r="AB125" s="376" t="str"/>
      <x:c r="AC125" s="376" t="str"/>
      <x:c r="AD125" s="376" t="str">
        <x:v>2026-07-23</x:v>
      </x:c>
      <x:c r="AE125" s="376" t="str">
        <x:v>Gluten-free and lactose-free accommodation must be reconfirmed directly; cross-contact is not assumed safe.</x:v>
      </x:c>
    </x:row>
    <x:row r="126">
      <x:c r="A126" s="376" t="str">
        <x:v>HA-122</x:v>
      </x:c>
      <x:c r="B126" s="376" t="str">
        <x:v>Hakone</x:v>
      </x:c>
      <x:c r="C126" s="376" t="str">
        <x:v>Sengokuhara</x:v>
      </x:c>
      <x:c r="D126" s="376" t="str">
        <x:v>Albergo Bamboo</x:v>
      </x:c>
      <x:c r="E126" s="376" t="str">
        <x:v>Italian</x:v>
      </x:c>
      <x:c r="F126" s="376" t="str">
        <x:v>Italian</x:v>
      </x:c>
      <x:c r="G126" s="376" t="str">
        <x:v>Lunch,Dinner</x:v>
      </x:c>
      <x:c r="H126" s="376" t="str">
        <x:v>No</x:v>
      </x:c>
      <x:c r="I126" s="376" t="str">
        <x:v>Yes</x:v>
      </x:c>
      <x:c r="J126" s="376" t="str">
        <x:v>Yes</x:v>
      </x:c>
      <x:c r="K126" s="376" t="str">
        <x:v>No</x:v>
      </x:c>
      <x:c r="L126" s="376" t="str">
        <x:v>—</x:v>
      </x:c>
      <x:c r="M126" s="376" t="str">
        <x:v>Tabelog candidate</x:v>
      </x:c>
      <x:c r="N126" s="376" t="str">
        <x:v>Confirm availability</x:v>
      </x:c>
      <x:c r="O126" s="376" t="str">
        <x:v>Omit dairy where possible</x:v>
      </x:c>
      <x:c r="P126" s="376" t="str">
        <x:v>¥¥¥</x:v>
      </x:c>
      <x:c r="Q126" s="376" t="str">
        <x:v>Required</x:v>
      </x:c>
      <x:c r="R126" s="376" t="str">
        <x:v>Italian course</x:v>
      </x:c>
      <x:c r="S126" s="376" t="str">
        <x:v>Advance communication essential.</x:v>
      </x:c>
      <x:c r="T126" s="376" t="str">
        <x:v>Consider</x:v>
      </x:c>
      <x:c r="U126" s="376" t="str">
        <x:v>Research</x:v>
      </x:c>
      <x:c r="V126" s="376" t="str">
        <x:v>No</x:v>
      </x:c>
      <x:c r="W126" s="376" t="str">
        <x:v>Not booked</x:v>
      </x:c>
      <x:c r="X126" s="376" t="str">
        <x:v>Verify live</x:v>
      </x:c>
      <x:c r="Y126" s="376" t="str">
        <x:v>No</x:v>
      </x:c>
      <x:c r="Z126" s="376" t="str">
        <x:v>https://www.google.com/maps/search/?api=1&amp;query=Albergo+Bamboo+Hakone+Japan</x:v>
      </x:c>
      <x:c r="AA126" s="376" t="str">
        <x:v>https://tabelog.com/en/rstLst/?sk=Albergo+Bamboo</x:v>
      </x:c>
      <x:c r="AB126" s="376" t="str"/>
      <x:c r="AC126" s="376" t="str"/>
      <x:c r="AD126" s="376" t="str">
        <x:v>2026-07-23</x:v>
      </x:c>
      <x:c r="AE126" s="376" t="str">
        <x:v>Gluten-free and lactose-free accommodation must be reconfirmed directly; cross-contact is not assumed safe.</x:v>
      </x:c>
    </x:row>
    <x:row r="127">
      <x:c r="A127" s="376" t="str">
        <x:v>HA-123</x:v>
      </x:c>
      <x:c r="B127" s="376" t="str">
        <x:v>Hakone</x:v>
      </x:c>
      <x:c r="C127" s="376" t="str">
        <x:v>Sengokuhara</x:v>
      </x:c>
      <x:c r="D127" s="376" t="str">
        <x:v>The Dining Shikisai</x:v>
      </x:c>
      <x:c r="E127" s="376" t="str">
        <x:v>Hotel Dining</x:v>
      </x:c>
      <x:c r="F127" s="376" t="str">
        <x:v>Hotel Dining</x:v>
      </x:c>
      <x:c r="G127" s="376" t="str">
        <x:v>Breakfast,Lunch,Dinner</x:v>
      </x:c>
      <x:c r="H127" s="376" t="str">
        <x:v>Yes</x:v>
      </x:c>
      <x:c r="I127" s="376" t="str">
        <x:v>Yes</x:v>
      </x:c>
      <x:c r="J127" s="376" t="str">
        <x:v>Yes</x:v>
      </x:c>
      <x:c r="K127" s="376" t="str">
        <x:v>No</x:v>
      </x:c>
      <x:c r="L127" s="376" t="str">
        <x:v>—</x:v>
      </x:c>
      <x:c r="M127" s="376" t="str">
        <x:v>Tabelog hotel dining</x:v>
      </x:c>
      <x:c r="N127" s="376" t="str">
        <x:v>Advance request recommended</x:v>
      </x:c>
      <x:c r="O127" s="376" t="str">
        <x:v>Advance request recommended</x:v>
      </x:c>
      <x:c r="P127" s="376" t="str">
        <x:v>¥¥¥</x:v>
      </x:c>
      <x:c r="Q127" s="376" t="str">
        <x:v>Recommended</x:v>
      </x:c>
      <x:c r="R127" s="376" t="str">
        <x:v>Japanese/Western hotel meal</x:v>
      </x:c>
      <x:c r="S127" s="376" t="str">
        <x:v>Hotel support may help with restrictions.</x:v>
      </x:c>
      <x:c r="T127" s="376" t="str">
        <x:v>Consider</x:v>
      </x:c>
      <x:c r="U127" s="376" t="str">
        <x:v>Research</x:v>
      </x:c>
      <x:c r="V127" s="376" t="str">
        <x:v>No</x:v>
      </x:c>
      <x:c r="W127" s="376" t="str">
        <x:v>Not booked</x:v>
      </x:c>
      <x:c r="X127" s="376" t="str">
        <x:v>Verify live</x:v>
      </x:c>
      <x:c r="Y127" s="376" t="str">
        <x:v>Yes</x:v>
      </x:c>
      <x:c r="Z127" s="376" t="str">
        <x:v>https://www.google.com/maps/search/?api=1&amp;query=The+Dining+Shikisai+Hakone+Japan</x:v>
      </x:c>
      <x:c r="AA127" s="376" t="str">
        <x:v>https://tabelog.com/en/rstLst/?sk=The+Dining+Shikisai</x:v>
      </x:c>
      <x:c r="AB127" s="376" t="str"/>
      <x:c r="AC127" s="376" t="str"/>
      <x:c r="AD127" s="376" t="str">
        <x:v>2026-07-23</x:v>
      </x:c>
      <x:c r="AE127" s="376" t="str">
        <x:v>Gluten-free and lactose-free accommodation must be reconfirmed directly; cross-contact is not assumed safe.</x:v>
      </x:c>
    </x:row>
    <x:row r="128">
      <x:c r="A128" s="376" t="str">
        <x:v>HA-124</x:v>
      </x:c>
      <x:c r="B128" s="376" t="str">
        <x:v>Hakone</x:v>
      </x:c>
      <x:c r="C128" s="376" t="str">
        <x:v>Lake Ashi</x:v>
      </x:c>
      <x:c r="D128" s="376" t="str">
        <x:v>Hakone Hotel Il Miraggio</x:v>
      </x:c>
      <x:c r="E128" s="376" t="str">
        <x:v>French / Hotel Dining</x:v>
      </x:c>
      <x:c r="F128" s="376" t="str">
        <x:v>Hotel Dining</x:v>
      </x:c>
      <x:c r="G128" s="376" t="str">
        <x:v>Breakfast,Lunch,Dinner</x:v>
      </x:c>
      <x:c r="H128" s="376" t="str">
        <x:v>Yes</x:v>
      </x:c>
      <x:c r="I128" s="376" t="str">
        <x:v>Yes</x:v>
      </x:c>
      <x:c r="J128" s="376" t="str">
        <x:v>Yes</x:v>
      </x:c>
      <x:c r="K128" s="376" t="str">
        <x:v>No</x:v>
      </x:c>
      <x:c r="L128" s="376" t="str">
        <x:v>—</x:v>
      </x:c>
      <x:c r="M128" s="376" t="str">
        <x:v>Tabelog hotel dining</x:v>
      </x:c>
      <x:c r="N128" s="376" t="str">
        <x:v>Advance request required</x:v>
      </x:c>
      <x:c r="O128" s="376" t="str">
        <x:v>Advance request required</x:v>
      </x:c>
      <x:c r="P128" s="376" t="str">
        <x:v>¥¥¥</x:v>
      </x:c>
      <x:c r="Q128" s="376" t="str">
        <x:v>Required</x:v>
      </x:c>
      <x:c r="R128" s="376" t="str">
        <x:v>Lake-view meal</x:v>
      </x:c>
      <x:c r="S128" s="376" t="str">
        <x:v>Dairy-heavy cuisine; only with confirmed accommodation.</x:v>
      </x:c>
      <x:c r="T128" s="376" t="str">
        <x:v>Consider</x:v>
      </x:c>
      <x:c r="U128" s="376" t="str">
        <x:v>Research</x:v>
      </x:c>
      <x:c r="V128" s="376" t="str">
        <x:v>No</x:v>
      </x:c>
      <x:c r="W128" s="376" t="str">
        <x:v>Not booked</x:v>
      </x:c>
      <x:c r="X128" s="376" t="str">
        <x:v>Verify live</x:v>
      </x:c>
      <x:c r="Y128" s="376" t="str">
        <x:v>Yes</x:v>
      </x:c>
      <x:c r="Z128" s="376" t="str">
        <x:v>https://www.google.com/maps/search/?api=1&amp;query=Hakone+Hotel+Il+Miraggio+Hakone+Japan</x:v>
      </x:c>
      <x:c r="AA128" s="376" t="str">
        <x:v>https://tabelog.com/en/rstLst/?sk=Hakone+Hotel+Il+Miraggio</x:v>
      </x:c>
      <x:c r="AB128" s="376" t="str"/>
      <x:c r="AC128" s="376" t="str"/>
      <x:c r="AD128" s="376" t="str">
        <x:v>2026-07-23</x:v>
      </x:c>
      <x:c r="AE128" s="376" t="str">
        <x:v>Gluten-free and lactose-free accommodation must be reconfirmed directly; cross-contact is not assumed safe.</x:v>
      </x:c>
    </x:row>
    <x:row r="129">
      <x:c r="A129" s="376" t="str">
        <x:v>HA-125</x:v>
      </x:c>
      <x:c r="B129" s="376" t="str">
        <x:v>Hakone</x:v>
      </x:c>
      <x:c r="C129" s="376" t="str">
        <x:v>Hakone-Yumoto</x:v>
      </x:c>
      <x:c r="D129" s="376" t="str">
        <x:v>Coffee Camp</x:v>
      </x:c>
      <x:c r="E129" s="376" t="str">
        <x:v>Coffee / Cafe</x:v>
      </x:c>
      <x:c r="F129" s="376" t="str">
        <x:v>Coffee</x:v>
      </x:c>
      <x:c r="G129" s="376" t="str">
        <x:v>Breakfast,Lunch,Cafe</x:v>
      </x:c>
      <x:c r="H129" s="376" t="str">
        <x:v>Yes</x:v>
      </x:c>
      <x:c r="I129" s="376" t="str">
        <x:v>Yes</x:v>
      </x:c>
      <x:c r="J129" s="376" t="str">
        <x:v>No</x:v>
      </x:c>
      <x:c r="K129" s="376" t="str">
        <x:v>Yes</x:v>
      </x:c>
      <x:c r="L129" s="376" t="str">
        <x:v>—</x:v>
      </x:c>
      <x:c r="M129" s="376" t="str">
        <x:v>Tabelog popular</x:v>
      </x:c>
      <x:c r="N129" s="376" t="str">
        <x:v>Coffee GF; food varies</x:v>
      </x:c>
      <x:c r="O129" s="376" t="str">
        <x:v>Plant milk/black coffee; verify</x:v>
      </x:c>
      <x:c r="P129" s="376" t="str">
        <x:v>¥</x:v>
      </x:c>
      <x:c r="Q129" s="376" t="str">
        <x:v>No</x:v>
      </x:c>
      <x:c r="R129" s="376" t="str">
        <x:v>Coffee / breakfast</x:v>
      </x:c>
      <x:c r="S129" s="376" t="str">
        <x:v>Good morning coffee stop.</x:v>
      </x:c>
      <x:c r="T129" s="376" t="str">
        <x:v>Top pick</x:v>
      </x:c>
      <x:c r="U129" s="376" t="str">
        <x:v>Research</x:v>
      </x:c>
      <x:c r="V129" s="376" t="str">
        <x:v>No</x:v>
      </x:c>
      <x:c r="W129" s="376" t="str">
        <x:v>Not booked</x:v>
      </x:c>
      <x:c r="X129" s="376" t="str">
        <x:v>Verify live</x:v>
      </x:c>
      <x:c r="Y129" s="376" t="str">
        <x:v>Yes</x:v>
      </x:c>
      <x:c r="Z129" s="376" t="str">
        <x:v>https://www.google.com/maps/search/?api=1&amp;query=Coffee+Camp+Hakone+Japan</x:v>
      </x:c>
      <x:c r="AA129" s="376" t="str">
        <x:v>https://tabelog.com/en/rstLst/?sk=Coffee+Camp</x:v>
      </x:c>
      <x:c r="AB129" s="376" t="str"/>
      <x:c r="AC129" s="376" t="str"/>
      <x:c r="AD129" s="376" t="str">
        <x:v>2026-07-23</x:v>
      </x:c>
      <x:c r="AE129" s="376" t="str">
        <x:v>Gluten-free and lactose-free accommodation must be reconfirmed directly; cross-contact is not assumed safe.</x:v>
      </x:c>
    </x:row>
    <x:row r="130">
      <x:c r="A130" s="376" t="str">
        <x:v>HA-126</x:v>
      </x:c>
      <x:c r="B130" s="376" t="str">
        <x:v>Hakone</x:v>
      </x:c>
      <x:c r="C130" s="376" t="str">
        <x:v>Miyanoshita</x:v>
      </x:c>
      <x:c r="D130" s="376" t="str">
        <x:v>NARAYA CAFE</x:v>
      </x:c>
      <x:c r="E130" s="376" t="str">
        <x:v>Cafe</x:v>
      </x:c>
      <x:c r="F130" s="376" t="str">
        <x:v>Cafe</x:v>
      </x:c>
      <x:c r="G130" s="376" t="str">
        <x:v>Breakfast,Lunch,Cafe,Dessert</x:v>
      </x:c>
      <x:c r="H130" s="376" t="str">
        <x:v>Yes</x:v>
      </x:c>
      <x:c r="I130" s="376" t="str">
        <x:v>Yes</x:v>
      </x:c>
      <x:c r="J130" s="376" t="str">
        <x:v>No</x:v>
      </x:c>
      <x:c r="K130" s="376" t="str">
        <x:v>Yes</x:v>
      </x:c>
      <x:c r="L130" s="376" t="str">
        <x:v>—</x:v>
      </x:c>
      <x:c r="M130" s="376" t="str">
        <x:v>Tabelog popular</x:v>
      </x:c>
      <x:c r="N130" s="376" t="str">
        <x:v>Limited GF; ask</x:v>
      </x:c>
      <x:c r="O130" s="376" t="str">
        <x:v>Dairy common; drinks may adapt</x:v>
      </x:c>
      <x:c r="P130" s="376" t="str">
        <x:v>¥¥</x:v>
      </x:c>
      <x:c r="Q130" s="376" t="str">
        <x:v>No</x:v>
      </x:c>
      <x:c r="R130" s="376" t="str">
        <x:v>Footbath café / monaka</x:v>
      </x:c>
      <x:c r="S130" s="376" t="str">
        <x:v>Atmospheric stop for companions.</x:v>
      </x:c>
      <x:c r="T130" s="376" t="str">
        <x:v>Consider</x:v>
      </x:c>
      <x:c r="U130" s="376" t="str">
        <x:v>Research</x:v>
      </x:c>
      <x:c r="V130" s="376" t="str">
        <x:v>No</x:v>
      </x:c>
      <x:c r="W130" s="376" t="str">
        <x:v>Not booked</x:v>
      </x:c>
      <x:c r="X130" s="376" t="str">
        <x:v>Verify live</x:v>
      </x:c>
      <x:c r="Y130" s="376" t="str">
        <x:v>Yes</x:v>
      </x:c>
      <x:c r="Z130" s="376" t="str">
        <x:v>https://www.google.com/maps/search/?api=1&amp;query=NARAYA+CAFE+Hakone+Japan</x:v>
      </x:c>
      <x:c r="AA130" s="376" t="str">
        <x:v>https://tabelog.com/en/rstLst/?sk=NARAYA+CAFE</x:v>
      </x:c>
      <x:c r="AB130" s="376" t="str"/>
      <x:c r="AC130" s="376" t="str"/>
      <x:c r="AD130" s="376" t="str">
        <x:v>2026-07-23</x:v>
      </x:c>
      <x:c r="AE130" s="376" t="str">
        <x:v>Gluten-free and lactose-free accommodation must be reconfirmed directly; cross-contact is not assumed safe.</x:v>
      </x:c>
    </x:row>
    <x:row r="131">
      <x:c r="A131" s="376" t="str">
        <x:v>HA-127</x:v>
      </x:c>
      <x:c r="B131" s="376" t="str">
        <x:v>Hakone</x:v>
      </x:c>
      <x:c r="C131" s="376" t="str">
        <x:v>Gora</x:v>
      </x:c>
      <x:c r="D131" s="376" t="str">
        <x:v>Cafe Pic</x:v>
      </x:c>
      <x:c r="E131" s="376" t="str">
        <x:v>Cafe</x:v>
      </x:c>
      <x:c r="F131" s="376" t="str">
        <x:v>Cafe</x:v>
      </x:c>
      <x:c r="G131" s="376" t="str">
        <x:v>Breakfast,Lunch,Cafe,Dessert</x:v>
      </x:c>
      <x:c r="H131" s="376" t="str">
        <x:v>Yes</x:v>
      </x:c>
      <x:c r="I131" s="376" t="str">
        <x:v>Yes</x:v>
      </x:c>
      <x:c r="J131" s="376" t="str">
        <x:v>No</x:v>
      </x:c>
      <x:c r="K131" s="376" t="str">
        <x:v>Yes</x:v>
      </x:c>
      <x:c r="L131" s="376" t="str">
        <x:v>—</x:v>
      </x:c>
      <x:c r="M131" s="376" t="str">
        <x:v>Tabelog candidate</x:v>
      </x:c>
      <x:c r="N131" s="376" t="str">
        <x:v>Limited GF</x:v>
      </x:c>
      <x:c r="O131" s="376" t="str">
        <x:v>Dairy common</x:v>
      </x:c>
      <x:c r="P131" s="376" t="str">
        <x:v>¥¥</x:v>
      </x:c>
      <x:c r="Q131" s="376" t="str">
        <x:v>No</x:v>
      </x:c>
      <x:c r="R131" s="376" t="str">
        <x:v>Coffee / sweets</x:v>
      </x:c>
      <x:c r="S131" s="376" t="str">
        <x:v>Museum-area rest stop.</x:v>
      </x:c>
      <x:c r="T131" s="376" t="str">
        <x:v>Consider</x:v>
      </x:c>
      <x:c r="U131" s="376" t="str">
        <x:v>Research</x:v>
      </x:c>
      <x:c r="V131" s="376" t="str">
        <x:v>No</x:v>
      </x:c>
      <x:c r="W131" s="376" t="str">
        <x:v>Not booked</x:v>
      </x:c>
      <x:c r="X131" s="376" t="str">
        <x:v>Verify live</x:v>
      </x:c>
      <x:c r="Y131" s="376" t="str">
        <x:v>Yes</x:v>
      </x:c>
      <x:c r="Z131" s="376" t="str">
        <x:v>https://www.google.com/maps/search/?api=1&amp;query=Cafe+Pic+Hakone+Japan</x:v>
      </x:c>
      <x:c r="AA131" s="376" t="str">
        <x:v>https://tabelog.com/en/rstLst/?sk=Cafe+Pic</x:v>
      </x:c>
      <x:c r="AB131" s="376" t="str"/>
      <x:c r="AC131" s="376" t="str"/>
      <x:c r="AD131" s="376" t="str">
        <x:v>2026-07-23</x:v>
      </x:c>
      <x:c r="AE131" s="376" t="str">
        <x:v>Gluten-free and lactose-free accommodation must be reconfirmed directly; cross-contact is not assumed safe.</x:v>
      </x:c>
    </x:row>
    <x:row r="132">
      <x:c r="A132" s="376" t="str">
        <x:v>HA-128</x:v>
      </x:c>
      <x:c r="B132" s="376" t="str">
        <x:v>Hakone</x:v>
      </x:c>
      <x:c r="C132" s="376" t="str">
        <x:v>Owakudani</x:v>
      </x:c>
      <x:c r="D132" s="376" t="str">
        <x:v>Owakudani station food hall</x:v>
      </x:c>
      <x:c r="E132" s="376" t="str">
        <x:v>Snacks / Casual</x:v>
      </x:c>
      <x:c r="F132" s="376" t="str">
        <x:v>Snack</x:v>
      </x:c>
      <x:c r="G132" s="376" t="str">
        <x:v>Breakfast,Lunch</x:v>
      </x:c>
      <x:c r="H132" s="376" t="str">
        <x:v>Yes</x:v>
      </x:c>
      <x:c r="I132" s="376" t="str">
        <x:v>Yes</x:v>
      </x:c>
      <x:c r="J132" s="376" t="str">
        <x:v>No</x:v>
      </x:c>
      <x:c r="K132" s="376" t="str">
        <x:v>No</x:v>
      </x:c>
      <x:c r="L132" s="376" t="str">
        <x:v>—</x:v>
      </x:c>
      <x:c r="M132" s="376" t="str">
        <x:v>Tabelog area research</x:v>
      </x:c>
      <x:c r="N132" s="376" t="str">
        <x:v>Plain eggs may work; verify other foods</x:v>
      </x:c>
      <x:c r="O132" s="376" t="str">
        <x:v>Plain eggs LF</x:v>
      </x:c>
      <x:c r="P132" s="376" t="str">
        <x:v>¥</x:v>
      </x:c>
      <x:c r="Q132" s="376" t="str">
        <x:v>No</x:v>
      </x:c>
      <x:c r="R132" s="376" t="str">
        <x:v>Black eggs</x:v>
      </x:c>
      <x:c r="S132" s="376" t="str">
        <x:v>Simple sightseeing snack; ingredient-check everything else.</x:v>
      </x:c>
      <x:c r="T132" s="376" t="str">
        <x:v>Backup</x:v>
      </x:c>
      <x:c r="U132" s="376" t="str">
        <x:v>Research</x:v>
      </x:c>
      <x:c r="V132" s="376" t="str">
        <x:v>No</x:v>
      </x:c>
      <x:c r="W132" s="376" t="str">
        <x:v>Not booked</x:v>
      </x:c>
      <x:c r="X132" s="376" t="str">
        <x:v>Verify live</x:v>
      </x:c>
      <x:c r="Y132" s="376" t="str">
        <x:v>Yes</x:v>
      </x:c>
      <x:c r="Z132" s="376" t="str">
        <x:v>https://www.google.com/maps/search/?api=1&amp;query=Owakudani+station+food+hall+Hakone+Japan</x:v>
      </x:c>
      <x:c r="AA132" s="376" t="str">
        <x:v>https://tabelog.com/en/rstLst/?sk=Owakudani+station+food+hall</x:v>
      </x:c>
      <x:c r="AB132" s="376" t="str"/>
      <x:c r="AC132" s="376" t="str"/>
      <x:c r="AD132" s="376" t="str">
        <x:v>2026-07-23</x:v>
      </x:c>
      <x:c r="AE132" s="376" t="str">
        <x:v>Gluten-free and lactose-free accommodation must be reconfirmed directly; cross-contact is not assumed safe.</x:v>
      </x:c>
    </x:row>
  </x:sheetData>
  <x:mergeCells>
    <x:mergeCell ref="A1:AE1"/>
    <x:mergeCell ref="A2:AE2"/>
  </x:mergeCells>
  <x:conditionalFormatting sqref="T5:T132">
    <x:cfRule type="expression" dxfId="2" priority="1">
      <x:formula>T5="Top pick"</x:formula>
    </x:cfRule>
    <x:cfRule type="expression" dxfId="3" priority="2">
      <x:formula>T5="Bucket list"</x:formula>
    </x:cfRule>
  </x:conditionalFormatting>
  <x:conditionalFormatting sqref="W5:W132">
    <x:cfRule type="expression" dxfId="4" priority="3">
      <x:formula>W5="Confirmed"</x:formula>
    </x:cfRule>
    <x:cfRule type="expression" dxfId="5" priority="4">
      <x:formula>W5="Need to reserve"</x:formula>
    </x:cfRule>
  </x:conditionalFormatting>
  <x:conditionalFormatting sqref="N5:N132">
    <x:cfRule type="expression" dxfId="6" priority="5">
      <x:formula>ISNUMBER(SEARCH("GF-focused",N5))</x:formula>
    </x:cfRule>
  </x:conditionalFormatting>
  <x:dataValidations count="6">
    <x:dataValidation type="list" sqref="B5:B132">
      <x:formula1>"Tokyo,Kyoto,Osaka,Hakone"</x:formula1>
    </x:dataValidation>
    <x:dataValidation type="list" sqref="H5:K132">
      <x:formula1>"Yes,No"</x:formula1>
    </x:dataValidation>
    <x:dataValidation type="list" sqref="T5:T132">
      <x:formula1>"Top pick,Bucket list,Consider,Group option,Backup"</x:formula1>
    </x:dataValidation>
    <x:dataValidation type="list" sqref="U5:U132">
      <x:formula1>"Research,Shortlist,Contacted,Verified,Skip"</x:formula1>
    </x:dataValidation>
    <x:dataValidation type="list" sqref="V5:V132">
      <x:formula1>"No,Yes"</x:formula1>
    </x:dataValidation>
    <x:dataValidation type="list" sqref="W5:W132">
      <x:formula1>"Not booked,Need to reserve,Requested,Waitlist,Confirmed,Cancelled"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b7d0ed2e974c5b"/>
  </x:tableParts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6" style="146" customWidth="1"/>
    <x:col min="3" max="3" width="28" style="146" customWidth="1"/>
    <x:col min="4" max="4" width="28" style="146" customWidth="1"/>
    <x:col min="5" max="5" width="14" style="146" customWidth="1"/>
    <x:col min="6" max="6" width="32" style="146" customWidth="1"/>
    <x:col min="7" max="7" width="26" style="146" customWidth="1"/>
    <x:col min="8" max="8" width="26" style="146" customWidth="1"/>
  </x:cols>
  <x:sheetData>
    <x:row r="1">
      <x:c r="A1" s="233" t="inlineStr">
        <x:is>
          <x:t xml:space="preserve">☔ Rain Mode Alternatives</x:t>
        </x:is>
      </x:c>
      <x:c r="B1" s="233" t="n"/>
      <x:c r="C1" s="233" t="n"/>
      <x:c r="D1" s="233" t="n"/>
      <x:c r="E1" s="233" t="n"/>
      <x:c r="F1" s="233" t="n"/>
      <x:c r="G1" s="233" t="n"/>
      <x:c r="H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</x:row>
    <x:row r="4">
      <x:c r="A4" s="236" t="inlineStr">
        <x:is>
          <x:t xml:space="preserve">City</x:t>
        </x:is>
      </x:c>
      <x:c r="B4" s="236" t="inlineStr">
        <x:is>
          <x:t xml:space="preserve">Outdoor Plan</x:t>
        </x:is>
      </x:c>
      <x:c r="C4" s="236" t="inlineStr">
        <x:is>
          <x:t xml:space="preserve">Rain Backup</x:t>
        </x:is>
      </x:c>
      <x:c r="D4" s="236" t="inlineStr">
        <x:is>
          <x:t xml:space="preserve">Indoor Option</x:t>
        </x:is>
      </x:c>
      <x:c r="E4" s="236" t="inlineStr">
        <x:is>
          <x:t xml:space="preserve">Taxi Friendly?</x:t>
        </x:is>
      </x:c>
      <x:c r="F4" s="236" t="inlineStr">
        <x:is>
          <x:t xml:space="preserve">Hilda Comfort Note</x:t>
        </x:is>
      </x:c>
      <x:c r="G4" s="236" t="inlineStr">
        <x:is>
          <x:t xml:space="preserve">Maps Link</x:t>
        </x:is>
      </x:c>
      <x:c r="H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Shibuya / Harajuku</x:t>
        </x:is>
      </x:c>
      <x:c r="C5" s="237" t="inlineStr">
        <x:is>
          <x:t xml:space="preserve">Ginza or Tokyo Station shopping</x:t>
        </x:is>
      </x:c>
      <x:c r="D5" s="237" t="inlineStr">
        <x:is>
          <x:t xml:space="preserve">Department stores / underground malls</x:t>
        </x:is>
      </x:c>
      <x:c r="E5" s="237" t="inlineStr">
        <x:is>
          <x:t xml:space="preserve">Yes</x:t>
        </x:is>
      </x:c>
      <x:c r="F5" s="237" t="inlineStr">
        <x:is>
          <x:t xml:space="preserve">Shorten walking, use taxi if tired</x:t>
        </x:is>
      </x:c>
      <x:c r="G5" s="237" t="str"/>
      <x:c r="H5" s="237" t="str"/>
    </x:row>
    <x:row r="6">
      <x:c r="A6" s="237" t="inlineStr">
        <x:is>
          <x:t xml:space="preserve">Tokyo</x:t>
        </x:is>
      </x:c>
      <x:c r="B6" s="237" t="inlineStr">
        <x:is>
          <x:t xml:space="preserve">Ghibli / Kichijoji</x:t>
        </x:is>
      </x:c>
      <x:c r="C6" s="237" t="inlineStr">
        <x:is>
          <x:t xml:space="preserve">Museum still works; add cafes</x:t>
        </x:is>
      </x:c>
      <x:c r="D6" s="237" t="inlineStr">
        <x:is>
          <x:t xml:space="preserve">Kichijoji cafes/shops</x:t>
        </x:is>
      </x:c>
      <x:c r="E6" s="237" t="inlineStr">
        <x:is>
          <x:t xml:space="preserve">Yes</x:t>
        </x:is>
      </x:c>
      <x:c r="F6" s="237" t="inlineStr">
        <x:is>
          <x:t xml:space="preserve">Bring compact umbrella</x:t>
        </x:is>
      </x:c>
      <x:c r="G6" s="237" t="str"/>
      <x:c r="H6" s="237" t="str"/>
    </x:row>
    <x:row r="7">
      <x:c r="A7" s="237" t="inlineStr">
        <x:is>
          <x:t xml:space="preserve">Kyoto</x:t>
        </x:is>
      </x:c>
      <x:c r="B7" s="237" t="inlineStr">
        <x:is>
          <x:t xml:space="preserve">Fushimi / temples</x:t>
        </x:is>
      </x:c>
      <x:c r="C7" s="237" t="inlineStr">
        <x:is>
          <x:t xml:space="preserve">Nishiki Market / tea ceremony</x:t>
        </x:is>
      </x:c>
      <x:c r="D7" s="237" t="inlineStr">
        <x:is>
          <x:t xml:space="preserve">Covered shopping streets</x:t>
        </x:is>
      </x:c>
      <x:c r="E7" s="237" t="inlineStr">
        <x:is>
          <x:t xml:space="preserve">Maybe</x:t>
        </x:is>
      </x:c>
      <x:c r="F7" s="237" t="inlineStr">
        <x:is>
          <x:t xml:space="preserve">Pick one major outdoor sight only</x:t>
        </x:is>
      </x:c>
      <x:c r="G7" s="237" t="str"/>
      <x:c r="H7" s="237" t="str"/>
    </x:row>
    <x:row r="8">
      <x:c r="A8" s="237" t="inlineStr">
        <x:is>
          <x:t xml:space="preserve">Kyoto</x:t>
        </x:is>
      </x:c>
      <x:c r="B8" s="237" t="inlineStr">
        <x:is>
          <x:t xml:space="preserve">Arashiyama</x:t>
        </x:is>
      </x:c>
      <x:c r="C8" s="237" t="inlineStr">
        <x:is>
          <x:t xml:space="preserve">Kyoto Station / museums</x:t>
        </x:is>
      </x:c>
      <x:c r="D8" s="237" t="inlineStr">
        <x:is>
          <x:t xml:space="preserve">Kyoto Station complex</x:t>
        </x:is>
      </x:c>
      <x:c r="E8" s="237" t="inlineStr">
        <x:is>
          <x:t xml:space="preserve">Yes</x:t>
        </x:is>
      </x:c>
      <x:c r="F8" s="237" t="inlineStr">
        <x:is>
          <x:t xml:space="preserve">Avoid slippery paths</x:t>
        </x:is>
      </x:c>
      <x:c r="G8" s="237" t="str"/>
      <x:c r="H8" s="237" t="str"/>
    </x:row>
    <x:row r="9">
      <x:c r="A9" s="237" t="inlineStr">
        <x:is>
          <x:t xml:space="preserve">Nara</x:t>
        </x:is>
      </x:c>
      <x:c r="B9" s="237" t="inlineStr">
        <x:is>
          <x:t xml:space="preserve">Nara Park</x:t>
        </x:is>
      </x:c>
      <x:c r="C9" s="237" t="inlineStr">
        <x:is>
          <x:t xml:space="preserve">Short Todai-ji visit + cafe</x:t>
        </x:is>
      </x:c>
      <x:c r="D9" s="237" t="inlineStr">
        <x:is>
          <x:t xml:space="preserve">Nara station area shops</x:t>
        </x:is>
      </x:c>
      <x:c r="E9" s="237" t="inlineStr">
        <x:is>
          <x:t xml:space="preserve">Maybe</x:t>
        </x:is>
      </x:c>
      <x:c r="F9" s="237" t="inlineStr">
        <x:is>
          <x:t xml:space="preserve">Keep flexible</x:t>
        </x:is>
      </x:c>
      <x:c r="G9" s="237" t="str"/>
      <x:c r="H9" s="237" t="str"/>
    </x:row>
    <x:row r="10">
      <x:c r="A10" s="237" t="inlineStr">
        <x:is>
          <x:t xml:space="preserve">Hakone</x:t>
        </x:is>
      </x:c>
      <x:c r="B10" s="237" t="inlineStr">
        <x:is>
          <x:t xml:space="preserve">Ropeway / Lake Ashi</x:t>
        </x:is>
      </x:c>
      <x:c r="C10" s="237" t="inlineStr">
        <x:is>
          <x:t xml:space="preserve">Ryokan / Open-Air Museum if light rain</x:t>
        </x:is>
      </x:c>
      <x:c r="D10" s="237" t="inlineStr">
        <x:is>
          <x:t xml:space="preserve">Ryokan lounge / onsen</x:t>
        </x:is>
      </x:c>
      <x:c r="E10" s="237" t="inlineStr">
        <x:is>
          <x:t xml:space="preserve">Yes</x:t>
        </x:is>
      </x:c>
      <x:c r="F10" s="237" t="inlineStr">
        <x:is>
          <x:t xml:space="preserve">Make it a rest day if needed</x:t>
        </x:is>
      </x:c>
      <x:c r="G10" s="237" t="str"/>
      <x:c r="H10" s="237" t="str"/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  <x:c r="H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  <x:c r="H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0" style="146" customWidth="1"/>
    <x:col min="3" max="3" width="14" style="146" customWidth="1"/>
    <x:col min="4" max="4" width="24" style="146" customWidth="1"/>
    <x:col min="5" max="5" width="16" style="146" customWidth="1"/>
    <x:col min="6" max="6" width="16" style="146" customWidth="1"/>
    <x:col min="7" max="7" width="12" style="146" customWidth="1"/>
    <x:col min="8" max="8" width="14" style="146" customWidth="1"/>
    <x:col min="9" max="9" width="24" style="146" customWidth="1"/>
    <x:col min="10" max="10" width="30" style="146" customWidth="1"/>
  </x:cols>
  <x:sheetData>
    <x:row r="1">
      <x:c r="A1" s="233" t="inlineStr">
        <x:is>
          <x:t xml:space="preserve">🚶 Walking + Energy Tracker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  <x:c r="J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  <x:c r="J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  <x:c r="J3" s="230" t="n"/>
    </x:row>
    <x:row r="4">
      <x:c r="A4" s="236" t="inlineStr">
        <x:is>
          <x:t xml:space="preserve">Date</x:t>
        </x:is>
      </x:c>
      <x:c r="B4" s="236" t="inlineStr">
        <x:is>
          <x:t xml:space="preserve">Day</x:t>
        </x:is>
      </x:c>
      <x:c r="C4" s="236" t="inlineStr">
        <x:is>
          <x:t xml:space="preserve">City</x:t>
        </x:is>
      </x:c>
      <x:c r="D4" s="236" t="inlineStr">
        <x:is>
          <x:t xml:space="preserve">D+N</x:t>
        </x:is>
      </x:c>
      <x:c r="E4" s="236" t="inlineStr">
        <x:is>
          <x:t xml:space="preserve">Walking Estimate</x:t>
        </x:is>
      </x:c>
      <x:c r="F4" s="236" t="inlineStr">
        <x:is>
          <x:t xml:space="preserve">Step Estimate</x:t>
        </x:is>
      </x:c>
      <x:c r="G4" s="236" t="inlineStr">
        <x:is>
          <x:t xml:space="preserve">Energy</x:t>
        </x:is>
      </x:c>
      <x:c r="H4" s="236" t="inlineStr">
        <x:is>
          <x:t xml:space="preserve">Hilda Rating</x:t>
        </x:is>
      </x:c>
      <x:c r="I4" s="236" t="inlineStr">
        <x:is>
          <x:t xml:space="preserve">Taxi Backup</x:t>
        </x:is>
      </x:c>
      <x:c r="J4" s="236" t="inlineStr">
        <x:is>
          <x:t xml:space="preserve">Notes</x:t>
        </x:is>
      </x:c>
    </x:row>
    <x:row r="5">
      <x:c r="A5" s="237" t="n">
        <x:f>'📅 Master Itinerary'!B5</x:f>
        <x:v>46321</x:v>
      </x:c>
      <x:c r="B5" s="237" t="str">
        <x:f>'📅 Master Itinerary'!A5</x:f>
        <x:v>Travel</x:v>
      </x:c>
      <x:c r="C5" s="237" t="str">
        <x:f>'📅 Master Itinerary'!C5</x:f>
        <x:v>USA / Flight</x:v>
      </x:c>
      <x:c r="D5" s="237" t="str">
        <x:f>'📅 Master Itinerary'!H5</x:f>
        <x:v>🔵 Travel</x:v>
      </x:c>
      <x:c r="E5" s="237" t="str">
        <x:f>'📅 Master Itinerary'!K5</x:f>
        <x:v>Minimal</x:v>
      </x:c>
      <x:c r="F5" s="237" t="str"/>
      <x:c r="G5" s="237" t="str">
        <x:f>'📅 Master Itinerary'!I5</x:f>
        <x:v>Easy</x:v>
      </x:c>
      <x:c r="H5" s="237" t="str"/>
      <x:c r="I5" s="237" t="str"/>
      <x:c r="J5" s="237" t="str"/>
    </x:row>
    <x:row r="6">
      <x:c r="A6" s="237" t="n">
        <x:f>'📅 Master Itinerary'!B6</x:f>
        <x:v>46322</x:v>
      </x:c>
      <x:c r="B6" s="237" t="str">
        <x:f>'📅 Master Itinerary'!A6</x:f>
        <x:v>Arrival</x:v>
      </x:c>
      <x:c r="C6" s="237" t="str">
        <x:f>'📅 Master Itinerary'!C6</x:f>
        <x:v>Tokyo</x:v>
      </x:c>
      <x:c r="D6" s="237" t="str">
        <x:f>'📅 Master Itinerary'!H6</x:f>
        <x:v>🟢 Arrival</x:v>
      </x:c>
      <x:c r="E6" s="237" t="str">
        <x:f>'📅 Master Itinerary'!K6</x:f>
        <x:v>2–3 mi</x:v>
      </x:c>
      <x:c r="F6" s="237" t="str"/>
      <x:c r="G6" s="237" t="str">
        <x:f>'📅 Master Itinerary'!I6</x:f>
        <x:v>Easy</x:v>
      </x:c>
      <x:c r="H6" s="237" t="str"/>
      <x:c r="I6" s="237" t="str"/>
      <x:c r="J6" s="237" t="str"/>
    </x:row>
    <x:row r="7">
      <x:c r="A7" s="237" t="n">
        <x:f>'📅 Master Itinerary'!B7</x:f>
        <x:v>46323</x:v>
      </x:c>
      <x:c r="B7" s="237" t="n">
        <x:f>'📅 Master Itinerary'!A7</x:f>
        <x:v>1</x:v>
      </x:c>
      <x:c r="C7" s="237" t="str">
        <x:f>'📅 Master Itinerary'!C7</x:f>
        <x:v>Tokyo</x:v>
      </x:c>
      <x:c r="D7" s="237" t="str">
        <x:f>'📅 Master Itinerary'!H7</x:f>
        <x:v>🟢 Soft Start</x:v>
      </x:c>
      <x:c r="E7" s="237" t="str">
        <x:f>'📅 Master Itinerary'!K7</x:f>
        <x:v>3–4 mi</x:v>
      </x:c>
      <x:c r="F7" s="237" t="str"/>
      <x:c r="G7" s="237" t="str">
        <x:f>'📅 Master Itinerary'!I7</x:f>
        <x:v>Easy</x:v>
      </x:c>
      <x:c r="H7" s="237" t="str"/>
      <x:c r="I7" s="237" t="str"/>
      <x:c r="J7" s="237" t="str"/>
    </x:row>
    <x:row r="8">
      <x:c r="A8" s="237" t="n">
        <x:f>'📅 Master Itinerary'!B8</x:f>
        <x:v>46324</x:v>
      </x:c>
      <x:c r="B8" s="237" t="n">
        <x:f>'📅 Master Itinerary'!A8</x:f>
        <x:v>2</x:v>
      </x:c>
      <x:c r="C8" s="237" t="str">
        <x:f>'📅 Master Itinerary'!C8</x:f>
        <x:v>Tokyo</x:v>
      </x:c>
      <x:c r="D8" s="237" t="str">
        <x:f>'📅 Master Itinerary'!H8</x:f>
        <x:v>🔵 Classic Tokyo</x:v>
      </x:c>
      <x:c r="E8" s="237" t="str">
        <x:f>'📅 Master Itinerary'!K8</x:f>
        <x:v>5–6 mi</x:v>
      </x:c>
      <x:c r="F8" s="237" t="str"/>
      <x:c r="G8" s="237" t="str">
        <x:f>'📅 Master Itinerary'!I8</x:f>
        <x:v>Moderate</x:v>
      </x:c>
      <x:c r="H8" s="237" t="str"/>
      <x:c r="I8" s="237" t="str"/>
      <x:c r="J8" s="237" t="str"/>
    </x:row>
    <x:row r="9">
      <x:c r="A9" s="237" t="n">
        <x:f>'📅 Master Itinerary'!B9</x:f>
        <x:v>46325</x:v>
      </x:c>
      <x:c r="B9" s="237" t="n">
        <x:f>'📅 Master Itinerary'!A9</x:f>
        <x:v>3</x:v>
      </x:c>
      <x:c r="C9" s="237" t="str">
        <x:f>'📅 Master Itinerary'!C9</x:f>
        <x:v>Tokyo</x:v>
      </x:c>
      <x:c r="D9" s="237" t="str">
        <x:f>'📅 Master Itinerary'!H9</x:f>
        <x:v>🟡 Modern Tokyo</x:v>
      </x:c>
      <x:c r="E9" s="237" t="str">
        <x:f>'📅 Master Itinerary'!K9</x:f>
        <x:v>5–7 mi</x:v>
      </x:c>
      <x:c r="F9" s="237" t="str"/>
      <x:c r="G9" s="237" t="str">
        <x:f>'📅 Master Itinerary'!I9</x:f>
        <x:v>Moderate</x:v>
      </x:c>
      <x:c r="H9" s="237" t="str"/>
      <x:c r="I9" s="237" t="str"/>
      <x:c r="J9" s="237" t="str"/>
    </x:row>
    <x:row r="10">
      <x:c r="A10" s="230" t="n"/>
      <x:c r="B10" s="230" t="n"/>
      <x:c r="C10" s="230" t="n"/>
      <x:c r="D10" s="230" t="n"/>
      <x:c r="E10" s="230" t="n"/>
      <x:c r="F10" s="230" t="n"/>
      <x:c r="G10" s="230" t="n"/>
      <x:c r="H10" s="230" t="n"/>
      <x:c r="I10" s="230" t="n"/>
      <x:c r="J10" s="230" t="n"/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  <x:c r="H11" s="230" t="n"/>
      <x:c r="I11" s="230" t="n"/>
      <x:c r="J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  <x:c r="H12" s="230" t="n"/>
      <x:c r="I12" s="230" t="n"/>
      <x:c r="J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  <x:c r="J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  <x:c r="J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  <x:c r="J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  <x:c r="J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  <x:c r="J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  <x:c r="J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  <x:c r="J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  <x:c r="J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  <x:c r="J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  <x:c r="J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  <x:c r="J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  <x:c r="J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  <x:c r="J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  <x:c r="J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  <x:c r="J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  <x:c r="J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  <x:c r="J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  <x:c r="J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  <x:c r="J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  <x:c r="J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  <x:c r="J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  <x:c r="J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  <x:c r="J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  <x:c r="J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  <x:c r="J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  <x:c r="J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  <x:c r="J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  <x:c r="J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  <x:c r="J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  <x:c r="J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  <x:c r="J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  <x:c r="J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  <x:c r="J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  <x:c r="J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  <x:c r="J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  <x:c r="J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  <x:c r="J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  <x:c r="J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  <x:c r="J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  <x:c r="J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  <x:c r="J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  <x:c r="J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  <x:c r="J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  <x:c r="J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  <x:c r="J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  <x:c r="J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  <x:c r="J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  <x:c r="J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  <x:c r="J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  <x:c r="J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  <x:c r="J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  <x:c r="J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  <x:c r="J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  <x:c r="J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  <x:c r="J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  <x:c r="J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  <x:c r="J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  <x:c r="J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  <x:c r="J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  <x:c r="J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  <x:c r="J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  <x:c r="J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  <x:c r="J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  <x:c r="J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  <x:c r="J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  <x:c r="J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  <x:c r="J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  <x:c r="J80" s="230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0" style="146" customWidth="1"/>
    <x:col min="3" max="3" width="12" style="146" customWidth="1"/>
    <x:col min="4" max="4" width="12" style="146" customWidth="1"/>
    <x:col min="5" max="5" width="26" style="146" customWidth="1"/>
    <x:col min="6" max="6" width="18" style="146" customWidth="1"/>
    <x:col min="7" max="7" width="18" style="146" customWidth="1"/>
    <x:col min="8" max="8" width="22" style="146" customWidth="1"/>
    <x:col min="9" max="9" width="28" style="146" customWidth="1"/>
    <x:col min="10" max="10" width="32" style="146" customWidth="1"/>
  </x:cols>
  <x:sheetData>
    <x:row r="1">
      <x:c r="A1" s="233" t="inlineStr">
        <x:is>
          <x:t xml:space="preserve">🚉 Transportation Cards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  <x:c r="J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  <x:c r="J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  <x:c r="J3" s="230" t="n"/>
    </x:row>
    <x:row r="4">
      <x:c r="A4" s="236" t="inlineStr">
        <x:is>
          <x:t xml:space="preserve">Date</x:t>
        </x:is>
      </x:c>
      <x:c r="B4" s="236" t="inlineStr">
        <x:is>
          <x:t xml:space="preserve">Route</x:t>
        </x:is>
      </x:c>
      <x:c r="C4" s="236" t="inlineStr">
        <x:is>
          <x:t xml:space="preserve">Leave</x:t>
        </x:is>
      </x:c>
      <x:c r="D4" s="236" t="inlineStr">
        <x:is>
          <x:t xml:space="preserve">Arrive</x:t>
        </x:is>
      </x:c>
      <x:c r="E4" s="236" t="inlineStr">
        <x:is>
          <x:t xml:space="preserve">Method</x:t>
        </x:is>
      </x:c>
      <x:c r="F4" s="236" t="inlineStr">
        <x:is>
          <x:t xml:space="preserve">Reservation</x:t>
        </x:is>
      </x:c>
      <x:c r="G4" s="236" t="inlineStr">
        <x:is>
          <x:t xml:space="preserve">Platform / Gate</x:t>
        </x:is>
      </x:c>
      <x:c r="H4" s="236" t="inlineStr">
        <x:is>
          <x:t xml:space="preserve">Luggage</x:t>
        </x:is>
      </x:c>
      <x:c r="I4" s="236" t="inlineStr">
        <x:is>
          <x:t xml:space="preserve">Google Maps Link</x:t>
        </x:is>
      </x:c>
      <x:c r="J4" s="236" t="inlineStr">
        <x:is>
          <x:t xml:space="preserve">Notes</x:t>
        </x:is>
      </x:c>
    </x:row>
    <x:row r="5">
      <x:c r="A5" s="380" t="n">
        <x:v>46322</x:v>
      </x:c>
      <x:c r="B5" s="237" t="str">
        <x:v>Narita → Akasaka</x:v>
      </x:c>
      <x:c r="C5" s="237"/>
      <x:c r="D5" s="237"/>
      <x:c r="E5" s="237" t="str">
        <x:v>Narita Express + metro/taxi</x:v>
      </x:c>
      <x:c r="F5" s="237" t="str">
        <x:v>Reserve NEX if using</x:v>
      </x:c>
      <x:c r="G5" s="237" t="str">
        <x:v>TBD</x:v>
      </x:c>
      <x:c r="H5" s="237" t="str">
        <x:v>All bags</x:v>
      </x:c>
      <x:c r="I5" s="237"/>
      <x:c r="J5" s="237" t="str">
        <x:v>Keep simple for Hilda</x:v>
      </x:c>
    </x:row>
    <x:row r="6">
      <x:c r="A6" s="380" t="n">
        <x:v>46328</x:v>
      </x:c>
      <x:c r="B6" s="237" t="str">
        <x:v>Tokyo → Hakone</x:v>
      </x:c>
      <x:c r="C6" s="237"/>
      <x:c r="D6" s="237"/>
      <x:c r="E6" s="237" t="str">
        <x:v>Romancecar / JR + local</x:v>
      </x:c>
      <x:c r="F6" s="237" t="str">
        <x:v>Optional</x:v>
      </x:c>
      <x:c r="G6" s="237" t="str">
        <x:v>TBD</x:v>
      </x:c>
      <x:c r="H6" s="237" t="str">
        <x:v>Overnight bags only</x:v>
      </x:c>
      <x:c r="I6" s="237"/>
      <x:c r="J6" s="237" t="str">
        <x:v>Forward big luggage to Kyoto</x:v>
      </x:c>
    </x:row>
    <x:row r="7">
      <x:c r="A7" s="380" t="n">
        <x:v>46329</x:v>
      </x:c>
      <x:c r="B7" s="237" t="str">
        <x:v>Hakone → Kyoto</x:v>
      </x:c>
      <x:c r="C7" s="237"/>
      <x:c r="D7" s="237"/>
      <x:c r="E7" s="237" t="str">
        <x:v>Local + Shinkansen</x:v>
      </x:c>
      <x:c r="F7" s="237" t="str">
        <x:v>Reserve Shinkansen</x:v>
      </x:c>
      <x:c r="G7" s="237" t="str">
        <x:v>TBD</x:v>
      </x:c>
      <x:c r="H7" s="237" t="str">
        <x:v>Overnight bags</x:v>
      </x:c>
      <x:c r="I7" s="237"/>
      <x:c r="J7" s="237" t="str">
        <x:v>Large luggage should arrive Kyoto</x:v>
      </x:c>
    </x:row>
    <x:row r="8">
      <x:c r="A8" s="380" t="n">
        <x:v>46332</x:v>
      </x:c>
      <x:c r="B8" s="237" t="str">
        <x:v>Kyoto → Osaka</x:v>
      </x:c>
      <x:c r="C8" s="237"/>
      <x:c r="D8" s="237"/>
      <x:c r="E8" s="237" t="str">
        <x:v>JR / Shinkansen</x:v>
      </x:c>
      <x:c r="F8" s="237" t="str">
        <x:v>Optional</x:v>
      </x:c>
      <x:c r="G8" s="237" t="str">
        <x:v>TBD</x:v>
      </x:c>
      <x:c r="H8" s="237" t="str">
        <x:v>All bags or forward</x:v>
      </x:c>
      <x:c r="I8" s="237"/>
      <x:c r="J8" s="237" t="str">
        <x:v>Short transfer</x:v>
      </x:c>
    </x:row>
    <x:row r="9">
      <x:c r="A9" s="380" t="n">
        <x:v>46334</x:v>
      </x:c>
      <x:c r="B9" s="237" t="str">
        <x:v>Osaka → Tokyo</x:v>
      </x:c>
      <x:c r="C9" s="237"/>
      <x:c r="D9" s="237"/>
      <x:c r="E9" s="237" t="str">
        <x:v>Shinkansen</x:v>
      </x:c>
      <x:c r="F9" s="237" t="str">
        <x:v>Reserve seats</x:v>
      </x:c>
      <x:c r="G9" s="237" t="str">
        <x:v>TBD</x:v>
      </x:c>
      <x:c r="H9" s="237" t="str">
        <x:v>All bags or forward</x:v>
      </x:c>
      <x:c r="I9" s="237"/>
      <x:c r="J9" s="237" t="str">
        <x:v>Return to Akasaka</x:v>
      </x:c>
    </x:row>
    <x:row r="10">
      <x:c r="A10" s="381" t="n">
        <x:v>46337</x:v>
      </x:c>
      <x:c r="B10" s="230" t="str">
        <x:v>Akasaka → Narita</x:v>
      </x:c>
      <x:c r="C10" s="230"/>
      <x:c r="D10" s="230"/>
      <x:c r="E10" s="230" t="str">
        <x:v>Narita Express / Skyliner / taxi</x:v>
      </x:c>
      <x:c r="F10" s="230" t="str">
        <x:v>Reserve if NEX</x:v>
      </x:c>
      <x:c r="G10" s="230" t="str">
        <x:v>TBD</x:v>
      </x:c>
      <x:c r="H10" s="230" t="str">
        <x:v>All bags</x:v>
      </x:c>
      <x:c r="I10" s="230"/>
      <x:c r="J10" s="230" t="str">
        <x:v>Leave lots of time</x:v>
      </x:c>
    </x:row>
    <x:row r="11">
      <x:c r="A11" s="230"/>
      <x:c r="B11" s="230"/>
      <x:c r="C11" s="230"/>
      <x:c r="D11" s="230"/>
      <x:c r="E11" s="230"/>
      <x:c r="F11" s="230"/>
      <x:c r="G11" s="230"/>
      <x:c r="H11" s="230"/>
      <x:c r="I11" s="230"/>
      <x:c r="J11" s="230"/>
    </x:row>
    <x:row r="12">
      <x:c r="A12" s="230"/>
      <x:c r="B12" s="230"/>
      <x:c r="C12" s="230"/>
      <x:c r="D12" s="230"/>
      <x:c r="E12" s="230"/>
      <x:c r="F12" s="230"/>
      <x:c r="G12" s="230"/>
      <x:c r="H12" s="230"/>
      <x:c r="I12" s="230"/>
      <x:c r="J12" s="230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  <x:c r="J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  <x:c r="J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  <x:c r="J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  <x:c r="J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  <x:c r="J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  <x:c r="J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  <x:c r="J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  <x:c r="J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  <x:c r="J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  <x:c r="J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  <x:c r="J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  <x:c r="J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  <x:c r="J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  <x:c r="J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  <x:c r="J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  <x:c r="J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  <x:c r="J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  <x:c r="J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  <x:c r="J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  <x:c r="J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  <x:c r="J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  <x:c r="J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  <x:c r="J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  <x:c r="J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  <x:c r="J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  <x:c r="J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  <x:c r="J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  <x:c r="J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  <x:c r="J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  <x:c r="J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  <x:c r="J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  <x:c r="J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  <x:c r="J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  <x:c r="J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  <x:c r="J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  <x:c r="J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  <x:c r="J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  <x:c r="J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  <x:c r="J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  <x:c r="J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  <x:c r="J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  <x:c r="J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  <x:c r="J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  <x:c r="J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  <x:c r="J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  <x:c r="J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  <x:c r="J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  <x:c r="J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  <x:c r="J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  <x:c r="J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  <x:c r="J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  <x:c r="J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  <x:c r="J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  <x:c r="J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  <x:c r="J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  <x:c r="J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  <x:c r="J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  <x:c r="J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  <x:c r="J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  <x:c r="J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  <x:c r="J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  <x:c r="J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  <x:c r="J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  <x:c r="J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  <x:c r="J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  <x:c r="J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  <x:c r="J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  <x:c r="J80" s="230" t="n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24" style="146" customWidth="1"/>
    <x:col min="4" max="4" width="28" style="146" customWidth="1"/>
    <x:col min="5" max="5" width="16" style="146" customWidth="1"/>
    <x:col min="6" max="6" width="12" style="146" customWidth="1"/>
    <x:col min="7" max="7" width="40" style="146" customWidth="1"/>
    <x:col min="8" max="8" width="16" style="146" customWidth="1"/>
  </x:cols>
  <x:sheetData>
    <x:row r="1">
      <x:c r="A1" s="233" t="inlineStr">
        <x:is>
          <x:t xml:space="preserve">📷 Daily Photo Journal</x:t>
        </x:is>
      </x:c>
      <x:c r="B1" s="233" t="n"/>
      <x:c r="C1" s="233" t="n"/>
      <x:c r="D1" s="233" t="n"/>
      <x:c r="E1" s="233" t="n"/>
      <x:c r="F1" s="233" t="n"/>
      <x:c r="G1" s="233" t="n"/>
      <x:c r="H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</x:row>
    <x:row r="4">
      <x:c r="A4" s="236" t="inlineStr">
        <x:is>
          <x:t xml:space="preserve">Date</x:t>
        </x:is>
      </x:c>
      <x:c r="B4" s="236" t="inlineStr">
        <x:is>
          <x:t xml:space="preserve">City</x:t>
        </x:is>
      </x:c>
      <x:c r="C4" s="236" t="inlineStr">
        <x:is>
          <x:t xml:space="preserve">Favorite Meal</x:t>
        </x:is>
      </x:c>
      <x:c r="D4" s="236" t="inlineStr">
        <x:is>
          <x:t xml:space="preserve">Best Moment</x:t>
        </x:is>
      </x:c>
      <x:c r="E4" s="236" t="inlineStr">
        <x:is>
          <x:t xml:space="preserve">Photos Taken?</x:t>
        </x:is>
      </x:c>
      <x:c r="F4" s="236" t="inlineStr">
        <x:is>
          <x:t xml:space="preserve">Rating</x:t>
        </x:is>
      </x:c>
      <x:c r="G4" s="236" t="inlineStr">
        <x:is>
          <x:t xml:space="preserve">Notes</x:t>
        </x:is>
      </x:c>
      <x:c r="H4" s="236" t="inlineStr">
        <x:is>
          <x:t xml:space="preserve">Export Include?</x:t>
        </x:is>
      </x:c>
    </x:row>
    <x:row r="5">
      <x:c r="A5" s="380" t="n">
        <x:v>46322</x:v>
      </x:c>
      <x:c r="B5" s="237" t="str">
        <x:v>Tokyo</x:v>
      </x:c>
      <x:c r="C5" s="237"/>
      <x:c r="D5" s="237"/>
      <x:c r="E5" s="237" t="str">
        <x:v>☐</x:v>
      </x:c>
      <x:c r="F5" s="237"/>
      <x:c r="G5" s="237"/>
      <x:c r="H5" s="237" t="str">
        <x:v>☑</x:v>
      </x:c>
    </x:row>
    <x:row r="6">
      <x:c r="A6" s="380" t="n">
        <x:v>46323</x:v>
      </x:c>
      <x:c r="B6" s="237" t="str">
        <x:v>Tokyo</x:v>
      </x:c>
      <x:c r="C6" s="237"/>
      <x:c r="D6" s="237"/>
      <x:c r="E6" s="237" t="str">
        <x:v>☐</x:v>
      </x:c>
      <x:c r="F6" s="237"/>
      <x:c r="G6" s="237"/>
      <x:c r="H6" s="237" t="str">
        <x:v>☑</x:v>
      </x:c>
    </x:row>
    <x:row r="7">
      <x:c r="A7" s="380" t="n">
        <x:v>46324</x:v>
      </x:c>
      <x:c r="B7" s="237" t="str">
        <x:v>Tokyo</x:v>
      </x:c>
      <x:c r="C7" s="237"/>
      <x:c r="D7" s="237"/>
      <x:c r="E7" s="237" t="str">
        <x:v>☐</x:v>
      </x:c>
      <x:c r="F7" s="237"/>
      <x:c r="G7" s="237"/>
      <x:c r="H7" s="237" t="str">
        <x:v>☑</x:v>
      </x:c>
    </x:row>
    <x:row r="8">
      <x:c r="A8" s="380" t="n">
        <x:v>46325</x:v>
      </x:c>
      <x:c r="B8" s="237" t="str">
        <x:v>Tokyo</x:v>
      </x:c>
      <x:c r="C8" s="237"/>
      <x:c r="D8" s="237"/>
      <x:c r="E8" s="237" t="str">
        <x:v>☐</x:v>
      </x:c>
      <x:c r="F8" s="237"/>
      <x:c r="G8" s="237"/>
      <x:c r="H8" s="237" t="str">
        <x:v>☑</x:v>
      </x:c>
    </x:row>
    <x:row r="9">
      <x:c r="A9" s="380" t="n">
        <x:v>46326</x:v>
      </x:c>
      <x:c r="B9" s="237" t="str">
        <x:v>Tokyo</x:v>
      </x:c>
      <x:c r="C9" s="237"/>
      <x:c r="D9" s="237"/>
      <x:c r="E9" s="237" t="str">
        <x:v>☐</x:v>
      </x:c>
      <x:c r="F9" s="237"/>
      <x:c r="G9" s="237"/>
      <x:c r="H9" s="237" t="str">
        <x:v>☑</x:v>
      </x:c>
    </x:row>
    <x:row r="10">
      <x:c r="A10" s="380" t="n">
        <x:v>46327</x:v>
      </x:c>
      <x:c r="B10" s="237" t="str">
        <x:v>Tokyo</x:v>
      </x:c>
      <x:c r="C10" s="237"/>
      <x:c r="D10" s="237"/>
      <x:c r="E10" s="237" t="str">
        <x:v>☐</x:v>
      </x:c>
      <x:c r="F10" s="237"/>
      <x:c r="G10" s="237"/>
      <x:c r="H10" s="237" t="str">
        <x:v>☑</x:v>
      </x:c>
    </x:row>
    <x:row r="11">
      <x:c r="A11" s="380" t="n">
        <x:v>46328</x:v>
      </x:c>
      <x:c r="B11" s="237" t="str">
        <x:v>Hakone</x:v>
      </x:c>
      <x:c r="C11" s="237"/>
      <x:c r="D11" s="237"/>
      <x:c r="E11" s="237" t="str">
        <x:v>☐</x:v>
      </x:c>
      <x:c r="F11" s="237"/>
      <x:c r="G11" s="237"/>
      <x:c r="H11" s="237" t="str">
        <x:v>☑</x:v>
      </x:c>
    </x:row>
    <x:row r="12">
      <x:c r="A12" s="380" t="n">
        <x:v>46329</x:v>
      </x:c>
      <x:c r="B12" s="237" t="str">
        <x:v>Kyoto</x:v>
      </x:c>
      <x:c r="C12" s="237"/>
      <x:c r="D12" s="237"/>
      <x:c r="E12" s="237" t="str">
        <x:v>☐</x:v>
      </x:c>
      <x:c r="F12" s="237"/>
      <x:c r="G12" s="237"/>
      <x:c r="H12" s="237" t="str">
        <x:v>☑</x:v>
      </x:c>
    </x:row>
    <x:row r="13">
      <x:c r="A13" s="380" t="n">
        <x:v>46330</x:v>
      </x:c>
      <x:c r="B13" s="237" t="str">
        <x:v>Kyoto</x:v>
      </x:c>
      <x:c r="C13" s="237"/>
      <x:c r="D13" s="237"/>
      <x:c r="E13" s="237" t="str">
        <x:v>☐</x:v>
      </x:c>
      <x:c r="F13" s="237"/>
      <x:c r="G13" s="237"/>
      <x:c r="H13" s="237" t="str">
        <x:v>☑</x:v>
      </x:c>
    </x:row>
    <x:row r="14">
      <x:c r="A14" s="380" t="n">
        <x:v>46331</x:v>
      </x:c>
      <x:c r="B14" s="237" t="str">
        <x:v>Kyoto</x:v>
      </x:c>
      <x:c r="C14" s="237"/>
      <x:c r="D14" s="237"/>
      <x:c r="E14" s="237" t="str">
        <x:v>☐</x:v>
      </x:c>
      <x:c r="F14" s="237"/>
      <x:c r="G14" s="237"/>
      <x:c r="H14" s="237" t="str">
        <x:v>☑</x:v>
      </x:c>
    </x:row>
    <x:row r="15">
      <x:c r="A15" s="380" t="n">
        <x:v>46332</x:v>
      </x:c>
      <x:c r="B15" s="237" t="str">
        <x:v>Osaka</x:v>
      </x:c>
      <x:c r="C15" s="237"/>
      <x:c r="D15" s="237"/>
      <x:c r="E15" s="237" t="str">
        <x:v>☐</x:v>
      </x:c>
      <x:c r="F15" s="237"/>
      <x:c r="G15" s="237"/>
      <x:c r="H15" s="237" t="str">
        <x:v>☑</x:v>
      </x:c>
    </x:row>
    <x:row r="16">
      <x:c r="A16" s="380" t="n">
        <x:v>46333</x:v>
      </x:c>
      <x:c r="B16" s="237" t="str">
        <x:v>Osaka</x:v>
      </x:c>
      <x:c r="C16" s="237"/>
      <x:c r="D16" s="237"/>
      <x:c r="E16" s="237" t="str">
        <x:v>☐</x:v>
      </x:c>
      <x:c r="F16" s="237"/>
      <x:c r="G16" s="237"/>
      <x:c r="H16" s="237" t="str">
        <x:v>☑</x:v>
      </x:c>
    </x:row>
    <x:row r="17">
      <x:c r="A17" s="380" t="n">
        <x:v>46334</x:v>
      </x:c>
      <x:c r="B17" s="237" t="str">
        <x:v>Tokyo</x:v>
      </x:c>
      <x:c r="C17" s="237"/>
      <x:c r="D17" s="237"/>
      <x:c r="E17" s="237" t="str">
        <x:v>☐</x:v>
      </x:c>
      <x:c r="F17" s="237"/>
      <x:c r="G17" s="237"/>
      <x:c r="H17" s="237" t="str">
        <x:v>☑</x:v>
      </x:c>
    </x:row>
    <x:row r="18">
      <x:c r="A18" s="380" t="n">
        <x:v>46335</x:v>
      </x:c>
      <x:c r="B18" s="237" t="str">
        <x:v>Tokyo</x:v>
      </x:c>
      <x:c r="C18" s="237"/>
      <x:c r="D18" s="237"/>
      <x:c r="E18" s="237" t="str">
        <x:v>☐</x:v>
      </x:c>
      <x:c r="F18" s="237"/>
      <x:c r="G18" s="237"/>
      <x:c r="H18" s="237" t="str">
        <x:v>☑</x:v>
      </x:c>
    </x:row>
    <x:row r="19">
      <x:c r="A19" s="380" t="n">
        <x:v>46336</x:v>
      </x:c>
      <x:c r="B19" s="237" t="str">
        <x:v>Tokyo</x:v>
      </x:c>
      <x:c r="C19" s="237"/>
      <x:c r="D19" s="237"/>
      <x:c r="E19" s="237" t="str">
        <x:v>☐</x:v>
      </x:c>
      <x:c r="F19" s="237"/>
      <x:c r="G19" s="237"/>
      <x:c r="H19" s="237" t="str">
        <x:v>☑</x:v>
      </x:c>
    </x:row>
    <x:row r="20">
      <x:c r="A20" s="272"/>
      <x:c r="B20" s="230"/>
      <x:c r="C20" s="230"/>
      <x:c r="D20" s="230"/>
      <x:c r="E20" s="230"/>
      <x:c r="F20" s="230"/>
      <x:c r="G20" s="230"/>
      <x:c r="H20" s="230"/>
    </x:row>
    <x:row r="21">
      <x:c r="A21" s="272"/>
      <x:c r="B21" s="230"/>
      <x:c r="C21" s="230"/>
      <x:c r="D21" s="230"/>
      <x:c r="E21" s="230"/>
      <x:c r="F21" s="230"/>
      <x:c r="G21" s="230"/>
      <x:c r="H21" s="230"/>
    </x:row>
    <x:row r="22">
      <x:c r="A22" s="272"/>
      <x:c r="B22" s="230"/>
      <x:c r="C22" s="230"/>
      <x:c r="D22" s="230"/>
      <x:c r="E22" s="230"/>
      <x:c r="F22" s="230"/>
      <x:c r="G22" s="230"/>
      <x:c r="H22" s="230"/>
    </x:row>
    <x:row r="23">
      <x:c r="A23" s="272"/>
      <x:c r="B23" s="230"/>
      <x:c r="C23" s="230"/>
      <x:c r="D23" s="230"/>
      <x:c r="E23" s="230"/>
      <x:c r="F23" s="230"/>
      <x:c r="G23" s="230"/>
      <x:c r="H23" s="230"/>
    </x:row>
    <x:row r="24">
      <x:c r="A24" s="272"/>
      <x:c r="B24" s="230"/>
      <x:c r="C24" s="230"/>
      <x:c r="D24" s="230"/>
      <x:c r="E24" s="230"/>
      <x:c r="F24" s="230"/>
      <x:c r="G24" s="230"/>
      <x:c r="H24" s="230"/>
    </x:row>
    <x:row r="25">
      <x:c r="A25" s="272"/>
      <x:c r="B25" s="230"/>
      <x:c r="C25" s="230"/>
      <x:c r="D25" s="230"/>
      <x:c r="E25" s="230"/>
      <x:c r="F25" s="230"/>
      <x:c r="G25" s="230"/>
      <x:c r="H25" s="230"/>
    </x:row>
    <x:row r="26">
      <x:c r="A26" s="272" t="n"/>
      <x:c r="B26" s="230" t="n"/>
      <x:c r="C26" s="230" t="n"/>
      <x:c r="D26" s="230" t="n"/>
      <x:c r="E26" s="230" t="n"/>
      <x:c r="F26" s="230" t="n"/>
      <x:c r="G26" s="230" t="n"/>
      <x:c r="H26" s="230" t="n"/>
    </x:row>
    <x:row r="27">
      <x:c r="A27" s="272" t="n"/>
      <x:c r="B27" s="230" t="n"/>
      <x:c r="C27" s="230" t="n"/>
      <x:c r="D27" s="230" t="n"/>
      <x:c r="E27" s="230" t="n"/>
      <x:c r="F27" s="230" t="n"/>
      <x:c r="G27" s="230" t="n"/>
      <x:c r="H27" s="230" t="n"/>
    </x:row>
    <x:row r="28">
      <x:c r="A28" s="272" t="n"/>
      <x:c r="B28" s="230" t="n"/>
      <x:c r="C28" s="230" t="n"/>
      <x:c r="D28" s="230" t="n"/>
      <x:c r="E28" s="230" t="n"/>
      <x:c r="F28" s="230" t="n"/>
      <x:c r="G28" s="230" t="n"/>
      <x:c r="H28" s="230" t="n"/>
    </x:row>
    <x:row r="29">
      <x:c r="A29" s="272" t="n"/>
      <x:c r="B29" s="230" t="n"/>
      <x:c r="C29" s="230" t="n"/>
      <x:c r="D29" s="230" t="n"/>
      <x:c r="E29" s="230" t="n"/>
      <x:c r="F29" s="230" t="n"/>
      <x:c r="G29" s="230" t="n"/>
      <x:c r="H29" s="230" t="n"/>
    </x:row>
    <x:row r="30">
      <x:c r="A30" s="272" t="n"/>
      <x:c r="B30" s="230" t="n"/>
      <x:c r="C30" s="230" t="n"/>
      <x:c r="D30" s="230" t="n"/>
      <x:c r="E30" s="230" t="n"/>
      <x:c r="F30" s="230" t="n"/>
      <x:c r="G30" s="230" t="n"/>
      <x:c r="H30" s="230" t="n"/>
    </x:row>
    <x:row r="31">
      <x:c r="A31" s="272" t="n"/>
      <x:c r="B31" s="230" t="n"/>
      <x:c r="C31" s="230" t="n"/>
      <x:c r="D31" s="230" t="n"/>
      <x:c r="E31" s="230" t="n"/>
      <x:c r="F31" s="230" t="n"/>
      <x:c r="G31" s="230" t="n"/>
      <x:c r="H31" s="230" t="n"/>
    </x:row>
    <x:row r="32">
      <x:c r="A32" s="272" t="n"/>
      <x:c r="B32" s="230" t="n"/>
      <x:c r="C32" s="230" t="n"/>
      <x:c r="D32" s="230" t="n"/>
      <x:c r="E32" s="230" t="n"/>
      <x:c r="F32" s="230" t="n"/>
      <x:c r="G32" s="230" t="n"/>
      <x:c r="H32" s="230" t="n"/>
    </x:row>
    <x:row r="33">
      <x:c r="A33" s="272" t="n"/>
      <x:c r="B33" s="230" t="n"/>
      <x:c r="C33" s="230" t="n"/>
      <x:c r="D33" s="230" t="n"/>
      <x:c r="E33" s="230" t="n"/>
      <x:c r="F33" s="230" t="n"/>
      <x:c r="G33" s="230" t="n"/>
      <x:c r="H33" s="230" t="n"/>
    </x:row>
    <x:row r="34">
      <x:c r="A34" s="272" t="n"/>
      <x:c r="B34" s="230" t="n"/>
      <x:c r="C34" s="230" t="n"/>
      <x:c r="D34" s="230" t="n"/>
      <x:c r="E34" s="230" t="n"/>
      <x:c r="F34" s="230" t="n"/>
      <x:c r="G34" s="230" t="n"/>
      <x:c r="H34" s="230" t="n"/>
    </x:row>
    <x:row r="35">
      <x:c r="A35" s="272" t="n"/>
      <x:c r="B35" s="230" t="n"/>
      <x:c r="C35" s="230" t="n"/>
      <x:c r="D35" s="230" t="n"/>
      <x:c r="E35" s="230" t="n"/>
      <x:c r="F35" s="230" t="n"/>
      <x:c r="G35" s="230" t="n"/>
      <x:c r="H35" s="230" t="n"/>
    </x:row>
    <x:row r="36">
      <x:c r="A36" s="272" t="n"/>
      <x:c r="B36" s="230" t="n"/>
      <x:c r="C36" s="230" t="n"/>
      <x:c r="D36" s="230" t="n"/>
      <x:c r="E36" s="230" t="n"/>
      <x:c r="F36" s="230" t="n"/>
      <x:c r="G36" s="230" t="n"/>
      <x:c r="H36" s="230" t="n"/>
    </x:row>
    <x:row r="37">
      <x:c r="A37" s="272" t="n"/>
      <x:c r="B37" s="230" t="n"/>
      <x:c r="C37" s="230" t="n"/>
      <x:c r="D37" s="230" t="n"/>
      <x:c r="E37" s="230" t="n"/>
      <x:c r="F37" s="230" t="n"/>
      <x:c r="G37" s="230" t="n"/>
      <x:c r="H37" s="230" t="n"/>
    </x:row>
    <x:row r="38">
      <x:c r="A38" s="272" t="n"/>
      <x:c r="B38" s="230" t="n"/>
      <x:c r="C38" s="230" t="n"/>
      <x:c r="D38" s="230" t="n"/>
      <x:c r="E38" s="230" t="n"/>
      <x:c r="F38" s="230" t="n"/>
      <x:c r="G38" s="230" t="n"/>
      <x:c r="H38" s="230" t="n"/>
    </x:row>
    <x:row r="39">
      <x:c r="A39" s="272" t="n"/>
      <x:c r="B39" s="230" t="n"/>
      <x:c r="C39" s="230" t="n"/>
      <x:c r="D39" s="230" t="n"/>
      <x:c r="E39" s="230" t="n"/>
      <x:c r="F39" s="230" t="n"/>
      <x:c r="G39" s="230" t="n"/>
      <x:c r="H39" s="230" t="n"/>
    </x:row>
    <x:row r="40">
      <x:c r="A40" s="272" t="n"/>
      <x:c r="B40" s="230" t="n"/>
      <x:c r="C40" s="230" t="n"/>
      <x:c r="D40" s="230" t="n"/>
      <x:c r="E40" s="230" t="n"/>
      <x:c r="F40" s="230" t="n"/>
      <x:c r="G40" s="230" t="n"/>
      <x:c r="H40" s="230" t="n"/>
    </x:row>
    <x:row r="41">
      <x:c r="A41" s="272" t="n"/>
      <x:c r="B41" s="230" t="n"/>
      <x:c r="C41" s="230" t="n"/>
      <x:c r="D41" s="230" t="n"/>
      <x:c r="E41" s="230" t="n"/>
      <x:c r="F41" s="230" t="n"/>
      <x:c r="G41" s="230" t="n"/>
      <x:c r="H41" s="230" t="n"/>
    </x:row>
    <x:row r="42">
      <x:c r="A42" s="272" t="n"/>
      <x:c r="B42" s="230" t="n"/>
      <x:c r="C42" s="230" t="n"/>
      <x:c r="D42" s="230" t="n"/>
      <x:c r="E42" s="230" t="n"/>
      <x:c r="F42" s="230" t="n"/>
      <x:c r="G42" s="230" t="n"/>
      <x:c r="H42" s="230" t="n"/>
    </x:row>
    <x:row r="43">
      <x:c r="A43" s="272" t="n"/>
      <x:c r="B43" s="230" t="n"/>
      <x:c r="C43" s="230" t="n"/>
      <x:c r="D43" s="230" t="n"/>
      <x:c r="E43" s="230" t="n"/>
      <x:c r="F43" s="230" t="n"/>
      <x:c r="G43" s="230" t="n"/>
      <x:c r="H43" s="230" t="n"/>
    </x:row>
    <x:row r="44">
      <x:c r="A44" s="272" t="n"/>
      <x:c r="B44" s="230" t="n"/>
      <x:c r="C44" s="230" t="n"/>
      <x:c r="D44" s="230" t="n"/>
      <x:c r="E44" s="230" t="n"/>
      <x:c r="F44" s="230" t="n"/>
      <x:c r="G44" s="230" t="n"/>
      <x:c r="H44" s="230" t="n"/>
    </x:row>
    <x:row r="45">
      <x:c r="A45" s="272" t="n"/>
      <x:c r="B45" s="230" t="n"/>
      <x:c r="C45" s="230" t="n"/>
      <x:c r="D45" s="230" t="n"/>
      <x:c r="E45" s="230" t="n"/>
      <x:c r="F45" s="230" t="n"/>
      <x:c r="G45" s="230" t="n"/>
      <x:c r="H45" s="230" t="n"/>
    </x:row>
    <x:row r="46">
      <x:c r="A46" s="272" t="n"/>
      <x:c r="B46" s="230" t="n"/>
      <x:c r="C46" s="230" t="n"/>
      <x:c r="D46" s="230" t="n"/>
      <x:c r="E46" s="230" t="n"/>
      <x:c r="F46" s="230" t="n"/>
      <x:c r="G46" s="230" t="n"/>
      <x:c r="H46" s="230" t="n"/>
    </x:row>
    <x:row r="47">
      <x:c r="A47" s="272" t="n"/>
      <x:c r="B47" s="230" t="n"/>
      <x:c r="C47" s="230" t="n"/>
      <x:c r="D47" s="230" t="n"/>
      <x:c r="E47" s="230" t="n"/>
      <x:c r="F47" s="230" t="n"/>
      <x:c r="G47" s="230" t="n"/>
      <x:c r="H47" s="230" t="n"/>
    </x:row>
    <x:row r="48">
      <x:c r="A48" s="272" t="n"/>
      <x:c r="B48" s="230" t="n"/>
      <x:c r="C48" s="230" t="n"/>
      <x:c r="D48" s="230" t="n"/>
      <x:c r="E48" s="230" t="n"/>
      <x:c r="F48" s="230" t="n"/>
      <x:c r="G48" s="230" t="n"/>
      <x:c r="H48" s="230" t="n"/>
    </x:row>
    <x:row r="49">
      <x:c r="A49" s="272" t="n"/>
      <x:c r="B49" s="230" t="n"/>
      <x:c r="C49" s="230" t="n"/>
      <x:c r="D49" s="230" t="n"/>
      <x:c r="E49" s="230" t="n"/>
      <x:c r="F49" s="230" t="n"/>
      <x:c r="G49" s="230" t="n"/>
      <x:c r="H49" s="230" t="n"/>
    </x:row>
    <x:row r="50">
      <x:c r="A50" s="272" t="n"/>
      <x:c r="B50" s="230" t="n"/>
      <x:c r="C50" s="230" t="n"/>
      <x:c r="D50" s="230" t="n"/>
      <x:c r="E50" s="230" t="n"/>
      <x:c r="F50" s="230" t="n"/>
      <x:c r="G50" s="230" t="n"/>
      <x:c r="H50" s="230" t="n"/>
    </x:row>
    <x:row r="51">
      <x:c r="A51" s="272" t="n"/>
      <x:c r="B51" s="230" t="n"/>
      <x:c r="C51" s="230" t="n"/>
      <x:c r="D51" s="230" t="n"/>
      <x:c r="E51" s="230" t="n"/>
      <x:c r="F51" s="230" t="n"/>
      <x:c r="G51" s="230" t="n"/>
      <x:c r="H51" s="230" t="n"/>
    </x:row>
    <x:row r="52">
      <x:c r="A52" s="272" t="n"/>
      <x:c r="B52" s="230" t="n"/>
      <x:c r="C52" s="230" t="n"/>
      <x:c r="D52" s="230" t="n"/>
      <x:c r="E52" s="230" t="n"/>
      <x:c r="F52" s="230" t="n"/>
      <x:c r="G52" s="230" t="n"/>
      <x:c r="H52" s="230" t="n"/>
    </x:row>
    <x:row r="53">
      <x:c r="A53" s="272" t="n"/>
      <x:c r="B53" s="230" t="n"/>
      <x:c r="C53" s="230" t="n"/>
      <x:c r="D53" s="230" t="n"/>
      <x:c r="E53" s="230" t="n"/>
      <x:c r="F53" s="230" t="n"/>
      <x:c r="G53" s="230" t="n"/>
      <x:c r="H53" s="230" t="n"/>
    </x:row>
    <x:row r="54">
      <x:c r="A54" s="272" t="n"/>
      <x:c r="B54" s="230" t="n"/>
      <x:c r="C54" s="230" t="n"/>
      <x:c r="D54" s="230" t="n"/>
      <x:c r="E54" s="230" t="n"/>
      <x:c r="F54" s="230" t="n"/>
      <x:c r="G54" s="230" t="n"/>
      <x:c r="H54" s="230" t="n"/>
    </x:row>
    <x:row r="55">
      <x:c r="A55" s="272" t="n"/>
      <x:c r="B55" s="230" t="n"/>
      <x:c r="C55" s="230" t="n"/>
      <x:c r="D55" s="230" t="n"/>
      <x:c r="E55" s="230" t="n"/>
      <x:c r="F55" s="230" t="n"/>
      <x:c r="G55" s="230" t="n"/>
      <x:c r="H55" s="230" t="n"/>
    </x:row>
    <x:row r="56">
      <x:c r="A56" s="272" t="n"/>
      <x:c r="B56" s="230" t="n"/>
      <x:c r="C56" s="230" t="n"/>
      <x:c r="D56" s="230" t="n"/>
      <x:c r="E56" s="230" t="n"/>
      <x:c r="F56" s="230" t="n"/>
      <x:c r="G56" s="230" t="n"/>
      <x:c r="H56" s="230" t="n"/>
    </x:row>
    <x:row r="57">
      <x:c r="A57" s="272" t="n"/>
      <x:c r="B57" s="230" t="n"/>
      <x:c r="C57" s="230" t="n"/>
      <x:c r="D57" s="230" t="n"/>
      <x:c r="E57" s="230" t="n"/>
      <x:c r="F57" s="230" t="n"/>
      <x:c r="G57" s="230" t="n"/>
      <x:c r="H57" s="230" t="n"/>
    </x:row>
    <x:row r="58">
      <x:c r="A58" s="272" t="n"/>
      <x:c r="B58" s="230" t="n"/>
      <x:c r="C58" s="230" t="n"/>
      <x:c r="D58" s="230" t="n"/>
      <x:c r="E58" s="230" t="n"/>
      <x:c r="F58" s="230" t="n"/>
      <x:c r="G58" s="230" t="n"/>
      <x:c r="H58" s="230" t="n"/>
    </x:row>
    <x:row r="59">
      <x:c r="A59" s="272" t="n"/>
      <x:c r="B59" s="230" t="n"/>
      <x:c r="C59" s="230" t="n"/>
      <x:c r="D59" s="230" t="n"/>
      <x:c r="E59" s="230" t="n"/>
      <x:c r="F59" s="230" t="n"/>
      <x:c r="G59" s="230" t="n"/>
      <x:c r="H59" s="230" t="n"/>
    </x:row>
    <x:row r="60">
      <x:c r="A60" s="272" t="n"/>
      <x:c r="B60" s="230" t="n"/>
      <x:c r="C60" s="230" t="n"/>
      <x:c r="D60" s="230" t="n"/>
      <x:c r="E60" s="230" t="n"/>
      <x:c r="F60" s="230" t="n"/>
      <x:c r="G60" s="230" t="n"/>
      <x:c r="H60" s="230" t="n"/>
    </x:row>
    <x:row r="61">
      <x:c r="A61" s="272" t="n"/>
      <x:c r="B61" s="230" t="n"/>
      <x:c r="C61" s="230" t="n"/>
      <x:c r="D61" s="230" t="n"/>
      <x:c r="E61" s="230" t="n"/>
      <x:c r="F61" s="230" t="n"/>
      <x:c r="G61" s="230" t="n"/>
      <x:c r="H61" s="230" t="n"/>
    </x:row>
    <x:row r="62">
      <x:c r="A62" s="272" t="n"/>
      <x:c r="B62" s="230" t="n"/>
      <x:c r="C62" s="230" t="n"/>
      <x:c r="D62" s="230" t="n"/>
      <x:c r="E62" s="230" t="n"/>
      <x:c r="F62" s="230" t="n"/>
      <x:c r="G62" s="230" t="n"/>
      <x:c r="H62" s="230" t="n"/>
    </x:row>
    <x:row r="63">
      <x:c r="A63" s="272" t="n"/>
      <x:c r="B63" s="230" t="n"/>
      <x:c r="C63" s="230" t="n"/>
      <x:c r="D63" s="230" t="n"/>
      <x:c r="E63" s="230" t="n"/>
      <x:c r="F63" s="230" t="n"/>
      <x:c r="G63" s="230" t="n"/>
      <x:c r="H63" s="230" t="n"/>
    </x:row>
    <x:row r="64">
      <x:c r="A64" s="272" t="n"/>
      <x:c r="B64" s="230" t="n"/>
      <x:c r="C64" s="230" t="n"/>
      <x:c r="D64" s="230" t="n"/>
      <x:c r="E64" s="230" t="n"/>
      <x:c r="F64" s="230" t="n"/>
      <x:c r="G64" s="230" t="n"/>
      <x:c r="H64" s="230" t="n"/>
    </x:row>
    <x:row r="65">
      <x:c r="A65" s="272" t="n"/>
      <x:c r="B65" s="230" t="n"/>
      <x:c r="C65" s="230" t="n"/>
      <x:c r="D65" s="230" t="n"/>
      <x:c r="E65" s="230" t="n"/>
      <x:c r="F65" s="230" t="n"/>
      <x:c r="G65" s="230" t="n"/>
      <x:c r="H65" s="230" t="n"/>
    </x:row>
    <x:row r="66">
      <x:c r="A66" s="272" t="n"/>
      <x:c r="B66" s="230" t="n"/>
      <x:c r="C66" s="230" t="n"/>
      <x:c r="D66" s="230" t="n"/>
      <x:c r="E66" s="230" t="n"/>
      <x:c r="F66" s="230" t="n"/>
      <x:c r="G66" s="230" t="n"/>
      <x:c r="H66" s="230" t="n"/>
    </x:row>
    <x:row r="67">
      <x:c r="A67" s="272" t="n"/>
      <x:c r="B67" s="230" t="n"/>
      <x:c r="C67" s="230" t="n"/>
      <x:c r="D67" s="230" t="n"/>
      <x:c r="E67" s="230" t="n"/>
      <x:c r="F67" s="230" t="n"/>
      <x:c r="G67" s="230" t="n"/>
      <x:c r="H67" s="230" t="n"/>
    </x:row>
    <x:row r="68">
      <x:c r="A68" s="272" t="n"/>
      <x:c r="B68" s="230" t="n"/>
      <x:c r="C68" s="230" t="n"/>
      <x:c r="D68" s="230" t="n"/>
      <x:c r="E68" s="230" t="n"/>
      <x:c r="F68" s="230" t="n"/>
      <x:c r="G68" s="230" t="n"/>
      <x:c r="H68" s="230" t="n"/>
    </x:row>
    <x:row r="69">
      <x:c r="A69" s="272" t="n"/>
      <x:c r="B69" s="230" t="n"/>
      <x:c r="C69" s="230" t="n"/>
      <x:c r="D69" s="230" t="n"/>
      <x:c r="E69" s="230" t="n"/>
      <x:c r="F69" s="230" t="n"/>
      <x:c r="G69" s="230" t="n"/>
      <x:c r="H69" s="230" t="n"/>
    </x:row>
    <x:row r="70">
      <x:c r="A70" s="272" t="n"/>
      <x:c r="B70" s="230" t="n"/>
      <x:c r="C70" s="230" t="n"/>
      <x:c r="D70" s="230" t="n"/>
      <x:c r="E70" s="230" t="n"/>
      <x:c r="F70" s="230" t="n"/>
      <x:c r="G70" s="230" t="n"/>
      <x:c r="H70" s="230" t="n"/>
    </x:row>
    <x:row r="71">
      <x:c r="A71" s="272" t="n"/>
      <x:c r="B71" s="230" t="n"/>
      <x:c r="C71" s="230" t="n"/>
      <x:c r="D71" s="230" t="n"/>
      <x:c r="E71" s="230" t="n"/>
      <x:c r="F71" s="230" t="n"/>
      <x:c r="G71" s="230" t="n"/>
      <x:c r="H71" s="230" t="n"/>
    </x:row>
    <x:row r="72">
      <x:c r="A72" s="272" t="n"/>
      <x:c r="B72" s="230" t="n"/>
      <x:c r="C72" s="230" t="n"/>
      <x:c r="D72" s="230" t="n"/>
      <x:c r="E72" s="230" t="n"/>
      <x:c r="F72" s="230" t="n"/>
      <x:c r="G72" s="230" t="n"/>
      <x:c r="H72" s="230" t="n"/>
    </x:row>
    <x:row r="73">
      <x:c r="A73" s="272" t="n"/>
      <x:c r="B73" s="230" t="n"/>
      <x:c r="C73" s="230" t="n"/>
      <x:c r="D73" s="230" t="n"/>
      <x:c r="E73" s="230" t="n"/>
      <x:c r="F73" s="230" t="n"/>
      <x:c r="G73" s="230" t="n"/>
      <x:c r="H73" s="230" t="n"/>
    </x:row>
    <x:row r="74">
      <x:c r="A74" s="272" t="n"/>
      <x:c r="B74" s="230" t="n"/>
      <x:c r="C74" s="230" t="n"/>
      <x:c r="D74" s="230" t="n"/>
      <x:c r="E74" s="230" t="n"/>
      <x:c r="F74" s="230" t="n"/>
      <x:c r="G74" s="230" t="n"/>
      <x:c r="H74" s="230" t="n"/>
    </x:row>
    <x:row r="75">
      <x:c r="A75" s="272" t="n"/>
      <x:c r="B75" s="230" t="n"/>
      <x:c r="C75" s="230" t="n"/>
      <x:c r="D75" s="230" t="n"/>
      <x:c r="E75" s="230" t="n"/>
      <x:c r="F75" s="230" t="n"/>
      <x:c r="G75" s="230" t="n"/>
      <x:c r="H75" s="230" t="n"/>
    </x:row>
    <x:row r="76">
      <x:c r="A76" s="272" t="n"/>
      <x:c r="B76" s="230" t="n"/>
      <x:c r="C76" s="230" t="n"/>
      <x:c r="D76" s="230" t="n"/>
      <x:c r="E76" s="230" t="n"/>
      <x:c r="F76" s="230" t="n"/>
      <x:c r="G76" s="230" t="n"/>
      <x:c r="H76" s="230" t="n"/>
    </x:row>
    <x:row r="77">
      <x:c r="A77" s="272" t="n"/>
      <x:c r="B77" s="230" t="n"/>
      <x:c r="C77" s="230" t="n"/>
      <x:c r="D77" s="230" t="n"/>
      <x:c r="E77" s="230" t="n"/>
      <x:c r="F77" s="230" t="n"/>
      <x:c r="G77" s="230" t="n"/>
      <x:c r="H77" s="230" t="n"/>
    </x:row>
    <x:row r="78">
      <x:c r="A78" s="272" t="n"/>
      <x:c r="B78" s="230" t="n"/>
      <x:c r="C78" s="230" t="n"/>
      <x:c r="D78" s="230" t="n"/>
      <x:c r="E78" s="230" t="n"/>
      <x:c r="F78" s="230" t="n"/>
      <x:c r="G78" s="230" t="n"/>
      <x:c r="H78" s="230" t="n"/>
    </x:row>
    <x:row r="79">
      <x:c r="A79" s="272" t="n"/>
      <x:c r="B79" s="230" t="n"/>
      <x:c r="C79" s="230" t="n"/>
      <x:c r="D79" s="230" t="n"/>
      <x:c r="E79" s="230" t="n"/>
      <x:c r="F79" s="230" t="n"/>
      <x:c r="G79" s="230" t="n"/>
      <x:c r="H79" s="230" t="n"/>
    </x:row>
    <x:row r="80">
      <x:c r="A80" s="272" t="n"/>
      <x:c r="B80" s="230" t="n"/>
      <x:c r="C80" s="230" t="n"/>
      <x:c r="D80" s="230" t="n"/>
      <x:c r="E80" s="230" t="n"/>
      <x:c r="F80" s="230" t="n"/>
      <x:c r="G80" s="230" t="n"/>
      <x:c r="H80" s="230" t="n"/>
    </x:row>
    <x:row r="81">
      <x:c r="A81" s="273" t="n"/>
    </x:row>
    <x:row r="82">
      <x:c r="A82" s="273" t="n"/>
    </x:row>
    <x:row r="83">
      <x:c r="A83" s="273" t="n"/>
    </x:row>
    <x:row r="84">
      <x:c r="A84" s="273" t="n"/>
    </x:row>
    <x:row r="85">
      <x:c r="A85" s="273" t="n"/>
    </x:row>
    <x:row r="86">
      <x:c r="A86" s="273" t="n"/>
    </x:row>
    <x:row r="87">
      <x:c r="A87" s="273" t="n"/>
    </x:row>
    <x:row r="88">
      <x:c r="A88" s="273" t="n"/>
    </x:row>
    <x:row r="89">
      <x:c r="A89" s="273" t="n"/>
    </x:row>
    <x:row r="90">
      <x:c r="A90" s="273" t="n"/>
    </x:row>
    <x:row r="91">
      <x:c r="A91" s="273" t="n"/>
    </x:row>
    <x:row r="92">
      <x:c r="A92" s="273" t="n"/>
    </x:row>
    <x:row r="93">
      <x:c r="A93" s="273" t="n"/>
    </x:row>
    <x:row r="94">
      <x:c r="A94" s="273" t="n"/>
    </x:row>
    <x:row r="95">
      <x:c r="A95" s="273" t="n"/>
    </x:row>
    <x:row r="96">
      <x:c r="A96" s="273" t="n"/>
    </x:row>
    <x:row r="97">
      <x:c r="A97" s="273" t="n"/>
    </x:row>
    <x:row r="98">
      <x:c r="A98" s="273" t="n"/>
    </x:row>
    <x:row r="99">
      <x:c r="A99" s="273" t="n"/>
    </x:row>
    <x:row r="100">
      <x:c r="A100" s="273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4" style="146" customWidth="1"/>
    <x:col min="3" max="3" width="34" style="146" customWidth="1"/>
    <x:col min="4" max="4" width="34" style="146" customWidth="1"/>
    <x:col min="5" max="5" width="24" style="146" customWidth="1"/>
    <x:col min="6" max="6" width="18" style="146" customWidth="1"/>
  </x:cols>
  <x:sheetData>
    <x:row r="1">
      <x:c r="A1" s="233" t="inlineStr">
        <x:is>
          <x:t xml:space="preserve">🎌 Etiquette Cards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Category</x:t>
        </x:is>
      </x:c>
      <x:c r="B4" s="236" t="inlineStr">
        <x:is>
          <x:t xml:space="preserve">Card Title</x:t>
        </x:is>
      </x:c>
      <x:c r="C4" s="236" t="inlineStr">
        <x:is>
          <x:t xml:space="preserve">Do</x:t>
        </x:is>
      </x:c>
      <x:c r="D4" s="236" t="inlineStr">
        <x:is>
          <x:t xml:space="preserve">Don't</x:t>
        </x:is>
      </x:c>
      <x:c r="E4" s="236" t="inlineStr">
        <x:is>
          <x:t xml:space="preserve">Simple Rule</x:t>
        </x:is>
      </x:c>
      <x:c r="F4" s="236" t="inlineStr">
        <x:is>
          <x:t xml:space="preserve">Source</x:t>
        </x:is>
      </x:c>
    </x:row>
    <x:row r="5">
      <x:c r="A5" s="237" t="inlineStr">
        <x:is>
          <x:t xml:space="preserve">Trains</x:t>
        </x:is>
      </x:c>
      <x:c r="B5" s="237" t="inlineStr">
        <x:is>
          <x:t xml:space="preserve">Quiet train mode</x:t>
        </x:is>
      </x:c>
      <x:c r="C5" s="237" t="inlineStr">
        <x:is>
          <x:t xml:space="preserve">Silence phone; keep voices low</x:t>
        </x:is>
      </x:c>
      <x:c r="D5" s="237" t="inlineStr">
        <x:is>
          <x:t xml:space="preserve">Talk loudly or take calls</x:t>
        </x:is>
      </x:c>
      <x:c r="E5" s="237" t="inlineStr">
        <x:is>
          <x:t xml:space="preserve">Train = quiet mode</x:t>
        </x:is>
      </x:c>
      <x:c r="F5" s="237" t="inlineStr">
        <x:is>
          <x:t xml:space="preserve">Japan Tips doc</x:t>
        </x:is>
      </x:c>
    </x:row>
    <x:row r="6">
      <x:c r="A6" s="237" t="inlineStr">
        <x:is>
          <x:t xml:space="preserve">Trains</x:t>
        </x:is>
      </x:c>
      <x:c r="B6" s="237" t="inlineStr">
        <x:is>
          <x:t xml:space="preserve">Crowded train bags</x:t>
        </x:is>
      </x:c>
      <x:c r="C6" s="237" t="inlineStr">
        <x:is>
          <x:t xml:space="preserve">Carry backpack/purse in front</x:t>
        </x:is>
      </x:c>
      <x:c r="D6" s="237" t="inlineStr">
        <x:is>
          <x:t xml:space="preserve">Hit people behind you with bag</x:t>
        </x:is>
      </x:c>
      <x:c r="E6" s="237" t="inlineStr">
        <x:is>
          <x:t xml:space="preserve">Bag in front</x:t>
        </x:is>
      </x:c>
      <x:c r="F6" s="237" t="inlineStr">
        <x:is>
          <x:t xml:space="preserve">Japan Tips doc</x:t>
        </x:is>
      </x:c>
    </x:row>
    <x:row r="7">
      <x:c r="A7" s="237" t="inlineStr">
        <x:is>
          <x:t xml:space="preserve">Stores</x:t>
        </x:is>
      </x:c>
      <x:c r="B7" s="237" t="inlineStr">
        <x:is>
          <x:t xml:space="preserve">Money tray</x:t>
        </x:is>
      </x:c>
      <x:c r="C7" s="237" t="inlineStr">
        <x:is>
          <x:t xml:space="preserve">Use the cash tray if provided</x:t>
        </x:is>
      </x:c>
      <x:c r="D7" s="237" t="inlineStr">
        <x:is>
          <x:t xml:space="preserve">Force cash into hands</x:t>
        </x:is>
      </x:c>
      <x:c r="E7" s="237" t="inlineStr">
        <x:is>
          <x:t xml:space="preserve">Use the tray</x:t>
        </x:is>
      </x:c>
      <x:c r="F7" s="237" t="inlineStr">
        <x:is>
          <x:t xml:space="preserve">Japan Tips doc</x:t>
        </x:is>
      </x:c>
    </x:row>
    <x:row r="8">
      <x:c r="A8" s="237" t="inlineStr">
        <x:is>
          <x:t xml:space="preserve">Food</x:t>
        </x:is>
      </x:c>
      <x:c r="B8" s="237" t="inlineStr">
        <x:is>
          <x:t xml:space="preserve">Eating outside</x:t>
        </x:is>
      </x:c>
      <x:c r="C8" s="237" t="inlineStr">
        <x:is>
          <x:t xml:space="preserve">Eat where purchased, seated, or at hotel</x:t>
        </x:is>
      </x:c>
      <x:c r="D8" s="237" t="inlineStr">
        <x:is>
          <x:t xml:space="preserve">Walk while eating/drinking</x:t>
        </x:is>
      </x:c>
      <x:c r="E8" s="237" t="inlineStr">
        <x:is>
          <x:t xml:space="preserve">Don’t walk and eat</x:t>
        </x:is>
      </x:c>
      <x:c r="F8" s="237" t="inlineStr">
        <x:is>
          <x:t xml:space="preserve">Japan Tips doc</x:t>
        </x:is>
      </x:c>
    </x:row>
    <x:row r="9">
      <x:c r="A9" s="237" t="inlineStr">
        <x:is>
          <x:t xml:space="preserve">Trash</x:t>
        </x:is>
      </x:c>
      <x:c r="B9" s="237" t="inlineStr">
        <x:is>
          <x:t xml:space="preserve">Carry trash</x:t>
        </x:is>
      </x:c>
      <x:c r="C9" s="237" t="inlineStr">
        <x:is>
          <x:t xml:space="preserve">Keep a small trash bag</x:t>
        </x:is>
      </x:c>
      <x:c r="D9" s="237" t="inlineStr">
        <x:is>
          <x:t xml:space="preserve">Expect public trash cans everywhere</x:t>
        </x:is>
      </x:c>
      <x:c r="E9" s="237" t="inlineStr">
        <x:is>
          <x:t xml:space="preserve">Carry trash until bin</x:t>
        </x:is>
      </x:c>
      <x:c r="F9" s="237" t="inlineStr">
        <x:is>
          <x:t xml:space="preserve">Japan Tips doc</x:t>
        </x:is>
      </x:c>
    </x:row>
    <x:row r="10">
      <x:c r="A10" s="237" t="inlineStr">
        <x:is>
          <x:t xml:space="preserve">Escalators</x:t>
        </x:is>
      </x:c>
      <x:c r="B10" s="237" t="inlineStr">
        <x:is>
          <x:t xml:space="preserve">Stand side</x:t>
        </x:is>
      </x:c>
      <x:c r="C10" s="237" t="inlineStr">
        <x:is>
          <x:t xml:space="preserve">Stand left, walk right in many areas</x:t>
        </x:is>
      </x:c>
      <x:c r="D10" s="237" t="inlineStr">
        <x:is>
          <x:t xml:space="preserve">Block both sides</x:t>
        </x:is>
      </x:c>
      <x:c r="E10" s="237" t="inlineStr">
        <x:is>
          <x:t xml:space="preserve">Watch locals</x:t>
        </x:is>
      </x:c>
      <x:c r="F10" s="237" t="inlineStr">
        <x:is>
          <x:t xml:space="preserve">Japan Tips doc</x:t>
        </x:is>
      </x:c>
    </x:row>
    <x:row r="11">
      <x:c r="A11" s="237" t="inlineStr">
        <x:is>
          <x:t xml:space="preserve">Restaurants</x:t>
        </x:is>
      </x:c>
      <x:c r="B11" s="237" t="inlineStr">
        <x:is>
          <x:t xml:space="preserve">Chopsticks</x:t>
        </x:is>
      </x:c>
      <x:c r="C11" s="237" t="inlineStr">
        <x:is>
          <x:t xml:space="preserve">Use rest/wrapper</x:t>
        </x:is>
      </x:c>
      <x:c r="D11" s="237" t="inlineStr">
        <x:is>
          <x:t xml:space="preserve">Stick chopsticks upright in rice</x:t>
        </x:is>
      </x:c>
      <x:c r="E11" s="237" t="inlineStr">
        <x:is>
          <x:t xml:space="preserve">No upright chopsticks</x:t>
        </x:is>
      </x:c>
      <x:c r="F11" s="237" t="inlineStr">
        <x:is>
          <x:t xml:space="preserve">Japan Tips doc</x:t>
        </x:is>
      </x:c>
    </x:row>
    <x:row r="12">
      <x:c r="A12" s="230" t="n"/>
      <x:c r="B12" s="230" t="n"/>
      <x:c r="C12" s="230" t="n"/>
      <x:c r="D12" s="230" t="n"/>
      <x:c r="E12" s="230" t="n"/>
      <x:c r="F12" s="230" t="n"/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4" style="146" customWidth="1"/>
    <x:col min="2" max="2" width="18" style="146" customWidth="1"/>
    <x:col min="3" max="3" width="16" style="146" customWidth="1"/>
    <x:col min="4" max="4" width="18" style="146" customWidth="1"/>
    <x:col min="5" max="5" width="10" style="146" customWidth="1"/>
    <x:col min="6" max="6" width="10" style="146" customWidth="1"/>
    <x:col min="7" max="7" width="36" style="146" customWidth="1"/>
  </x:cols>
  <x:sheetData>
    <x:row r="1">
      <x:c r="A1" s="233" t="inlineStr">
        <x:is>
          <x:t xml:space="preserve">🍱 Food Challenge</x:t>
        </x:is>
      </x:c>
      <x:c r="B1" s="233" t="n"/>
      <x:c r="C1" s="233" t="n"/>
      <x:c r="D1" s="233" t="n"/>
      <x:c r="E1" s="233" t="n"/>
      <x:c r="F1" s="233" t="n"/>
      <x:c r="G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</x:row>
    <x:row r="4">
      <x:c r="A4" s="236" t="inlineStr">
        <x:is>
          <x:t xml:space="preserve">Food</x:t>
        </x:is>
      </x:c>
      <x:c r="B4" s="236" t="inlineStr">
        <x:is>
          <x:t xml:space="preserve">City/Area</x:t>
        </x:is>
      </x:c>
      <x:c r="C4" s="236" t="inlineStr">
        <x:is>
          <x:t xml:space="preserve">Category</x:t>
        </x:is>
      </x:c>
      <x:c r="D4" s="236" t="inlineStr">
        <x:is>
          <x:t xml:space="preserve">Who Wants It</x:t>
        </x:is>
      </x:c>
      <x:c r="E4" s="236" t="inlineStr">
        <x:is>
          <x:t xml:space="preserve">Tried?</x:t>
        </x:is>
      </x:c>
      <x:c r="F4" s="236" t="inlineStr">
        <x:is>
          <x:t xml:space="preserve">Rating</x:t>
        </x:is>
      </x:c>
      <x:c r="G4" s="236" t="inlineStr">
        <x:is>
          <x:t xml:space="preserve">Notes</x:t>
        </x:is>
      </x:c>
    </x:row>
    <x:row r="5">
      <x:c r="A5" s="237" t="inlineStr">
        <x:is>
          <x:t xml:space="preserve">Konbini egg sandwich</x:t>
        </x:is>
      </x:c>
      <x:c r="B5" s="237" t="inlineStr">
        <x:is>
          <x:t xml:space="preserve">Any</x:t>
        </x:is>
      </x:c>
      <x:c r="C5" s="237" t="inlineStr">
        <x:is>
          <x:t xml:space="preserve">Konbini</x:t>
        </x:is>
      </x:c>
      <x:c r="D5" s="237" t="inlineStr">
        <x:is>
          <x:t xml:space="preserve">All</x:t>
        </x:is>
      </x:c>
      <x:c r="E5" s="237" t="inlineStr">
        <x:is>
          <x:t xml:space="preserve">☐</x:t>
        </x:is>
      </x:c>
      <x:c r="F5" s="237" t="str"/>
      <x:c r="G5" s="237" t="inlineStr">
        <x:is>
          <x:t xml:space="preserve">Easy breakfast</x:t>
        </x:is>
      </x:c>
    </x:row>
    <x:row r="6">
      <x:c r="A6" s="237" t="inlineStr">
        <x:is>
          <x:t xml:space="preserve">Onigiri</x:t>
        </x:is>
      </x:c>
      <x:c r="B6" s="237" t="inlineStr">
        <x:is>
          <x:t xml:space="preserve">Any</x:t>
        </x:is>
      </x:c>
      <x:c r="C6" s="237" t="inlineStr">
        <x:is>
          <x:t xml:space="preserve">Konbini</x:t>
        </x:is>
      </x:c>
      <x:c r="D6" s="237" t="inlineStr">
        <x:is>
          <x:t xml:space="preserve">All</x:t>
        </x:is>
      </x:c>
      <x:c r="E6" s="237" t="inlineStr">
        <x:is>
          <x:t xml:space="preserve">☐</x:t>
        </x:is>
      </x:c>
      <x:c r="F6" s="237" t="str"/>
      <x:c r="G6" s="237" t="inlineStr">
        <x:is>
          <x:t xml:space="preserve">Try tuna mayo/salmon</x:t>
        </x:is>
      </x:c>
    </x:row>
    <x:row r="7">
      <x:c r="A7" s="237" t="inlineStr">
        <x:is>
          <x:t xml:space="preserve">Famichiki / karaage</x:t>
        </x:is>
      </x:c>
      <x:c r="B7" s="237" t="inlineStr">
        <x:is>
          <x:t xml:space="preserve">Any</x:t>
        </x:is>
      </x:c>
      <x:c r="C7" s="237" t="inlineStr">
        <x:is>
          <x:t xml:space="preserve">Konbini</x:t>
        </x:is>
      </x:c>
      <x:c r="D7" s="237" t="inlineStr">
        <x:is>
          <x:t xml:space="preserve">All</x:t>
        </x:is>
      </x:c>
      <x:c r="E7" s="237" t="inlineStr">
        <x:is>
          <x:t xml:space="preserve">☐</x:t>
        </x:is>
      </x:c>
      <x:c r="F7" s="237" t="str"/>
      <x:c r="G7" s="237" t="inlineStr">
        <x:is>
          <x:t xml:space="preserve">FamilyMart/Lawson style snack</x:t>
        </x:is>
      </x:c>
    </x:row>
    <x:row r="8">
      <x:c r="A8" s="237" t="inlineStr">
        <x:is>
          <x:t xml:space="preserve">Gyukatsu</x:t>
        </x:is>
      </x:c>
      <x:c r="B8" s="237" t="inlineStr">
        <x:is>
          <x:t xml:space="preserve">Tokyo</x:t>
        </x:is>
      </x:c>
      <x:c r="C8" s="237" t="inlineStr">
        <x:is>
          <x:t xml:space="preserve">Restaurant</x:t>
        </x:is>
      </x:c>
      <x:c r="D8" s="237" t="inlineStr">
        <x:is>
          <x:t xml:space="preserve">David/Nick</x:t>
        </x:is>
      </x:c>
      <x:c r="E8" s="237" t="inlineStr">
        <x:is>
          <x:t xml:space="preserve">☐</x:t>
        </x:is>
      </x:c>
      <x:c r="F8" s="237" t="str"/>
      <x:c r="G8" s="237" t="inlineStr">
        <x:is>
          <x:t xml:space="preserve">Gyukatsu Motomura</x:t>
        </x:is>
      </x:c>
    </x:row>
    <x:row r="9">
      <x:c r="A9" s="237" t="inlineStr">
        <x:is>
          <x:t xml:space="preserve">Shabu-shabu</x:t>
        </x:is>
      </x:c>
      <x:c r="B9" s="237" t="inlineStr">
        <x:is>
          <x:t xml:space="preserve">Tokyo</x:t>
        </x:is>
      </x:c>
      <x:c r="C9" s="237" t="inlineStr">
        <x:is>
          <x:t xml:space="preserve">Restaurant</x:t>
        </x:is>
      </x:c>
      <x:c r="D9" s="237" t="inlineStr">
        <x:is>
          <x:t xml:space="preserve">All</x:t>
        </x:is>
      </x:c>
      <x:c r="E9" s="237" t="inlineStr">
        <x:is>
          <x:t xml:space="preserve">☐</x:t>
        </x:is>
      </x:c>
      <x:c r="F9" s="237" t="str"/>
      <x:c r="G9" s="237" t="inlineStr">
        <x:is>
          <x:t xml:space="preserve">Mo-Mo-Paradise option</x:t>
        </x:is>
      </x:c>
    </x:row>
    <x:row r="10">
      <x:c r="A10" s="237" t="inlineStr">
        <x:is>
          <x:t xml:space="preserve">Tonkatsu</x:t>
        </x:is>
      </x:c>
      <x:c r="B10" s="237" t="inlineStr">
        <x:is>
          <x:t xml:space="preserve">Kyoto</x:t>
        </x:is>
      </x:c>
      <x:c r="C10" s="237" t="inlineStr">
        <x:is>
          <x:t xml:space="preserve">Restaurant</x:t>
        </x:is>
      </x:c>
      <x:c r="D10" s="237" t="inlineStr">
        <x:is>
          <x:t xml:space="preserve">All</x:t>
        </x:is>
      </x:c>
      <x:c r="E10" s="237" t="inlineStr">
        <x:is>
          <x:t xml:space="preserve">☐</x:t>
        </x:is>
      </x:c>
      <x:c r="F10" s="237" t="str"/>
      <x:c r="G10" s="237" t="inlineStr">
        <x:is>
          <x:t xml:space="preserve">Katsukura Shijo Teramachi</x:t>
        </x:is>
      </x:c>
    </x:row>
    <x:row r="11">
      <x:c r="A11" s="237" t="inlineStr">
        <x:is>
          <x:t xml:space="preserve">Wagyu burger</x:t>
        </x:is>
      </x:c>
      <x:c r="B11" s="237" t="inlineStr">
        <x:is>
          <x:t xml:space="preserve">Tokyo</x:t>
        </x:is>
      </x:c>
      <x:c r="C11" s="237" t="inlineStr">
        <x:is>
          <x:t xml:space="preserve">Restaurant</x:t>
        </x:is>
      </x:c>
      <x:c r="D11" s="237" t="inlineStr">
        <x:is>
          <x:t xml:space="preserve">All</x:t>
        </x:is>
      </x:c>
      <x:c r="E11" s="237" t="inlineStr">
        <x:is>
          <x:t xml:space="preserve">☐</x:t>
        </x:is>
      </x:c>
      <x:c r="F11" s="237" t="str"/>
      <x:c r="G11" s="237" t="inlineStr">
        <x:is>
          <x:t xml:space="preserve">Wagyu to Worldwide</x:t>
        </x:is>
      </x:c>
    </x:row>
    <x:row r="12">
      <x:c r="A12" s="237" t="inlineStr">
        <x:is>
          <x:t xml:space="preserve">Matcha dessert</x:t>
        </x:is>
      </x:c>
      <x:c r="B12" s="237" t="inlineStr">
        <x:is>
          <x:t xml:space="preserve">Kyoto</x:t>
        </x:is>
      </x:c>
      <x:c r="C12" s="237" t="inlineStr">
        <x:is>
          <x:t xml:space="preserve">Dessert</x:t>
        </x:is>
      </x:c>
      <x:c r="D12" s="237" t="inlineStr">
        <x:is>
          <x:t xml:space="preserve">All</x:t>
        </x:is>
      </x:c>
      <x:c r="E12" s="237" t="inlineStr">
        <x:is>
          <x:t xml:space="preserve">☐</x:t>
        </x:is>
      </x:c>
      <x:c r="F12" s="237" t="str"/>
      <x:c r="G12" s="237" t="inlineStr">
        <x:is>
          <x:t xml:space="preserve">Kyoto</x:t>
        </x:is>
      </x:c>
    </x:row>
    <x:row r="13">
      <x:c r="A13" s="237" t="inlineStr">
        <x:is>
          <x:t xml:space="preserve">Taiyaki</x:t>
        </x:is>
      </x:c>
      <x:c r="B13" s="237" t="inlineStr">
        <x:is>
          <x:t xml:space="preserve">Tokyo/Kyoto</x:t>
        </x:is>
      </x:c>
      <x:c r="C13" s="237" t="inlineStr">
        <x:is>
          <x:t xml:space="preserve">Snack</x:t>
        </x:is>
      </x:c>
      <x:c r="D13" s="237" t="inlineStr">
        <x:is>
          <x:t xml:space="preserve">All</x:t>
        </x:is>
      </x:c>
      <x:c r="E13" s="237" t="inlineStr">
        <x:is>
          <x:t xml:space="preserve">☐</x:t>
        </x:is>
      </x:c>
      <x:c r="F13" s="237" t="str"/>
      <x:c r="G13" s="237" t="str"/>
    </x:row>
    <x:row r="14">
      <x:c r="A14" s="237" t="inlineStr">
        <x:is>
          <x:t xml:space="preserve">Melonpan</x:t>
        </x:is>
      </x:c>
      <x:c r="B14" s="237" t="inlineStr">
        <x:is>
          <x:t xml:space="preserve">Any</x:t>
        </x:is>
      </x:c>
      <x:c r="C14" s="237" t="inlineStr">
        <x:is>
          <x:t xml:space="preserve">Bakery/snack</x:t>
        </x:is>
      </x:c>
      <x:c r="D14" s="237" t="inlineStr">
        <x:is>
          <x:t xml:space="preserve">All</x:t>
        </x:is>
      </x:c>
      <x:c r="E14" s="237" t="inlineStr">
        <x:is>
          <x:t xml:space="preserve">☐</x:t>
        </x:is>
      </x:c>
      <x:c r="F14" s="237" t="str"/>
      <x:c r="G14" s="237" t="str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6" style="146" customWidth="1"/>
    <x:col min="3" max="3" width="12" style="146" customWidth="1"/>
    <x:col min="4" max="4" width="12" style="146" customWidth="1"/>
    <x:col min="5" max="5" width="14" style="146" customWidth="1"/>
    <x:col min="6" max="6" width="34" style="146" customWidth="1"/>
  </x:cols>
  <x:sheetData>
    <x:row r="1">
      <x:c r="A1" s="233" t="inlineStr">
        <x:is>
          <x:t xml:space="preserve">🏯 Temple Stamp Tracker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City</x:t>
        </x:is>
      </x:c>
      <x:c r="B4" s="236" t="inlineStr">
        <x:is>
          <x:t xml:space="preserve">Temple/Shrine</x:t>
        </x:is>
      </x:c>
      <x:c r="C4" s="236" t="inlineStr">
        <x:is>
          <x:t xml:space="preserve">Visited?</x:t>
        </x:is>
      </x:c>
      <x:c r="D4" s="236" t="inlineStr">
        <x:is>
          <x:t xml:space="preserve">Goshuin?</x:t>
        </x:is>
      </x:c>
      <x:c r="E4" s="236" t="inlineStr">
        <x:is>
          <x:t xml:space="preserve">Cash Needed</x:t>
        </x:is>
      </x:c>
      <x:c r="F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Senso-ji</x:t>
        </x:is>
      </x:c>
      <x:c r="C5" s="237" t="inlineStr">
        <x:is>
          <x:t xml:space="preserve">☐</x:t>
        </x:is>
      </x:c>
      <x:c r="D5" s="237" t="inlineStr">
        <x:is>
          <x:t xml:space="preserve">☐</x:t>
        </x:is>
      </x:c>
      <x:c r="E5" s="237" t="inlineStr">
        <x:is>
          <x:t xml:space="preserve">Yes</x:t>
        </x:is>
      </x:c>
      <x:c r="F5" s="237" t="inlineStr">
        <x:is>
          <x:t xml:space="preserve">Asakusa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Meiji Shrine</x:t>
        </x:is>
      </x:c>
      <x:c r="C6" s="237" t="inlineStr">
        <x:is>
          <x:t xml:space="preserve">☐</x:t>
        </x:is>
      </x:c>
      <x:c r="D6" s="237" t="inlineStr">
        <x:is>
          <x:t xml:space="preserve">☐</x:t>
        </x:is>
      </x:c>
      <x:c r="E6" s="237" t="inlineStr">
        <x:is>
          <x:t xml:space="preserve">Yes</x:t>
        </x:is>
      </x:c>
      <x:c r="F6" s="237" t="inlineStr">
        <x:is>
          <x:t xml:space="preserve">Pair with Harajuku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Hie Shrine</x:t>
        </x:is>
      </x:c>
      <x:c r="C7" s="237" t="inlineStr">
        <x:is>
          <x:t xml:space="preserve">☐</x:t>
        </x:is>
      </x:c>
      <x:c r="D7" s="237" t="inlineStr">
        <x:is>
          <x:t xml:space="preserve">☐</x:t>
        </x:is>
      </x:c>
      <x:c r="E7" s="237" t="inlineStr">
        <x:is>
          <x:t xml:space="preserve">Yes</x:t>
        </x:is>
      </x:c>
      <x:c r="F7" s="237" t="inlineStr">
        <x:is>
          <x:t xml:space="preserve">Near Akasaka</x:t>
        </x:is>
      </x:c>
    </x:row>
    <x:row r="8">
      <x:c r="A8" s="237" t="inlineStr">
        <x:is>
          <x:t xml:space="preserve">Kyoto</x:t>
        </x:is>
      </x:c>
      <x:c r="B8" s="237" t="inlineStr">
        <x:is>
          <x:t xml:space="preserve">Fushimi Inari</x:t>
        </x:is>
      </x:c>
      <x:c r="C8" s="237" t="inlineStr">
        <x:is>
          <x:t xml:space="preserve">☐</x:t>
        </x:is>
      </x:c>
      <x:c r="D8" s="237" t="inlineStr">
        <x:is>
          <x:t xml:space="preserve">☐</x:t>
        </x:is>
      </x:c>
      <x:c r="E8" s="237" t="inlineStr">
        <x:is>
          <x:t xml:space="preserve">Yes</x:t>
        </x:is>
      </x:c>
      <x:c r="F8" s="237" t="inlineStr">
        <x:is>
          <x:t xml:space="preserve">Go early</x:t>
        </x:is>
      </x:c>
    </x:row>
    <x:row r="9">
      <x:c r="A9" s="237" t="inlineStr">
        <x:is>
          <x:t xml:space="preserve">Kyoto</x:t>
        </x:is>
      </x:c>
      <x:c r="B9" s="237" t="inlineStr">
        <x:is>
          <x:t xml:space="preserve">Kiyomizu-dera</x:t>
        </x:is>
      </x:c>
      <x:c r="C9" s="237" t="inlineStr">
        <x:is>
          <x:t xml:space="preserve">☐</x:t>
        </x:is>
      </x:c>
      <x:c r="D9" s="237" t="inlineStr">
        <x:is>
          <x:t xml:space="preserve">☐</x:t>
        </x:is>
      </x:c>
      <x:c r="E9" s="237" t="inlineStr">
        <x:is>
          <x:t xml:space="preserve">Yes</x:t>
        </x:is>
      </x:c>
      <x:c r="F9" s="237" t="inlineStr">
        <x:is>
          <x:t xml:space="preserve">Go early</x:t>
        </x:is>
      </x:c>
    </x:row>
    <x:row r="10">
      <x:c r="A10" s="237" t="inlineStr">
        <x:is>
          <x:t xml:space="preserve">Kyoto</x:t>
        </x:is>
      </x:c>
      <x:c r="B10" s="237" t="inlineStr">
        <x:is>
          <x:t xml:space="preserve">Yasaka Shrine</x:t>
        </x:is>
      </x:c>
      <x:c r="C10" s="237" t="inlineStr">
        <x:is>
          <x:t xml:space="preserve">☐</x:t>
        </x:is>
      </x:c>
      <x:c r="D10" s="237" t="inlineStr">
        <x:is>
          <x:t xml:space="preserve">☐</x:t>
        </x:is>
      </x:c>
      <x:c r="E10" s="237" t="inlineStr">
        <x:is>
          <x:t xml:space="preserve">Yes</x:t>
        </x:is>
      </x:c>
      <x:c r="F10" s="237" t="inlineStr">
        <x:is>
          <x:t xml:space="preserve">Gion</x:t>
        </x:is>
      </x:c>
    </x:row>
    <x:row r="11">
      <x:c r="A11" s="237" t="inlineStr">
        <x:is>
          <x:t xml:space="preserve">Kyoto</x:t>
        </x:is>
      </x:c>
      <x:c r="B11" s="237" t="inlineStr">
        <x:is>
          <x:t xml:space="preserve">Kinkaku-ji</x:t>
        </x:is>
      </x:c>
      <x:c r="C11" s="237" t="inlineStr">
        <x:is>
          <x:t xml:space="preserve">☐</x:t>
        </x:is>
      </x:c>
      <x:c r="D11" s="237" t="inlineStr">
        <x:is>
          <x:t xml:space="preserve">☐</x:t>
        </x:is>
      </x:c>
      <x:c r="E11" s="237" t="inlineStr">
        <x:is>
          <x:t xml:space="preserve">Yes</x:t>
        </x:is>
      </x:c>
      <x:c r="F11" s="237" t="inlineStr">
        <x:is>
          <x:t xml:space="preserve">Golden Pavilion</x:t>
        </x:is>
      </x:c>
    </x:row>
    <x:row r="12">
      <x:c r="A12" s="237" t="inlineStr">
        <x:is>
          <x:t xml:space="preserve">Nara</x:t>
        </x:is>
      </x:c>
      <x:c r="B12" s="237" t="inlineStr">
        <x:is>
          <x:t xml:space="preserve">Todai-ji</x:t>
        </x:is>
      </x:c>
      <x:c r="C12" s="237" t="inlineStr">
        <x:is>
          <x:t xml:space="preserve">☐</x:t>
        </x:is>
      </x:c>
      <x:c r="D12" s="237" t="inlineStr">
        <x:is>
          <x:t xml:space="preserve">☐</x:t>
        </x:is>
      </x:c>
      <x:c r="E12" s="237" t="inlineStr">
        <x:is>
          <x:t xml:space="preserve">Yes</x:t>
        </x:is>
      </x:c>
      <x:c r="F12" s="237" t="inlineStr">
        <x:is>
          <x:t xml:space="preserve">Nara day</x:t>
        </x:is>
      </x:c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6" style="146" customWidth="1"/>
    <x:col min="3" max="3" width="28" style="146" customWidth="1"/>
    <x:col min="4" max="4" width="18" style="146" customWidth="1"/>
    <x:col min="5" max="5" width="18" style="146" customWidth="1"/>
    <x:col min="6" max="6" width="12" style="146" customWidth="1"/>
    <x:col min="7" max="7" width="10" style="146" customWidth="1"/>
    <x:col min="8" max="8" width="12" style="146" customWidth="1"/>
    <x:col min="9" max="9" width="34" style="146" customWidth="1"/>
  </x:cols>
  <x:sheetData>
    <x:row r="1">
      <x:c r="A1" s="233" t="inlineStr">
        <x:is>
          <x:t xml:space="preserve">🛍 Shopping Wishlist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</x:row>
    <x:row r="4">
      <x:c r="A4" s="236" t="inlineStr">
        <x:is>
          <x:t xml:space="preserve">City</x:t>
        </x:is>
      </x:c>
      <x:c r="B4" s="236" t="inlineStr">
        <x:is>
          <x:t xml:space="preserve">Area</x:t>
        </x:is>
      </x:c>
      <x:c r="C4" s="236" t="inlineStr">
        <x:is>
          <x:t xml:space="preserve">Store / Item</x:t>
        </x:is>
      </x:c>
      <x:c r="D4" s="236" t="inlineStr">
        <x:is>
          <x:t xml:space="preserve">Category</x:t>
        </x:is>
      </x:c>
      <x:c r="E4" s="236" t="inlineStr">
        <x:is>
          <x:t xml:space="preserve">Who</x:t>
        </x:is>
      </x:c>
      <x:c r="F4" s="236" t="inlineStr">
        <x:is>
          <x:t xml:space="preserve">Priority</x:t>
        </x:is>
      </x:c>
      <x:c r="G4" s="236" t="inlineStr">
        <x:is>
          <x:t xml:space="preserve">Bought?</x:t>
        </x:is>
      </x:c>
      <x:c r="H4" s="236" t="inlineStr">
        <x:is>
          <x:t xml:space="preserve">Price</x:t>
        </x:is>
      </x:c>
      <x:c r="I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Shibuya</x:t>
        </x:is>
      </x:c>
      <x:c r="C5" s="237" t="inlineStr">
        <x:is>
          <x:t xml:space="preserve">Nintendo Tokyo</x:t>
        </x:is>
      </x:c>
      <x:c r="D5" s="237" t="inlineStr">
        <x:is>
          <x:t xml:space="preserve">Games/merch</x:t>
        </x:is>
      </x:c>
      <x:c r="E5" s="237" t="inlineStr">
        <x:is>
          <x:t xml:space="preserve">All</x:t>
        </x:is>
      </x:c>
      <x:c r="F5" s="237" t="inlineStr">
        <x:is>
          <x:t xml:space="preserve">High</x:t>
        </x:is>
      </x:c>
      <x:c r="G5" s="237" t="inlineStr">
        <x:is>
          <x:t xml:space="preserve">☐</x:t>
        </x:is>
      </x:c>
      <x:c r="H5" s="237" t="str"/>
      <x:c r="I5" s="237" t="inlineStr">
        <x:is>
          <x:t xml:space="preserve">PARCO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Shibuya</x:t>
        </x:is>
      </x:c>
      <x:c r="C6" s="237" t="inlineStr">
        <x:is>
          <x:t xml:space="preserve">Pokemon Center Shibuya</x:t>
        </x:is>
      </x:c>
      <x:c r="D6" s="237" t="inlineStr">
        <x:is>
          <x:t xml:space="preserve">Merch</x:t>
        </x:is>
      </x:c>
      <x:c r="E6" s="237" t="inlineStr">
        <x:is>
          <x:t xml:space="preserve">All</x:t>
        </x:is>
      </x:c>
      <x:c r="F6" s="237" t="inlineStr">
        <x:is>
          <x:t xml:space="preserve">Medium</x:t>
        </x:is>
      </x:c>
      <x:c r="G6" s="237" t="inlineStr">
        <x:is>
          <x:t xml:space="preserve">☐</x:t>
        </x:is>
      </x:c>
      <x:c r="H6" s="237" t="str"/>
      <x:c r="I6" s="237" t="inlineStr">
        <x:is>
          <x:t xml:space="preserve">PARCO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Any</x:t>
        </x:is>
      </x:c>
      <x:c r="C7" s="237" t="inlineStr">
        <x:is>
          <x:t xml:space="preserve">Don Quijote</x:t>
        </x:is>
      </x:c>
      <x:c r="D7" s="237" t="inlineStr">
        <x:is>
          <x:t xml:space="preserve">Souvenirs/snacks</x:t>
        </x:is>
      </x:c>
      <x:c r="E7" s="237" t="inlineStr">
        <x:is>
          <x:t xml:space="preserve">All</x:t>
        </x:is>
      </x:c>
      <x:c r="F7" s="237" t="inlineStr">
        <x:is>
          <x:t xml:space="preserve">High</x:t>
        </x:is>
      </x:c>
      <x:c r="G7" s="237" t="inlineStr">
        <x:is>
          <x:t xml:space="preserve">☐</x:t>
        </x:is>
      </x:c>
      <x:c r="H7" s="237" t="str"/>
      <x:c r="I7" s="237" t="inlineStr">
        <x:is>
          <x:t xml:space="preserve">Cheap everyday items</x:t>
        </x:is>
      </x:c>
    </x:row>
    <x:row r="8">
      <x:c r="A8" s="237" t="inlineStr">
        <x:is>
          <x:t xml:space="preserve">Tokyo/Kyoto</x:t>
        </x:is>
      </x:c>
      <x:c r="B8" s="237" t="inlineStr">
        <x:is>
          <x:t xml:space="preserve">Any</x:t>
        </x:is>
      </x:c>
      <x:c r="C8" s="237" t="inlineStr">
        <x:is>
          <x:t xml:space="preserve">Loft / Hands</x:t>
        </x:is>
      </x:c>
      <x:c r="D8" s="237" t="inlineStr">
        <x:is>
          <x:t xml:space="preserve">Stationery/gifts</x:t>
        </x:is>
      </x:c>
      <x:c r="E8" s="237" t="inlineStr">
        <x:is>
          <x:t xml:space="preserve">Noelle/Hilda</x:t>
        </x:is>
      </x:c>
      <x:c r="F8" s="237" t="inlineStr">
        <x:is>
          <x:t xml:space="preserve">High</x:t>
        </x:is>
      </x:c>
      <x:c r="G8" s="237" t="inlineStr">
        <x:is>
          <x:t xml:space="preserve">☐</x:t>
        </x:is>
      </x:c>
      <x:c r="H8" s="237" t="str"/>
      <x:c r="I8" s="237" t="str"/>
    </x:row>
    <x:row r="9">
      <x:c r="A9" s="237" t="inlineStr">
        <x:is>
          <x:t xml:space="preserve">Japan</x:t>
        </x:is>
      </x:c>
      <x:c r="B9" s="237" t="inlineStr">
        <x:is>
          <x:t xml:space="preserve">Any</x:t>
        </x:is>
      </x:c>
      <x:c r="C9" s="237" t="inlineStr">
        <x:is>
          <x:t xml:space="preserve">Uniqlo / GU</x:t>
        </x:is>
      </x:c>
      <x:c r="D9" s="237" t="inlineStr">
        <x:is>
          <x:t xml:space="preserve">Clothing</x:t>
        </x:is>
      </x:c>
      <x:c r="E9" s="237" t="inlineStr">
        <x:is>
          <x:t xml:space="preserve">All</x:t>
        </x:is>
      </x:c>
      <x:c r="F9" s="237" t="inlineStr">
        <x:is>
          <x:t xml:space="preserve">Medium</x:t>
        </x:is>
      </x:c>
      <x:c r="G9" s="237" t="inlineStr">
        <x:is>
          <x:t xml:space="preserve">☐</x:t>
        </x:is>
      </x:c>
      <x:c r="H9" s="237" t="str"/>
      <x:c r="I9" s="237" t="str"/>
    </x:row>
    <x:row r="10">
      <x:c r="A10" s="237" t="inlineStr">
        <x:is>
          <x:t xml:space="preserve">Japan</x:t>
        </x:is>
      </x:c>
      <x:c r="B10" s="237" t="inlineStr">
        <x:is>
          <x:t xml:space="preserve">Any</x:t>
        </x:is>
      </x:c>
      <x:c r="C10" s="237" t="inlineStr">
        <x:is>
          <x:t xml:space="preserve">Muji</x:t>
        </x:is>
      </x:c>
      <x:c r="D10" s="237" t="inlineStr">
        <x:is>
          <x:t xml:space="preserve">Home/gifts</x:t>
        </x:is>
      </x:c>
      <x:c r="E10" s="237" t="inlineStr">
        <x:is>
          <x:t xml:space="preserve">All</x:t>
        </x:is>
      </x:c>
      <x:c r="F10" s="237" t="inlineStr">
        <x:is>
          <x:t xml:space="preserve">Medium</x:t>
        </x:is>
      </x:c>
      <x:c r="G10" s="237" t="inlineStr">
        <x:is>
          <x:t xml:space="preserve">☐</x:t>
        </x:is>
      </x:c>
      <x:c r="H10" s="237" t="str"/>
      <x:c r="I10" s="237" t="str"/>
    </x:row>
    <x:row r="11">
      <x:c r="A11" s="237" t="inlineStr">
        <x:is>
          <x:t xml:space="preserve">Japan</x:t>
        </x:is>
      </x:c>
      <x:c r="B11" s="237" t="inlineStr">
        <x:is>
          <x:t xml:space="preserve">Any</x:t>
        </x:is>
      </x:c>
      <x:c r="C11" s="237" t="inlineStr">
        <x:is>
          <x:t xml:space="preserve">Snow Peak</x:t>
        </x:is>
      </x:c>
      <x:c r="D11" s="237" t="inlineStr">
        <x:is>
          <x:t xml:space="preserve">Outdoor/lifestyle</x:t>
        </x:is>
      </x:c>
      <x:c r="E11" s="237" t="inlineStr">
        <x:is>
          <x:t xml:space="preserve">David</x:t>
        </x:is>
      </x:c>
      <x:c r="F11" s="237" t="inlineStr">
        <x:is>
          <x:t xml:space="preserve">Medium</x:t>
        </x:is>
      </x:c>
      <x:c r="G11" s="237" t="inlineStr">
        <x:is>
          <x:t xml:space="preserve">☐</x:t>
        </x:is>
      </x:c>
      <x:c r="H11" s="237" t="str"/>
      <x:c r="I11" s="237" t="str"/>
    </x:row>
    <x:row r="12">
      <x:c r="A12" s="237" t="inlineStr">
        <x:is>
          <x:t xml:space="preserve">Ghibli</x:t>
        </x:is>
      </x:c>
      <x:c r="B12" s="237" t="inlineStr">
        <x:is>
          <x:t xml:space="preserve">Mitaka</x:t>
        </x:is>
      </x:c>
      <x:c r="C12" s="237" t="inlineStr">
        <x:is>
          <x:t xml:space="preserve">Ghibli Museum Store</x:t>
        </x:is>
      </x:c>
      <x:c r="D12" s="237" t="inlineStr">
        <x:is>
          <x:t xml:space="preserve">Merch</x:t>
        </x:is>
      </x:c>
      <x:c r="E12" s="237" t="inlineStr">
        <x:is>
          <x:t xml:space="preserve">All</x:t>
        </x:is>
      </x:c>
      <x:c r="F12" s="237" t="inlineStr">
        <x:is>
          <x:t xml:space="preserve">High</x:t>
        </x:is>
      </x:c>
      <x:c r="G12" s="237" t="inlineStr">
        <x:is>
          <x:t xml:space="preserve">☐</x:t>
        </x:is>
      </x:c>
      <x:c r="H12" s="237" t="str"/>
      <x:c r="I12" s="237" t="inlineStr">
        <x:is>
          <x:t xml:space="preserve">Ticket required</x:t>
        </x:is>
      </x:c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36" style="146" customWidth="1"/>
    <x:col min="3" max="3" width="28" style="146" customWidth="1"/>
    <x:col min="4" max="4" width="36" style="146" customWidth="1"/>
  </x:cols>
  <x:sheetData>
    <x:row r="1">
      <x:c r="A1" s="233" t="inlineStr">
        <x:is>
          <x:t xml:space="preserve">🆘 Lost Person Mode</x:t>
        </x:is>
      </x:c>
      <x:c r="B1" s="233" t="n"/>
      <x:c r="C1" s="233" t="n"/>
      <x:c r="D1" s="233" t="n"/>
    </x:row>
    <x:row r="2">
      <x:c r="A2" s="233" t="n"/>
      <x:c r="B2" s="233" t="n"/>
      <x:c r="C2" s="233" t="n"/>
      <x:c r="D2" s="233" t="n"/>
    </x:row>
    <x:row r="3">
      <x:c r="A3" s="230" t="n"/>
      <x:c r="B3" s="230" t="n"/>
      <x:c r="C3" s="230" t="n"/>
      <x:c r="D3" s="230" t="n"/>
    </x:row>
    <x:row r="4">
      <x:c r="A4" s="236" t="inlineStr">
        <x:is>
          <x:t xml:space="preserve">Item</x:t>
        </x:is>
      </x:c>
      <x:c r="B4" s="236" t="inlineStr">
        <x:is>
          <x:t xml:space="preserve">Info</x:t>
        </x:is>
      </x:c>
      <x:c r="C4" s="236" t="inlineStr">
        <x:is>
          <x:t xml:space="preserve">Action</x:t>
        </x:is>
      </x:c>
      <x:c r="D4" s="236" t="inlineStr">
        <x:is>
          <x:t xml:space="preserve">Japanese / Notes</x:t>
        </x:is>
      </x:c>
    </x:row>
    <x:row r="5">
      <x:c r="A5" s="237" t="inlineStr">
        <x:is>
          <x:t xml:space="preserve">Current hotel</x:t>
        </x:is>
      </x:c>
      <x:c r="B5" s="237" t="str">
        <x:f>XLOOKUP('⚙️ Control'!C12,'📅 Master Itinerary'!B:B,'📅 Master Itinerary'!G:G,"Set date")</x:f>
        <x:v>Akasaka</x:v>
      </x:c>
      <x:c r="C5" s="237" t="inlineStr">
        <x:is>
          <x:t xml:space="preserve">Go to hotel lobby</x:t>
        </x:is>
      </x:c>
      <x:c r="D5" s="237" t="inlineStr">
        <x:is>
          <x:t xml:space="preserve">Fill address in Hotels tab</x:t>
        </x:is>
      </x:c>
    </x:row>
    <x:row r="6">
      <x:c r="A6" s="237" t="inlineStr">
        <x:is>
          <x:t xml:space="preserve">Emergency police</x:t>
        </x:is>
      </x:c>
      <x:c r="B6" s="237" t="inlineStr">
        <x:is>
          <x:t xml:space="preserve">110</x:t>
        </x:is>
      </x:c>
      <x:c r="C6" s="237" t="inlineStr">
        <x:is>
          <x:t xml:space="preserve">Call if unsafe</x:t>
        </x:is>
      </x:c>
      <x:c r="D6" s="237" t="inlineStr">
        <x:is>
          <x:t xml:space="preserve">警察</x:t>
        </x:is>
      </x:c>
    </x:row>
    <x:row r="7">
      <x:c r="A7" s="237" t="inlineStr">
        <x:is>
          <x:t xml:space="preserve">Ambulance/fire</x:t>
        </x:is>
      </x:c>
      <x:c r="B7" s="237" t="inlineStr">
        <x:is>
          <x:t xml:space="preserve">119</x:t>
        </x:is>
      </x:c>
      <x:c r="C7" s="237" t="inlineStr">
        <x:is>
          <x:t xml:space="preserve">Call for medical/fire emergency</x:t>
        </x:is>
      </x:c>
      <x:c r="D7" s="237" t="inlineStr">
        <x:is>
          <x:t xml:space="preserve">救急車 / 消防</x:t>
        </x:is>
      </x:c>
    </x:row>
    <x:row r="8">
      <x:c r="A8" s="237" t="inlineStr">
        <x:is>
          <x:t xml:space="preserve">Ask for help</x:t>
        </x:is>
      </x:c>
      <x:c r="B8" s="237" t="inlineStr">
        <x:is>
          <x:t xml:space="preserve">助けてください</x:t>
        </x:is>
      </x:c>
      <x:c r="C8" s="237" t="inlineStr">
        <x:is>
          <x:t xml:space="preserve">Show this phrase</x:t>
        </x:is>
      </x:c>
      <x:c r="D8" s="237" t="inlineStr">
        <x:is>
          <x:t xml:space="preserve">Tasukete kudasai</x:t>
        </x:is>
      </x:c>
    </x:row>
    <x:row r="9">
      <x:c r="A9" s="237" t="inlineStr">
        <x:is>
          <x:t xml:space="preserve">Where is police box?</x:t>
        </x:is>
      </x:c>
      <x:c r="B9" s="237" t="inlineStr">
        <x:is>
          <x:t xml:space="preserve">交番はどこですか？</x:t>
        </x:is>
      </x:c>
      <x:c r="C9" s="237" t="inlineStr">
        <x:is>
          <x:t xml:space="preserve">Ask station/store staff</x:t>
        </x:is>
      </x:c>
      <x:c r="D9" s="237" t="inlineStr">
        <x:is>
          <x:t xml:space="preserve">Kouban wa doko desu ka?</x:t>
        </x:is>
      </x:c>
    </x:row>
    <x:row r="10">
      <x:c r="A10" s="237" t="inlineStr">
        <x:is>
          <x:t xml:space="preserve">Meetup backup</x:t>
        </x:is>
      </x:c>
      <x:c r="B10" s="237" t="inlineStr">
        <x:is>
          <x:t xml:space="preserve">Nearest station staff / hotel lobby</x:t>
        </x:is>
      </x:c>
      <x:c r="C10" s="237" t="inlineStr">
        <x:is>
          <x:t xml:space="preserve">Message group if possible</x:t>
        </x:is>
      </x:c>
      <x:c r="D10" s="237" t="inlineStr">
        <x:is>
          <x:t xml:space="preserve">Keep calm</x:t>
        </x:is>
      </x:c>
    </x:row>
    <x:row r="11">
      <x:c r="A11" s="237" t="inlineStr">
        <x:is>
          <x:t xml:space="preserve">Family contact</x:t>
        </x:is>
      </x:c>
      <x:c r="B11" s="237" t="inlineStr">
        <x:is>
          <x:t xml:space="preserve">TBD</x:t>
        </x:is>
      </x:c>
      <x:c r="C11" s="237" t="inlineStr">
        <x:is>
          <x:t xml:space="preserve">Fill phone numbers if desired</x:t>
        </x:is>
      </x:c>
      <x:c r="D11" s="237" t="str"/>
    </x:row>
    <x:row r="12">
      <x:c r="A12" s="230" t="n"/>
      <x:c r="B12" s="230" t="n"/>
      <x:c r="C12" s="230" t="n"/>
      <x:c r="D12" s="230" t="n"/>
    </x:row>
    <x:row r="13">
      <x:c r="A13" s="230" t="n"/>
      <x:c r="B13" s="230" t="n"/>
      <x:c r="C13" s="230" t="n"/>
      <x:c r="D13" s="230" t="n"/>
    </x:row>
    <x:row r="14">
      <x:c r="A14" s="230" t="n"/>
      <x:c r="B14" s="230" t="n"/>
      <x:c r="C14" s="230" t="n"/>
      <x:c r="D14" s="230" t="n"/>
    </x:row>
    <x:row r="15">
      <x:c r="A15" s="230" t="n"/>
      <x:c r="B15" s="230" t="n"/>
      <x:c r="C15" s="230" t="n"/>
      <x:c r="D15" s="230" t="n"/>
    </x:row>
    <x:row r="16">
      <x:c r="A16" s="230" t="n"/>
      <x:c r="B16" s="230" t="n"/>
      <x:c r="C16" s="230" t="n"/>
      <x:c r="D16" s="230" t="n"/>
    </x:row>
    <x:row r="17">
      <x:c r="A17" s="230" t="n"/>
      <x:c r="B17" s="230" t="n"/>
      <x:c r="C17" s="230" t="n"/>
      <x:c r="D17" s="230" t="n"/>
    </x:row>
    <x:row r="18">
      <x:c r="A18" s="230" t="n"/>
      <x:c r="B18" s="230" t="n"/>
      <x:c r="C18" s="230" t="n"/>
      <x:c r="D18" s="230" t="n"/>
    </x:row>
    <x:row r="19">
      <x:c r="A19" s="230" t="n"/>
      <x:c r="B19" s="230" t="n"/>
      <x:c r="C19" s="230" t="n"/>
      <x:c r="D19" s="230" t="n"/>
    </x:row>
    <x:row r="20">
      <x:c r="A20" s="230" t="n"/>
      <x:c r="B20" s="230" t="n"/>
      <x:c r="C20" s="230" t="n"/>
      <x:c r="D20" s="230" t="n"/>
    </x:row>
    <x:row r="21">
      <x:c r="A21" s="230" t="n"/>
      <x:c r="B21" s="230" t="n"/>
      <x:c r="C21" s="230" t="n"/>
      <x:c r="D21" s="230" t="n"/>
    </x:row>
    <x:row r="22">
      <x:c r="A22" s="230" t="n"/>
      <x:c r="B22" s="230" t="n"/>
      <x:c r="C22" s="230" t="n"/>
      <x:c r="D22" s="230" t="n"/>
    </x:row>
    <x:row r="23">
      <x:c r="A23" s="230" t="n"/>
      <x:c r="B23" s="230" t="n"/>
      <x:c r="C23" s="230" t="n"/>
      <x:c r="D23" s="230" t="n"/>
    </x:row>
    <x:row r="24">
      <x:c r="A24" s="230" t="n"/>
      <x:c r="B24" s="230" t="n"/>
      <x:c r="C24" s="230" t="n"/>
      <x:c r="D24" s="230" t="n"/>
    </x:row>
    <x:row r="25">
      <x:c r="A25" s="230" t="n"/>
      <x:c r="B25" s="230" t="n"/>
      <x:c r="C25" s="230" t="n"/>
      <x:c r="D25" s="230" t="n"/>
    </x:row>
    <x:row r="26">
      <x:c r="A26" s="230" t="n"/>
      <x:c r="B26" s="230" t="n"/>
      <x:c r="C26" s="230" t="n"/>
      <x:c r="D26" s="230" t="n"/>
    </x:row>
    <x:row r="27">
      <x:c r="A27" s="230" t="n"/>
      <x:c r="B27" s="230" t="n"/>
      <x:c r="C27" s="230" t="n"/>
      <x:c r="D27" s="230" t="n"/>
    </x:row>
    <x:row r="28">
      <x:c r="A28" s="230" t="n"/>
      <x:c r="B28" s="230" t="n"/>
      <x:c r="C28" s="230" t="n"/>
      <x:c r="D28" s="230" t="n"/>
    </x:row>
    <x:row r="29">
      <x:c r="A29" s="230" t="n"/>
      <x:c r="B29" s="230" t="n"/>
      <x:c r="C29" s="230" t="n"/>
      <x:c r="D29" s="230" t="n"/>
    </x:row>
    <x:row r="30">
      <x:c r="A30" s="230" t="n"/>
      <x:c r="B30" s="230" t="n"/>
      <x:c r="C30" s="230" t="n"/>
      <x:c r="D30" s="230" t="n"/>
    </x:row>
    <x:row r="31">
      <x:c r="A31" s="230" t="n"/>
      <x:c r="B31" s="230" t="n"/>
      <x:c r="C31" s="230" t="n"/>
      <x:c r="D31" s="230" t="n"/>
    </x:row>
    <x:row r="32">
      <x:c r="A32" s="230" t="n"/>
      <x:c r="B32" s="230" t="n"/>
      <x:c r="C32" s="230" t="n"/>
      <x:c r="D32" s="230" t="n"/>
    </x:row>
    <x:row r="33">
      <x:c r="A33" s="230" t="n"/>
      <x:c r="B33" s="230" t="n"/>
      <x:c r="C33" s="230" t="n"/>
      <x:c r="D33" s="230" t="n"/>
    </x:row>
    <x:row r="34">
      <x:c r="A34" s="230" t="n"/>
      <x:c r="B34" s="230" t="n"/>
      <x:c r="C34" s="230" t="n"/>
      <x:c r="D34" s="230" t="n"/>
    </x:row>
    <x:row r="35">
      <x:c r="A35" s="230" t="n"/>
      <x:c r="B35" s="230" t="n"/>
      <x:c r="C35" s="230" t="n"/>
      <x:c r="D35" s="230" t="n"/>
    </x:row>
    <x:row r="36">
      <x:c r="A36" s="230" t="n"/>
      <x:c r="B36" s="230" t="n"/>
      <x:c r="C36" s="230" t="n"/>
      <x:c r="D36" s="230" t="n"/>
    </x:row>
    <x:row r="37">
      <x:c r="A37" s="230" t="n"/>
      <x:c r="B37" s="230" t="n"/>
      <x:c r="C37" s="230" t="n"/>
      <x:c r="D37" s="230" t="n"/>
    </x:row>
    <x:row r="38">
      <x:c r="A38" s="230" t="n"/>
      <x:c r="B38" s="230" t="n"/>
      <x:c r="C38" s="230" t="n"/>
      <x:c r="D38" s="230" t="n"/>
    </x:row>
    <x:row r="39">
      <x:c r="A39" s="230" t="n"/>
      <x:c r="B39" s="230" t="n"/>
      <x:c r="C39" s="230" t="n"/>
      <x:c r="D39" s="230" t="n"/>
    </x:row>
    <x:row r="40">
      <x:c r="A40" s="230" t="n"/>
      <x:c r="B40" s="230" t="n"/>
      <x:c r="C40" s="230" t="n"/>
      <x:c r="D40" s="230" t="n"/>
    </x:row>
    <x:row r="41">
      <x:c r="A41" s="230" t="n"/>
      <x:c r="B41" s="230" t="n"/>
      <x:c r="C41" s="230" t="n"/>
      <x:c r="D41" s="230" t="n"/>
    </x:row>
    <x:row r="42">
      <x:c r="A42" s="230" t="n"/>
      <x:c r="B42" s="230" t="n"/>
      <x:c r="C42" s="230" t="n"/>
      <x:c r="D42" s="230" t="n"/>
    </x:row>
    <x:row r="43">
      <x:c r="A43" s="230" t="n"/>
      <x:c r="B43" s="230" t="n"/>
      <x:c r="C43" s="230" t="n"/>
      <x:c r="D43" s="230" t="n"/>
    </x:row>
    <x:row r="44">
      <x:c r="A44" s="230" t="n"/>
      <x:c r="B44" s="230" t="n"/>
      <x:c r="C44" s="230" t="n"/>
      <x:c r="D44" s="230" t="n"/>
    </x:row>
    <x:row r="45">
      <x:c r="A45" s="230" t="n"/>
      <x:c r="B45" s="230" t="n"/>
      <x:c r="C45" s="230" t="n"/>
      <x:c r="D45" s="230" t="n"/>
    </x:row>
    <x:row r="46">
      <x:c r="A46" s="230" t="n"/>
      <x:c r="B46" s="230" t="n"/>
      <x:c r="C46" s="230" t="n"/>
      <x:c r="D46" s="230" t="n"/>
    </x:row>
    <x:row r="47">
      <x:c r="A47" s="230" t="n"/>
      <x:c r="B47" s="230" t="n"/>
      <x:c r="C47" s="230" t="n"/>
      <x:c r="D47" s="230" t="n"/>
    </x:row>
    <x:row r="48">
      <x:c r="A48" s="230" t="n"/>
      <x:c r="B48" s="230" t="n"/>
      <x:c r="C48" s="230" t="n"/>
      <x:c r="D48" s="230" t="n"/>
    </x:row>
    <x:row r="49">
      <x:c r="A49" s="230" t="n"/>
      <x:c r="B49" s="230" t="n"/>
      <x:c r="C49" s="230" t="n"/>
      <x:c r="D49" s="230" t="n"/>
    </x:row>
    <x:row r="50">
      <x:c r="A50" s="230" t="n"/>
      <x:c r="B50" s="230" t="n"/>
      <x:c r="C50" s="230" t="n"/>
      <x:c r="D50" s="230" t="n"/>
    </x:row>
    <x:row r="51">
      <x:c r="A51" s="230" t="n"/>
      <x:c r="B51" s="230" t="n"/>
      <x:c r="C51" s="230" t="n"/>
      <x:c r="D51" s="230" t="n"/>
    </x:row>
    <x:row r="52">
      <x:c r="A52" s="230" t="n"/>
      <x:c r="B52" s="230" t="n"/>
      <x:c r="C52" s="230" t="n"/>
      <x:c r="D52" s="230" t="n"/>
    </x:row>
    <x:row r="53">
      <x:c r="A53" s="230" t="n"/>
      <x:c r="B53" s="230" t="n"/>
      <x:c r="C53" s="230" t="n"/>
      <x:c r="D53" s="230" t="n"/>
    </x:row>
    <x:row r="54">
      <x:c r="A54" s="230" t="n"/>
      <x:c r="B54" s="230" t="n"/>
      <x:c r="C54" s="230" t="n"/>
      <x:c r="D54" s="230" t="n"/>
    </x:row>
    <x:row r="55">
      <x:c r="A55" s="230" t="n"/>
      <x:c r="B55" s="230" t="n"/>
      <x:c r="C55" s="230" t="n"/>
      <x:c r="D55" s="230" t="n"/>
    </x:row>
    <x:row r="56">
      <x:c r="A56" s="230" t="n"/>
      <x:c r="B56" s="230" t="n"/>
      <x:c r="C56" s="230" t="n"/>
      <x:c r="D56" s="230" t="n"/>
    </x:row>
    <x:row r="57">
      <x:c r="A57" s="230" t="n"/>
      <x:c r="B57" s="230" t="n"/>
      <x:c r="C57" s="230" t="n"/>
      <x:c r="D57" s="230" t="n"/>
    </x:row>
    <x:row r="58">
      <x:c r="A58" s="230" t="n"/>
      <x:c r="B58" s="230" t="n"/>
      <x:c r="C58" s="230" t="n"/>
      <x:c r="D58" s="230" t="n"/>
    </x:row>
    <x:row r="59">
      <x:c r="A59" s="230" t="n"/>
      <x:c r="B59" s="230" t="n"/>
      <x:c r="C59" s="230" t="n"/>
      <x:c r="D59" s="230" t="n"/>
    </x:row>
    <x:row r="60">
      <x:c r="A60" s="230" t="n"/>
      <x:c r="B60" s="230" t="n"/>
      <x:c r="C60" s="230" t="n"/>
      <x:c r="D60" s="230" t="n"/>
    </x:row>
    <x:row r="61">
      <x:c r="A61" s="230" t="n"/>
      <x:c r="B61" s="230" t="n"/>
      <x:c r="C61" s="230" t="n"/>
      <x:c r="D61" s="230" t="n"/>
    </x:row>
    <x:row r="62">
      <x:c r="A62" s="230" t="n"/>
      <x:c r="B62" s="230" t="n"/>
      <x:c r="C62" s="230" t="n"/>
      <x:c r="D62" s="230" t="n"/>
    </x:row>
    <x:row r="63">
      <x:c r="A63" s="230" t="n"/>
      <x:c r="B63" s="230" t="n"/>
      <x:c r="C63" s="230" t="n"/>
      <x:c r="D63" s="230" t="n"/>
    </x:row>
    <x:row r="64">
      <x:c r="A64" s="230" t="n"/>
      <x:c r="B64" s="230" t="n"/>
      <x:c r="C64" s="230" t="n"/>
      <x:c r="D64" s="230" t="n"/>
    </x:row>
    <x:row r="65">
      <x:c r="A65" s="230" t="n"/>
      <x:c r="B65" s="230" t="n"/>
      <x:c r="C65" s="230" t="n"/>
      <x:c r="D65" s="230" t="n"/>
    </x:row>
    <x:row r="66">
      <x:c r="A66" s="230" t="n"/>
      <x:c r="B66" s="230" t="n"/>
      <x:c r="C66" s="230" t="n"/>
      <x:c r="D66" s="230" t="n"/>
    </x:row>
    <x:row r="67">
      <x:c r="A67" s="230" t="n"/>
      <x:c r="B67" s="230" t="n"/>
      <x:c r="C67" s="230" t="n"/>
      <x:c r="D67" s="230" t="n"/>
    </x:row>
    <x:row r="68">
      <x:c r="A68" s="230" t="n"/>
      <x:c r="B68" s="230" t="n"/>
      <x:c r="C68" s="230" t="n"/>
      <x:c r="D68" s="230" t="n"/>
    </x:row>
    <x:row r="69">
      <x:c r="A69" s="230" t="n"/>
      <x:c r="B69" s="230" t="n"/>
      <x:c r="C69" s="230" t="n"/>
      <x:c r="D69" s="230" t="n"/>
    </x:row>
    <x:row r="70">
      <x:c r="A70" s="230" t="n"/>
      <x:c r="B70" s="230" t="n"/>
      <x:c r="C70" s="230" t="n"/>
      <x:c r="D70" s="230" t="n"/>
    </x:row>
    <x:row r="71">
      <x:c r="A71" s="230" t="n"/>
      <x:c r="B71" s="230" t="n"/>
      <x:c r="C71" s="230" t="n"/>
      <x:c r="D71" s="230" t="n"/>
    </x:row>
    <x:row r="72">
      <x:c r="A72" s="230" t="n"/>
      <x:c r="B72" s="230" t="n"/>
      <x:c r="C72" s="230" t="n"/>
      <x:c r="D72" s="230" t="n"/>
    </x:row>
    <x:row r="73">
      <x:c r="A73" s="230" t="n"/>
      <x:c r="B73" s="230" t="n"/>
      <x:c r="C73" s="230" t="n"/>
      <x:c r="D73" s="230" t="n"/>
    </x:row>
    <x:row r="74">
      <x:c r="A74" s="230" t="n"/>
      <x:c r="B74" s="230" t="n"/>
      <x:c r="C74" s="230" t="n"/>
      <x:c r="D74" s="230" t="n"/>
    </x:row>
    <x:row r="75">
      <x:c r="A75" s="230" t="n"/>
      <x:c r="B75" s="230" t="n"/>
      <x:c r="C75" s="230" t="n"/>
      <x:c r="D75" s="230" t="n"/>
    </x:row>
    <x:row r="76">
      <x:c r="A76" s="230" t="n"/>
      <x:c r="B76" s="230" t="n"/>
      <x:c r="C76" s="230" t="n"/>
      <x:c r="D76" s="230" t="n"/>
    </x:row>
    <x:row r="77">
      <x:c r="A77" s="230" t="n"/>
      <x:c r="B77" s="230" t="n"/>
      <x:c r="C77" s="230" t="n"/>
      <x:c r="D77" s="230" t="n"/>
    </x:row>
    <x:row r="78">
      <x:c r="A78" s="230" t="n"/>
      <x:c r="B78" s="230" t="n"/>
      <x:c r="C78" s="230" t="n"/>
      <x:c r="D78" s="230" t="n"/>
    </x:row>
    <x:row r="79">
      <x:c r="A79" s="230" t="n"/>
      <x:c r="B79" s="230" t="n"/>
      <x:c r="C79" s="230" t="n"/>
      <x:c r="D79" s="230" t="n"/>
    </x:row>
    <x:row r="80">
      <x:c r="A80" s="230" t="n"/>
      <x:c r="B80" s="230" t="n"/>
      <x:c r="C80" s="230" t="n"/>
      <x:c r="D80" s="230" t="n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26" style="146" customWidth="1"/>
    <x:col min="2" max="2" width="16" style="146" customWidth="1"/>
    <x:col min="3" max="3" width="18" style="146" customWidth="1"/>
    <x:col min="4" max="4" width="16" style="146" customWidth="1"/>
    <x:col min="5" max="5" width="42" style="146" customWidth="1"/>
  </x:cols>
  <x:sheetData>
    <x:row r="1">
      <x:c r="A1" s="233" t="inlineStr">
        <x:is>
          <x:t xml:space="preserve">⏳ Countdown + Key Dates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Event</x:t>
        </x:is>
      </x:c>
      <x:c r="B4" s="236" t="inlineStr">
        <x:is>
          <x:t xml:space="preserve">Date</x:t>
        </x:is>
      </x:c>
      <x:c r="C4" s="236" t="inlineStr">
        <x:is>
          <x:t xml:space="preserve">Days Remaining</x:t>
        </x:is>
      </x:c>
      <x:c r="D4" s="236" t="inlineStr">
        <x:is>
          <x:t xml:space="preserve">Status</x:t>
        </x:is>
      </x:c>
      <x:c r="E4" s="236" t="inlineStr">
        <x:is>
          <x:t xml:space="preserve">Notes</x:t>
        </x:is>
      </x:c>
    </x:row>
    <x:row r="5">
      <x:c r="A5" s="237" t="str">
        <x:v>Depart USA</x:v>
      </x:c>
      <x:c r="B5" s="380" t="n">
        <x:v>46321</x:v>
      </x:c>
      <x:c r="C5" s="628" t="n">
        <x:f>MAX(0,B5-TODAY())</x:f>
        <x:v>95</x:v>
      </x:c>
      <x:c r="D5" s="237" t="str">
        <x:v>Planning</x:v>
      </x:c>
      <x:c r="E5" s="237" t="str">
        <x:v>Flights</x:v>
      </x:c>
    </x:row>
    <x:row r="6">
      <x:c r="A6" s="237" t="str">
        <x:v>Arrive Japan</x:v>
      </x:c>
      <x:c r="B6" s="380" t="n">
        <x:v>46322</x:v>
      </x:c>
      <x:c r="C6" s="628" t="n">
        <x:f>MAX(0,B6-TODAY())</x:f>
        <x:v>96</x:v>
      </x:c>
      <x:c r="D6" s="237" t="str">
        <x:v>Planning</x:v>
      </x:c>
      <x:c r="E6" s="237" t="str">
        <x:v>Arrival/reset day</x:v>
      </x:c>
    </x:row>
    <x:row r="7">
      <x:c r="A7" s="237" t="str">
        <x:v>First full day</x:v>
      </x:c>
      <x:c r="B7" s="380" t="n">
        <x:v>46323</x:v>
      </x:c>
      <x:c r="C7" s="628" t="n">
        <x:f>MAX(0,B7-TODAY())</x:f>
        <x:v>97</x:v>
      </x:c>
      <x:c r="D7" s="237" t="str">
        <x:v>Planning</x:v>
      </x:c>
      <x:c r="E7" s="237" t="str">
        <x:v>Day 1</x:v>
      </x:c>
    </x:row>
    <x:row r="8">
      <x:c r="A8" s="237" t="str">
        <x:v>Ghibli ticket window</x:v>
      </x:c>
      <x:c r="B8" s="380"/>
      <x:c r="C8" s="628"/>
      <x:c r="D8" s="237" t="str">
        <x:v>Watching</x:v>
      </x:c>
      <x:c r="E8" s="237" t="str">
        <x:v>Fill when official sale date is known</x:v>
      </x:c>
    </x:row>
    <x:row r="9">
      <x:c r="A9" s="237" t="str">
        <x:v>Hotel cancellation deadline</x:v>
      </x:c>
      <x:c r="B9" s="380"/>
      <x:c r="C9" s="628"/>
      <x:c r="D9" s="237" t="str">
        <x:v>TBD</x:v>
      </x:c>
      <x:c r="E9" s="237" t="str">
        <x:v>Fill after bookings</x:v>
      </x:c>
    </x:row>
    <x:row r="10">
      <x:c r="A10" s="237" t="str">
        <x:v>Fly home</x:v>
      </x:c>
      <x:c r="B10" s="380" t="n">
        <x:v>46337</x:v>
      </x:c>
      <x:c r="C10" s="628" t="n">
        <x:f>MAX(0,B10-TODAY())</x:f>
        <x:v>111</x:v>
      </x:c>
      <x:c r="D10" s="237" t="str">
        <x:v>Planning</x:v>
      </x:c>
      <x:c r="E10" s="237" t="str">
        <x:v>Return</x:v>
      </x:c>
    </x:row>
    <x:row r="11">
      <x:c r="A11" s="230" t="n"/>
      <x:c r="B11" s="230" t="n"/>
      <x:c r="C11" s="230" t="n"/>
      <x:c r="D11" s="230" t="n"/>
      <x:c r="E11" s="230" t="n"/>
    </x:row>
    <x:row r="12">
      <x:c r="A12" s="230" t="n"/>
      <x:c r="B12" s="230" t="n"/>
      <x:c r="C12" s="230" t="n"/>
      <x:c r="D12" s="230" t="n"/>
      <x:c r="E12" s="230" t="n"/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12" style="146" customWidth="1"/>
    <x:col min="2" max="2" width="18" style="146" customWidth="1"/>
    <x:col min="3" max="3" width="28" style="146" customWidth="1"/>
    <x:col min="4" max="4" width="26" style="146" customWidth="1"/>
    <x:col min="5" max="5" width="30" style="146" customWidth="1"/>
    <x:col min="6" max="6" width="36" style="146" customWidth="1"/>
    <x:col min="7" max="7" width="34" style="146" customWidth="1"/>
  </x:cols>
  <x:sheetData>
    <x:row r="1">
      <x:c r="A1" s="233" t="inlineStr">
        <x:is>
          <x:t xml:space="preserve">⭐ Phrase Favorites</x:t>
        </x:is>
      </x:c>
      <x:c r="B1" s="233" t="n"/>
      <x:c r="C1" s="233" t="n"/>
      <x:c r="D1" s="233" t="n"/>
      <x:c r="E1" s="233" t="n"/>
      <x:c r="F1" s="233" t="n"/>
      <x:c r="G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</x:row>
    <x:row r="4">
      <x:c r="A4" s="236" t="inlineStr">
        <x:is>
          <x:t xml:space="preserve">Favorite?</x:t>
        </x:is>
      </x:c>
      <x:c r="B4" s="236" t="inlineStr">
        <x:is>
          <x:t xml:space="preserve">Category</x:t>
        </x:is>
      </x:c>
      <x:c r="C4" s="236" t="inlineStr">
        <x:is>
          <x:t xml:space="preserve">English</x:t>
        </x:is>
      </x:c>
      <x:c r="D4" s="236" t="inlineStr">
        <x:is>
          <x:t xml:space="preserve">Japanese</x:t>
        </x:is>
      </x:c>
      <x:c r="E4" s="236" t="inlineStr">
        <x:is>
          <x:t xml:space="preserve">Romaji</x:t>
        </x:is>
      </x:c>
      <x:c r="F4" s="236" t="inlineStr">
        <x:is>
          <x:t xml:space="preserve">Easy Phonetics</x:t>
        </x:is>
      </x:c>
      <x:c r="G4" s="236" t="inlineStr">
        <x:is>
          <x:t xml:space="preserve">Use</x:t>
        </x:is>
      </x:c>
    </x:row>
    <x:row r="5">
      <x:c r="A5" s="237" t="inlineStr">
        <x:is>
          <x:t xml:space="preserve">☑</x:t>
        </x:is>
      </x:c>
      <x:c r="B5" s="237" t="inlineStr">
        <x:is>
          <x:t xml:space="preserve">⭐ Favorites</x:t>
        </x:is>
      </x:c>
      <x:c r="C5" s="237" t="inlineStr">
        <x:is>
          <x:t xml:space="preserve">This, please. / I'd like this.</x:t>
        </x:is>
      </x:c>
      <x:c r="D5" s="237" t="inlineStr">
        <x:is>
          <x:t xml:space="preserve">これをください</x:t>
        </x:is>
      </x:c>
      <x:c r="E5" s="237" t="inlineStr">
        <x:is>
          <x:t xml:space="preserve">Kore o kudasai</x:t>
        </x:is>
      </x:c>
      <x:c r="F5" s="237" t="inlineStr">
        <x:is>
          <x:t xml:space="preserve">core-ay oh koo-dah-sigh</x:t>
        </x:is>
      </x:c>
      <x:c r="G5" s="237" t="inlineStr">
        <x:is>
          <x:t xml:space="preserve">Pointing at item</x:t>
        </x:is>
      </x:c>
    </x:row>
    <x:row r="6">
      <x:c r="A6" s="237" t="inlineStr">
        <x:is>
          <x:t xml:space="preserve">☑</x:t>
        </x:is>
      </x:c>
      <x:c r="B6" s="237" t="inlineStr">
        <x:is>
          <x:t xml:space="preserve">⭐ Favorites</x:t>
        </x:is>
      </x:c>
      <x:c r="C6" s="237" t="inlineStr">
        <x:is>
          <x:t xml:space="preserve">Thank you very much.</x:t>
        </x:is>
      </x:c>
      <x:c r="D6" s="237" t="inlineStr">
        <x:is>
          <x:t xml:space="preserve">ありがとうございます</x:t>
        </x:is>
      </x:c>
      <x:c r="E6" s="237" t="inlineStr">
        <x:is>
          <x:t xml:space="preserve">Arigatou gozaimasu</x:t>
        </x:is>
      </x:c>
      <x:c r="F6" s="237" t="inlineStr">
        <x:is>
          <x:t xml:space="preserve">ah-ree-gah-toh go-zah-ee-moss</x:t>
        </x:is>
      </x:c>
      <x:c r="G6" s="237" t="inlineStr">
        <x:is>
          <x:t xml:space="preserve">Default thank-you</x:t>
        </x:is>
      </x:c>
    </x:row>
    <x:row r="7">
      <x:c r="A7" s="237" t="inlineStr">
        <x:is>
          <x:t xml:space="preserve">☑</x:t>
        </x:is>
      </x:c>
      <x:c r="B7" s="237" t="inlineStr">
        <x:is>
          <x:t xml:space="preserve">⭐ Favorites</x:t>
        </x:is>
      </x:c>
      <x:c r="C7" s="237" t="inlineStr">
        <x:is>
          <x:t xml:space="preserve">Excuse me / sorry.</x:t>
        </x:is>
      </x:c>
      <x:c r="D7" s="237" t="inlineStr">
        <x:is>
          <x:t xml:space="preserve">すみません</x:t>
        </x:is>
      </x:c>
      <x:c r="E7" s="237" t="inlineStr">
        <x:is>
          <x:t xml:space="preserve">Sumimasen</x:t>
        </x:is>
      </x:c>
      <x:c r="F7" s="237" t="inlineStr">
        <x:is>
          <x:t xml:space="preserve">soo-mee-mah-sen</x:t>
        </x:is>
      </x:c>
      <x:c r="G7" s="237" t="inlineStr">
        <x:is>
          <x:t xml:space="preserve">Attention/apology</x:t>
        </x:is>
      </x:c>
    </x:row>
    <x:row r="8">
      <x:c r="A8" s="237" t="inlineStr">
        <x:is>
          <x:t xml:space="preserve">☑</x:t>
        </x:is>
      </x:c>
      <x:c r="B8" s="237" t="inlineStr">
        <x:is>
          <x:t xml:space="preserve">⭐ Favorites</x:t>
        </x:is>
      </x:c>
      <x:c r="C8" s="237" t="inlineStr">
        <x:is>
          <x:t xml:space="preserve">I'm okay / no thank you.</x:t>
        </x:is>
      </x:c>
      <x:c r="D8" s="237" t="inlineStr">
        <x:is>
          <x:t xml:space="preserve">大丈夫です</x:t>
        </x:is>
      </x:c>
      <x:c r="E8" s="237" t="inlineStr">
        <x:is>
          <x:t xml:space="preserve">Daijoubu desu</x:t>
        </x:is>
      </x:c>
      <x:c r="F8" s="237" t="inlineStr">
        <x:is>
          <x:t xml:space="preserve">die-joe-boo dess</x:t>
        </x:is>
      </x:c>
      <x:c r="G8" s="237" t="inlineStr">
        <x:is>
          <x:t xml:space="preserve">Decline bag/heating</x:t>
        </x:is>
      </x:c>
    </x:row>
    <x:row r="9">
      <x:c r="A9" s="237" t="inlineStr">
        <x:is>
          <x:t xml:space="preserve">☑</x:t>
        </x:is>
      </x:c>
      <x:c r="B9" s="237" t="inlineStr">
        <x:is>
          <x:t xml:space="preserve">🗺 Directions</x:t>
        </x:is>
      </x:c>
      <x:c r="C9" s="237" t="inlineStr">
        <x:is>
          <x:t xml:space="preserve">Where is the bathroom?</x:t>
        </x:is>
      </x:c>
      <x:c r="D9" s="237" t="inlineStr">
        <x:is>
          <x:t xml:space="preserve">トイレはどこですか？</x:t>
        </x:is>
      </x:c>
      <x:c r="E9" s="237" t="inlineStr">
        <x:is>
          <x:t xml:space="preserve">Toire wa doko desu ka?</x:t>
        </x:is>
      </x:c>
      <x:c r="F9" s="237" t="inlineStr">
        <x:is>
          <x:t xml:space="preserve">toy-reh wah doh-koh dess kah</x:t>
        </x:is>
      </x:c>
      <x:c r="G9" s="237" t="inlineStr">
        <x:is>
          <x:t xml:space="preserve">Very useful</x:t>
        </x:is>
      </x:c>
    </x:row>
    <x:row r="10">
      <x:c r="A10" s="237" t="inlineStr">
        <x:is>
          <x:t xml:space="preserve">☑</x:t>
        </x:is>
      </x:c>
      <x:c r="B10" s="237" t="inlineStr">
        <x:is>
          <x:t xml:space="preserve">🏪 Konbini</x:t>
        </x:is>
      </x:c>
      <x:c r="C10" s="237" t="inlineStr">
        <x:is>
          <x:t xml:space="preserve">Please heat this up.</x:t>
        </x:is>
      </x:c>
      <x:c r="D10" s="237" t="inlineStr">
        <x:is>
          <x:t xml:space="preserve">温めてください</x:t>
        </x:is>
      </x:c>
      <x:c r="E10" s="237" t="inlineStr">
        <x:is>
          <x:t xml:space="preserve">Atatamete kudasai</x:t>
        </x:is>
      </x:c>
      <x:c r="F10" s="237" t="inlineStr">
        <x:is>
          <x:t xml:space="preserve">ah-tah-tah-meh-teh koo-dah-sigh</x:t>
        </x:is>
      </x:c>
      <x:c r="G10" s="237" t="inlineStr">
        <x:is>
          <x:t xml:space="preserve">Konbini meals</x:t>
        </x:is>
      </x:c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4" style="146" customWidth="1"/>
    <x:col min="3" max="3" width="34" style="146" customWidth="1"/>
    <x:col min="4" max="4" width="30" style="146" customWidth="1"/>
    <x:col min="5" max="5" width="36" style="146" customWidth="1"/>
  </x:cols>
  <x:sheetData>
    <x:row r="1">
      <x:c r="A1" s="233" t="inlineStr">
        <x:is>
          <x:t xml:space="preserve">🍱 Konbini Guide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Category</x:t>
        </x:is>
      </x:c>
      <x:c r="B4" s="236" t="inlineStr">
        <x:is>
          <x:t xml:space="preserve">Recommendation</x:t>
        </x:is>
      </x:c>
      <x:c r="C4" s="236" t="inlineStr">
        <x:is>
          <x:t xml:space="preserve">Why Useful</x:t>
        </x:is>
      </x:c>
      <x:c r="D4" s="236" t="inlineStr">
        <x:is>
          <x:t xml:space="preserve">Phrase / Action</x:t>
        </x:is>
      </x:c>
      <x:c r="E4" s="236" t="inlineStr">
        <x:is>
          <x:t xml:space="preserve">Notes</x:t>
        </x:is>
      </x:c>
    </x:row>
    <x:row r="5">
      <x:c r="A5" s="237" t="inlineStr">
        <x:is>
          <x:t xml:space="preserve">Breakfast</x:t>
        </x:is>
      </x:c>
      <x:c r="B5" s="237" t="inlineStr">
        <x:is>
          <x:t xml:space="preserve">Egg sandwich + coffee</x:t>
        </x:is>
      </x:c>
      <x:c r="C5" s="237" t="inlineStr">
        <x:is>
          <x:t xml:space="preserve">Fast, easy, reliable</x:t>
        </x:is>
      </x:c>
      <x:c r="D5" s="237" t="inlineStr">
        <x:is>
          <x:t xml:space="preserve">これをください</x:t>
        </x:is>
      </x:c>
      <x:c r="E5" s="237" t="inlineStr">
        <x:is>
          <x:t xml:space="preserve">Good first-morning option</x:t>
        </x:is>
      </x:c>
    </x:row>
    <x:row r="6">
      <x:c r="A6" s="237" t="inlineStr">
        <x:is>
          <x:t xml:space="preserve">Breakfast</x:t>
        </x:is>
      </x:c>
      <x:c r="B6" s="237" t="inlineStr">
        <x:is>
          <x:t xml:space="preserve">Onigiri + yogurt</x:t>
        </x:is>
      </x:c>
      <x:c r="C6" s="237" t="inlineStr">
        <x:is>
          <x:t xml:space="preserve">Light and cheap</x:t>
        </x:is>
      </x:c>
      <x:c r="D6" s="237" t="inlineStr">
        <x:is>
          <x:t xml:space="preserve">Point/select at checkout</x:t>
        </x:is>
      </x:c>
      <x:c r="E6" s="237" t="inlineStr">
        <x:is>
          <x:t xml:space="preserve">Try salmon or tuna mayo</x:t>
        </x:is>
      </x:c>
    </x:row>
    <x:row r="7">
      <x:c r="A7" s="237" t="inlineStr">
        <x:is>
          <x:t xml:space="preserve">Hot food</x:t>
        </x:is>
      </x:c>
      <x:c r="B7" s="237" t="inlineStr">
        <x:is>
          <x:t xml:space="preserve">Famichiki / karaage</x:t>
        </x:is>
      </x:c>
      <x:c r="C7" s="237" t="inlineStr">
        <x:is>
          <x:t xml:space="preserve">Quick snack</x:t>
        </x:is>
      </x:c>
      <x:c r="D7" s="237" t="inlineStr">
        <x:is>
          <x:t xml:space="preserve">温めてください if applicable</x:t>
        </x:is>
      </x:c>
      <x:c r="E7" s="237" t="inlineStr">
        <x:is>
          <x:t xml:space="preserve">FamilyMart/Lawson</x:t>
        </x:is>
      </x:c>
    </x:row>
    <x:row r="8">
      <x:c r="A8" s="237" t="inlineStr">
        <x:is>
          <x:t xml:space="preserve">Meals</x:t>
        </x:is>
      </x:c>
      <x:c r="B8" s="237" t="inlineStr">
        <x:is>
          <x:t xml:space="preserve">Bento / pasta / rice bowls</x:t>
        </x:is>
      </x:c>
      <x:c r="C8" s="237" t="inlineStr">
        <x:is>
          <x:t xml:space="preserve">Good low-stress dinner</x:t>
        </x:is>
      </x:c>
      <x:c r="D8" s="237" t="inlineStr">
        <x:is>
          <x:t xml:space="preserve">温めてください</x:t>
        </x:is>
      </x:c>
      <x:c r="E8" s="237" t="inlineStr">
        <x:is>
          <x:t xml:space="preserve">Clerk may ask heating question</x:t>
        </x:is>
      </x:c>
    </x:row>
    <x:row r="9">
      <x:c r="A9" s="237" t="inlineStr">
        <x:is>
          <x:t xml:space="preserve">Cash</x:t>
        </x:is>
      </x:c>
      <x:c r="B9" s="237" t="inlineStr">
        <x:is>
          <x:t xml:space="preserve">ATM</x:t>
        </x:is>
      </x:c>
      <x:c r="C9" s="237" t="inlineStr">
        <x:is>
          <x:t xml:space="preserve">Useful backup cash</x:t>
        </x:is>
      </x:c>
      <x:c r="D9" s="237" t="inlineStr">
        <x:is>
          <x:t xml:space="preserve">ATMはありますか？</x:t>
        </x:is>
      </x:c>
      <x:c r="E9" s="237" t="inlineStr">
        <x:is>
          <x:t xml:space="preserve">7-Eleven often easiest</x:t>
        </x:is>
      </x:c>
    </x:row>
    <x:row r="10">
      <x:c r="A10" s="237" t="inlineStr">
        <x:is>
          <x:t xml:space="preserve">Trash</x:t>
        </x:is>
      </x:c>
      <x:c r="B10" s="237" t="inlineStr">
        <x:is>
          <x:t xml:space="preserve">Small trash bag</x:t>
        </x:is>
      </x:c>
      <x:c r="C10" s="237" t="inlineStr">
        <x:is>
          <x:t xml:space="preserve">Public bins are rare</x:t>
        </x:is>
      </x:c>
      <x:c r="D10" s="237" t="inlineStr">
        <x:is>
          <x:t xml:space="preserve">Carry until bin found</x:t>
        </x:is>
      </x:c>
      <x:c r="E10" s="237" t="inlineStr">
        <x:is>
          <x:t xml:space="preserve">Bottle bins near vending machines</x:t>
        </x:is>
      </x:c>
    </x:row>
    <x:row r="11">
      <x:c r="A11" s="237" t="inlineStr">
        <x:is>
          <x:t xml:space="preserve">Payment</x:t>
        </x:is>
      </x:c>
      <x:c r="B11" s="237" t="inlineStr">
        <x:is>
          <x:t xml:space="preserve">Card or cash tray</x:t>
        </x:is>
      </x:c>
      <x:c r="C11" s="237" t="inlineStr">
        <x:is>
          <x:t xml:space="preserve">Predictable checkout</x:t>
        </x:is>
      </x:c>
      <x:c r="D11" s="237" t="inlineStr">
        <x:is>
          <x:t xml:space="preserve">カードで / 現金で</x:t>
        </x:is>
      </x:c>
      <x:c r="E11" s="237" t="inlineStr">
        <x:is>
          <x:t xml:space="preserve">Use money tray for cash</x:t>
        </x:is>
      </x:c>
    </x:row>
    <x:row r="12">
      <x:c r="A12" s="230" t="n"/>
      <x:c r="B12" s="230" t="n"/>
      <x:c r="C12" s="230" t="n"/>
      <x:c r="D12" s="230" t="n"/>
      <x:c r="E12" s="230" t="n"/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42" style="146" customWidth="1"/>
    <x:col min="3" max="3" width="36" style="146" customWidth="1"/>
    <x:col min="4" max="4" width="34" style="146" customWidth="1"/>
  </x:cols>
  <x:sheetData>
    <x:row r="1">
      <x:c r="A1" s="233" t="inlineStr">
        <x:is>
          <x:t xml:space="preserve">🚽 Bathroom + Toilet Guide</x:t>
        </x:is>
      </x:c>
      <x:c r="B1" s="233" t="n"/>
      <x:c r="C1" s="233" t="n"/>
      <x:c r="D1" s="233" t="n"/>
    </x:row>
    <x:row r="2">
      <x:c r="A2" s="233" t="n"/>
      <x:c r="B2" s="233" t="n"/>
      <x:c r="C2" s="233" t="n"/>
      <x:c r="D2" s="233" t="n"/>
    </x:row>
    <x:row r="3">
      <x:c r="A3" s="230" t="n"/>
      <x:c r="B3" s="230" t="n"/>
      <x:c r="C3" s="230" t="n"/>
      <x:c r="D3" s="230" t="n"/>
    </x:row>
    <x:row r="4">
      <x:c r="A4" s="236" t="inlineStr">
        <x:is>
          <x:t xml:space="preserve">Topic</x:t>
        </x:is>
      </x:c>
      <x:c r="B4" s="236" t="inlineStr">
        <x:is>
          <x:t xml:space="preserve">What to know</x:t>
        </x:is>
      </x:c>
      <x:c r="C4" s="236" t="inlineStr">
        <x:is>
          <x:t xml:space="preserve">What to do</x:t>
        </x:is>
      </x:c>
      <x:c r="D4" s="236" t="inlineStr">
        <x:is>
          <x:t xml:space="preserve">Notes</x:t>
        </x:is>
      </x:c>
    </x:row>
    <x:row r="5">
      <x:c r="A5" s="237" t="inlineStr">
        <x:is>
          <x:t xml:space="preserve">Finding bathroom</x:t>
        </x:is>
      </x:c>
      <x:c r="B5" s="237" t="inlineStr">
        <x:is>
          <x:t xml:space="preserve">トイレ means toilet/bathroom</x:t>
        </x:is>
      </x:c>
      <x:c r="C5" s="237" t="inlineStr">
        <x:is>
          <x:t xml:space="preserve">Ask: トイレはどこですか？</x:t>
        </x:is>
      </x:c>
      <x:c r="D5" s="237" t="inlineStr">
        <x:is>
          <x:t xml:space="preserve">Toire wa doko desu ka?</x:t>
        </x:is>
      </x:c>
    </x:row>
    <x:row r="6">
      <x:c r="A6" s="237" t="inlineStr">
        <x:is>
          <x:t xml:space="preserve">Bidet controls</x:t>
        </x:is>
      </x:c>
      <x:c r="B6" s="237" t="inlineStr">
        <x:is>
          <x:t xml:space="preserve">Buttons may be in Japanese; icons help</x:t>
        </x:is>
      </x:c>
      <x:c r="C6" s="237" t="inlineStr">
        <x:is>
          <x:t xml:space="preserve">Look for stop button first</x:t>
        </x:is>
      </x:c>
      <x:c r="D6" s="237" t="inlineStr">
        <x:is>
          <x:t xml:space="preserve">止 often means stop</x:t>
        </x:is>
      </x:c>
    </x:row>
    <x:row r="7">
      <x:c r="A7" s="237" t="inlineStr">
        <x:is>
          <x:t xml:space="preserve">Flush</x:t>
        </x:is>
      </x:c>
      <x:c r="B7" s="237" t="inlineStr">
        <x:is>
          <x:t xml:space="preserve">Flush may be a lever, wall sensor, or button</x:t>
        </x:is>
      </x:c>
      <x:c r="C7" s="237" t="inlineStr">
        <x:is>
          <x:t xml:space="preserve">Look around before panicking</x:t>
        </x:is>
      </x:c>
      <x:c r="D7" s="237" t="inlineStr">
        <x:is>
          <x:t xml:space="preserve">Some have sound/privacy buttons</x:t>
        </x:is>
      </x:c>
    </x:row>
    <x:row r="8">
      <x:c r="A8" s="237" t="inlineStr">
        <x:is>
          <x:t xml:space="preserve">Public restrooms</x:t>
        </x:is>
      </x:c>
      <x:c r="B8" s="237" t="inlineStr">
        <x:is>
          <x:t xml:space="preserve">Stations, department stores, parks, museums often have them</x:t>
        </x:is>
      </x:c>
      <x:c r="C8" s="237" t="inlineStr">
        <x:is>
          <x:t xml:space="preserve">Use when available</x:t>
        </x:is>
      </x:c>
      <x:c r="D8" s="237" t="inlineStr">
        <x:is>
          <x:t xml:space="preserve">Bathrooms in small shops may be limited</x:t>
        </x:is>
      </x:c>
    </x:row>
    <x:row r="9">
      <x:c r="A9" s="237" t="inlineStr">
        <x:is>
          <x:t xml:space="preserve">Trash</x:t>
        </x:is>
      </x:c>
      <x:c r="B9" s="237" t="inlineStr">
        <x:is>
          <x:t xml:space="preserve">Trash cans may not be inside stall</x:t>
        </x:is>
      </x:c>
      <x:c r="C9" s="237" t="inlineStr">
        <x:is>
          <x:t xml:space="preserve">Carry small trash bag</x:t>
        </x:is>
      </x:c>
      <x:c r="D9" s="237" t="inlineStr">
        <x:is>
          <x:t xml:space="preserve">Follow posted signs</x:t>
        </x:is>
      </x:c>
    </x:row>
    <x:row r="10">
      <x:c r="A10" s="230" t="n"/>
      <x:c r="B10" s="230" t="n"/>
      <x:c r="C10" s="230" t="n"/>
      <x:c r="D10" s="230" t="n"/>
    </x:row>
    <x:row r="11">
      <x:c r="A11" s="230" t="n"/>
      <x:c r="B11" s="230" t="n"/>
      <x:c r="C11" s="230" t="n"/>
      <x:c r="D11" s="230" t="n"/>
    </x:row>
    <x:row r="12">
      <x:c r="A12" s="230" t="n"/>
      <x:c r="B12" s="230" t="n"/>
      <x:c r="C12" s="230" t="n"/>
      <x:c r="D12" s="230" t="n"/>
    </x:row>
    <x:row r="13">
      <x:c r="A13" s="230" t="n"/>
      <x:c r="B13" s="230" t="n"/>
      <x:c r="C13" s="230" t="n"/>
      <x:c r="D13" s="230" t="n"/>
    </x:row>
    <x:row r="14">
      <x:c r="A14" s="230" t="n"/>
      <x:c r="B14" s="230" t="n"/>
      <x:c r="C14" s="230" t="n"/>
      <x:c r="D14" s="230" t="n"/>
    </x:row>
    <x:row r="15">
      <x:c r="A15" s="230" t="n"/>
      <x:c r="B15" s="230" t="n"/>
      <x:c r="C15" s="230" t="n"/>
      <x:c r="D15" s="230" t="n"/>
    </x:row>
    <x:row r="16">
      <x:c r="A16" s="230" t="n"/>
      <x:c r="B16" s="230" t="n"/>
      <x:c r="C16" s="230" t="n"/>
      <x:c r="D16" s="230" t="n"/>
    </x:row>
    <x:row r="17">
      <x:c r="A17" s="230" t="n"/>
      <x:c r="B17" s="230" t="n"/>
      <x:c r="C17" s="230" t="n"/>
      <x:c r="D17" s="230" t="n"/>
    </x:row>
    <x:row r="18">
      <x:c r="A18" s="230" t="n"/>
      <x:c r="B18" s="230" t="n"/>
      <x:c r="C18" s="230" t="n"/>
      <x:c r="D18" s="230" t="n"/>
    </x:row>
    <x:row r="19">
      <x:c r="A19" s="230" t="n"/>
      <x:c r="B19" s="230" t="n"/>
      <x:c r="C19" s="230" t="n"/>
      <x:c r="D19" s="230" t="n"/>
    </x:row>
    <x:row r="20">
      <x:c r="A20" s="230" t="n"/>
      <x:c r="B20" s="230" t="n"/>
      <x:c r="C20" s="230" t="n"/>
      <x:c r="D20" s="230" t="n"/>
    </x:row>
    <x:row r="21">
      <x:c r="A21" s="230" t="n"/>
      <x:c r="B21" s="230" t="n"/>
      <x:c r="C21" s="230" t="n"/>
      <x:c r="D21" s="230" t="n"/>
    </x:row>
    <x:row r="22">
      <x:c r="A22" s="230" t="n"/>
      <x:c r="B22" s="230" t="n"/>
      <x:c r="C22" s="230" t="n"/>
      <x:c r="D22" s="230" t="n"/>
    </x:row>
    <x:row r="23">
      <x:c r="A23" s="230" t="n"/>
      <x:c r="B23" s="230" t="n"/>
      <x:c r="C23" s="230" t="n"/>
      <x:c r="D23" s="230" t="n"/>
    </x:row>
    <x:row r="24">
      <x:c r="A24" s="230" t="n"/>
      <x:c r="B24" s="230" t="n"/>
      <x:c r="C24" s="230" t="n"/>
      <x:c r="D24" s="230" t="n"/>
    </x:row>
    <x:row r="25">
      <x:c r="A25" s="230" t="n"/>
      <x:c r="B25" s="230" t="n"/>
      <x:c r="C25" s="230" t="n"/>
      <x:c r="D25" s="230" t="n"/>
    </x:row>
    <x:row r="26">
      <x:c r="A26" s="230" t="n"/>
      <x:c r="B26" s="230" t="n"/>
      <x:c r="C26" s="230" t="n"/>
      <x:c r="D26" s="230" t="n"/>
    </x:row>
    <x:row r="27">
      <x:c r="A27" s="230" t="n"/>
      <x:c r="B27" s="230" t="n"/>
      <x:c r="C27" s="230" t="n"/>
      <x:c r="D27" s="230" t="n"/>
    </x:row>
    <x:row r="28">
      <x:c r="A28" s="230" t="n"/>
      <x:c r="B28" s="230" t="n"/>
      <x:c r="C28" s="230" t="n"/>
      <x:c r="D28" s="230" t="n"/>
    </x:row>
    <x:row r="29">
      <x:c r="A29" s="230" t="n"/>
      <x:c r="B29" s="230" t="n"/>
      <x:c r="C29" s="230" t="n"/>
      <x:c r="D29" s="230" t="n"/>
    </x:row>
    <x:row r="30">
      <x:c r="A30" s="230" t="n"/>
      <x:c r="B30" s="230" t="n"/>
      <x:c r="C30" s="230" t="n"/>
      <x:c r="D30" s="230" t="n"/>
    </x:row>
    <x:row r="31">
      <x:c r="A31" s="230" t="n"/>
      <x:c r="B31" s="230" t="n"/>
      <x:c r="C31" s="230" t="n"/>
      <x:c r="D31" s="230" t="n"/>
    </x:row>
    <x:row r="32">
      <x:c r="A32" s="230" t="n"/>
      <x:c r="B32" s="230" t="n"/>
      <x:c r="C32" s="230" t="n"/>
      <x:c r="D32" s="230" t="n"/>
    </x:row>
    <x:row r="33">
      <x:c r="A33" s="230" t="n"/>
      <x:c r="B33" s="230" t="n"/>
      <x:c r="C33" s="230" t="n"/>
      <x:c r="D33" s="230" t="n"/>
    </x:row>
    <x:row r="34">
      <x:c r="A34" s="230" t="n"/>
      <x:c r="B34" s="230" t="n"/>
      <x:c r="C34" s="230" t="n"/>
      <x:c r="D34" s="230" t="n"/>
    </x:row>
    <x:row r="35">
      <x:c r="A35" s="230" t="n"/>
      <x:c r="B35" s="230" t="n"/>
      <x:c r="C35" s="230" t="n"/>
      <x:c r="D35" s="230" t="n"/>
    </x:row>
    <x:row r="36">
      <x:c r="A36" s="230" t="n"/>
      <x:c r="B36" s="230" t="n"/>
      <x:c r="C36" s="230" t="n"/>
      <x:c r="D36" s="230" t="n"/>
    </x:row>
    <x:row r="37">
      <x:c r="A37" s="230" t="n"/>
      <x:c r="B37" s="230" t="n"/>
      <x:c r="C37" s="230" t="n"/>
      <x:c r="D37" s="230" t="n"/>
    </x:row>
    <x:row r="38">
      <x:c r="A38" s="230" t="n"/>
      <x:c r="B38" s="230" t="n"/>
      <x:c r="C38" s="230" t="n"/>
      <x:c r="D38" s="230" t="n"/>
    </x:row>
    <x:row r="39">
      <x:c r="A39" s="230" t="n"/>
      <x:c r="B39" s="230" t="n"/>
      <x:c r="C39" s="230" t="n"/>
      <x:c r="D39" s="230" t="n"/>
    </x:row>
    <x:row r="40">
      <x:c r="A40" s="230" t="n"/>
      <x:c r="B40" s="230" t="n"/>
      <x:c r="C40" s="230" t="n"/>
      <x:c r="D40" s="230" t="n"/>
    </x:row>
    <x:row r="41">
      <x:c r="A41" s="230" t="n"/>
      <x:c r="B41" s="230" t="n"/>
      <x:c r="C41" s="230" t="n"/>
      <x:c r="D41" s="230" t="n"/>
    </x:row>
    <x:row r="42">
      <x:c r="A42" s="230" t="n"/>
      <x:c r="B42" s="230" t="n"/>
      <x:c r="C42" s="230" t="n"/>
      <x:c r="D42" s="230" t="n"/>
    </x:row>
    <x:row r="43">
      <x:c r="A43" s="230" t="n"/>
      <x:c r="B43" s="230" t="n"/>
      <x:c r="C43" s="230" t="n"/>
      <x:c r="D43" s="230" t="n"/>
    </x:row>
    <x:row r="44">
      <x:c r="A44" s="230" t="n"/>
      <x:c r="B44" s="230" t="n"/>
      <x:c r="C44" s="230" t="n"/>
      <x:c r="D44" s="230" t="n"/>
    </x:row>
    <x:row r="45">
      <x:c r="A45" s="230" t="n"/>
      <x:c r="B45" s="230" t="n"/>
      <x:c r="C45" s="230" t="n"/>
      <x:c r="D45" s="230" t="n"/>
    </x:row>
    <x:row r="46">
      <x:c r="A46" s="230" t="n"/>
      <x:c r="B46" s="230" t="n"/>
      <x:c r="C46" s="230" t="n"/>
      <x:c r="D46" s="230" t="n"/>
    </x:row>
    <x:row r="47">
      <x:c r="A47" s="230" t="n"/>
      <x:c r="B47" s="230" t="n"/>
      <x:c r="C47" s="230" t="n"/>
      <x:c r="D47" s="230" t="n"/>
    </x:row>
    <x:row r="48">
      <x:c r="A48" s="230" t="n"/>
      <x:c r="B48" s="230" t="n"/>
      <x:c r="C48" s="230" t="n"/>
      <x:c r="D48" s="230" t="n"/>
    </x:row>
    <x:row r="49">
      <x:c r="A49" s="230" t="n"/>
      <x:c r="B49" s="230" t="n"/>
      <x:c r="C49" s="230" t="n"/>
      <x:c r="D49" s="230" t="n"/>
    </x:row>
    <x:row r="50">
      <x:c r="A50" s="230" t="n"/>
      <x:c r="B50" s="230" t="n"/>
      <x:c r="C50" s="230" t="n"/>
      <x:c r="D50" s="230" t="n"/>
    </x:row>
    <x:row r="51">
      <x:c r="A51" s="230" t="n"/>
      <x:c r="B51" s="230" t="n"/>
      <x:c r="C51" s="230" t="n"/>
      <x:c r="D51" s="230" t="n"/>
    </x:row>
    <x:row r="52">
      <x:c r="A52" s="230" t="n"/>
      <x:c r="B52" s="230" t="n"/>
      <x:c r="C52" s="230" t="n"/>
      <x:c r="D52" s="230" t="n"/>
    </x:row>
    <x:row r="53">
      <x:c r="A53" s="230" t="n"/>
      <x:c r="B53" s="230" t="n"/>
      <x:c r="C53" s="230" t="n"/>
      <x:c r="D53" s="230" t="n"/>
    </x:row>
    <x:row r="54">
      <x:c r="A54" s="230" t="n"/>
      <x:c r="B54" s="230" t="n"/>
      <x:c r="C54" s="230" t="n"/>
      <x:c r="D54" s="230" t="n"/>
    </x:row>
    <x:row r="55">
      <x:c r="A55" s="230" t="n"/>
      <x:c r="B55" s="230" t="n"/>
      <x:c r="C55" s="230" t="n"/>
      <x:c r="D55" s="230" t="n"/>
    </x:row>
    <x:row r="56">
      <x:c r="A56" s="230" t="n"/>
      <x:c r="B56" s="230" t="n"/>
      <x:c r="C56" s="230" t="n"/>
      <x:c r="D56" s="230" t="n"/>
    </x:row>
    <x:row r="57">
      <x:c r="A57" s="230" t="n"/>
      <x:c r="B57" s="230" t="n"/>
      <x:c r="C57" s="230" t="n"/>
      <x:c r="D57" s="230" t="n"/>
    </x:row>
    <x:row r="58">
      <x:c r="A58" s="230" t="n"/>
      <x:c r="B58" s="230" t="n"/>
      <x:c r="C58" s="230" t="n"/>
      <x:c r="D58" s="230" t="n"/>
    </x:row>
    <x:row r="59">
      <x:c r="A59" s="230" t="n"/>
      <x:c r="B59" s="230" t="n"/>
      <x:c r="C59" s="230" t="n"/>
      <x:c r="D59" s="230" t="n"/>
    </x:row>
    <x:row r="60">
      <x:c r="A60" s="230" t="n"/>
      <x:c r="B60" s="230" t="n"/>
      <x:c r="C60" s="230" t="n"/>
      <x:c r="D60" s="230" t="n"/>
    </x:row>
    <x:row r="61">
      <x:c r="A61" s="230" t="n"/>
      <x:c r="B61" s="230" t="n"/>
      <x:c r="C61" s="230" t="n"/>
      <x:c r="D61" s="230" t="n"/>
    </x:row>
    <x:row r="62">
      <x:c r="A62" s="230" t="n"/>
      <x:c r="B62" s="230" t="n"/>
      <x:c r="C62" s="230" t="n"/>
      <x:c r="D62" s="230" t="n"/>
    </x:row>
    <x:row r="63">
      <x:c r="A63" s="230" t="n"/>
      <x:c r="B63" s="230" t="n"/>
      <x:c r="C63" s="230" t="n"/>
      <x:c r="D63" s="230" t="n"/>
    </x:row>
    <x:row r="64">
      <x:c r="A64" s="230" t="n"/>
      <x:c r="B64" s="230" t="n"/>
      <x:c r="C64" s="230" t="n"/>
      <x:c r="D64" s="230" t="n"/>
    </x:row>
    <x:row r="65">
      <x:c r="A65" s="230" t="n"/>
      <x:c r="B65" s="230" t="n"/>
      <x:c r="C65" s="230" t="n"/>
      <x:c r="D65" s="230" t="n"/>
    </x:row>
    <x:row r="66">
      <x:c r="A66" s="230" t="n"/>
      <x:c r="B66" s="230" t="n"/>
      <x:c r="C66" s="230" t="n"/>
      <x:c r="D66" s="230" t="n"/>
    </x:row>
    <x:row r="67">
      <x:c r="A67" s="230" t="n"/>
      <x:c r="B67" s="230" t="n"/>
      <x:c r="C67" s="230" t="n"/>
      <x:c r="D67" s="230" t="n"/>
    </x:row>
    <x:row r="68">
      <x:c r="A68" s="230" t="n"/>
      <x:c r="B68" s="230" t="n"/>
      <x:c r="C68" s="230" t="n"/>
      <x:c r="D68" s="230" t="n"/>
    </x:row>
    <x:row r="69">
      <x:c r="A69" s="230" t="n"/>
      <x:c r="B69" s="230" t="n"/>
      <x:c r="C69" s="230" t="n"/>
      <x:c r="D69" s="230" t="n"/>
    </x:row>
    <x:row r="70">
      <x:c r="A70" s="230" t="n"/>
      <x:c r="B70" s="230" t="n"/>
      <x:c r="C70" s="230" t="n"/>
      <x:c r="D70" s="230" t="n"/>
    </x:row>
    <x:row r="71">
      <x:c r="A71" s="230" t="n"/>
      <x:c r="B71" s="230" t="n"/>
      <x:c r="C71" s="230" t="n"/>
      <x:c r="D71" s="230" t="n"/>
    </x:row>
    <x:row r="72">
      <x:c r="A72" s="230" t="n"/>
      <x:c r="B72" s="230" t="n"/>
      <x:c r="C72" s="230" t="n"/>
      <x:c r="D72" s="230" t="n"/>
    </x:row>
    <x:row r="73">
      <x:c r="A73" s="230" t="n"/>
      <x:c r="B73" s="230" t="n"/>
      <x:c r="C73" s="230" t="n"/>
      <x:c r="D73" s="230" t="n"/>
    </x:row>
    <x:row r="74">
      <x:c r="A74" s="230" t="n"/>
      <x:c r="B74" s="230" t="n"/>
      <x:c r="C74" s="230" t="n"/>
      <x:c r="D74" s="230" t="n"/>
    </x:row>
    <x:row r="75">
      <x:c r="A75" s="230" t="n"/>
      <x:c r="B75" s="230" t="n"/>
      <x:c r="C75" s="230" t="n"/>
      <x:c r="D75" s="230" t="n"/>
    </x:row>
    <x:row r="76">
      <x:c r="A76" s="230" t="n"/>
      <x:c r="B76" s="230" t="n"/>
      <x:c r="C76" s="230" t="n"/>
      <x:c r="D76" s="230" t="n"/>
    </x:row>
    <x:row r="77">
      <x:c r="A77" s="230" t="n"/>
      <x:c r="B77" s="230" t="n"/>
      <x:c r="C77" s="230" t="n"/>
      <x:c r="D77" s="230" t="n"/>
    </x:row>
    <x:row r="78">
      <x:c r="A78" s="230" t="n"/>
      <x:c r="B78" s="230" t="n"/>
      <x:c r="C78" s="230" t="n"/>
      <x:c r="D78" s="230" t="n"/>
    </x:row>
    <x:row r="79">
      <x:c r="A79" s="230" t="n"/>
      <x:c r="B79" s="230" t="n"/>
      <x:c r="C79" s="230" t="n"/>
      <x:c r="D79" s="230" t="n"/>
    </x:row>
    <x:row r="80">
      <x:c r="A80" s="230" t="n"/>
      <x:c r="B80" s="230" t="n"/>
      <x:c r="C80" s="230" t="n"/>
      <x:c r="D80" s="230" t="n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34" style="146" customWidth="1"/>
    <x:col min="3" max="3" width="30" style="146" customWidth="1"/>
    <x:col min="4" max="4" width="34" style="146" customWidth="1"/>
    <x:col min="5" max="5" width="16" style="146" customWidth="1"/>
    <x:col min="6" max="6" width="36" style="146" customWidth="1"/>
  </x:cols>
  <x:sheetData>
    <x:row r="1">
      <x:c r="A1" s="233" t="inlineStr">
        <x:is>
          <x:t xml:space="preserve">🌸 October Seasonal Tracker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City</x:t>
        </x:is>
      </x:c>
      <x:c r="B4" s="236" t="inlineStr">
        <x:is>
          <x:t xml:space="preserve">Typical October Feel</x:t>
        </x:is>
      </x:c>
      <x:c r="C4" s="236" t="inlineStr">
        <x:is>
          <x:t xml:space="preserve">Clothing</x:t>
        </x:is>
      </x:c>
      <x:c r="D4" s="236" t="inlineStr">
        <x:is>
          <x:t xml:space="preserve">Rain/Typhoon Note</x:t>
        </x:is>
      </x:c>
      <x:c r="E4" s="236" t="inlineStr">
        <x:is>
          <x:t xml:space="preserve">Crowds</x:t>
        </x:is>
      </x:c>
      <x:c r="F4" s="236" t="inlineStr">
        <x:is>
          <x:t xml:space="preserve">Planning Tip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Comfortable, mild fall weather</x:t>
        </x:is>
      </x:c>
      <x:c r="C5" s="237" t="inlineStr">
        <x:is>
          <x:t xml:space="preserve">Light layers + comfortable shoes</x:t>
        </x:is>
      </x:c>
      <x:c r="D5" s="237" t="inlineStr">
        <x:is>
          <x:t xml:space="preserve">Typhoon season usually lower than late summer but rain possible</x:t>
        </x:is>
      </x:c>
      <x:c r="E5" s="237" t="inlineStr">
        <x:is>
          <x:t xml:space="preserve">Medium</x:t>
        </x:is>
      </x:c>
      <x:c r="F5" s="237" t="inlineStr">
        <x:is>
          <x:t xml:space="preserve">Keep rain backup</x:t>
        </x:is>
      </x:c>
    </x:row>
    <x:row r="6">
      <x:c r="A6" s="237" t="inlineStr">
        <x:is>
          <x:t xml:space="preserve">Kyoto</x:t>
        </x:is>
      </x:c>
      <x:c r="B6" s="237" t="inlineStr">
        <x:is>
          <x:t xml:space="preserve">Mild, good walking weather</x:t>
        </x:is>
      </x:c>
      <x:c r="C6" s="237" t="inlineStr">
        <x:is>
          <x:t xml:space="preserve">Light jacket in evenings</x:t>
        </x:is>
      </x:c>
      <x:c r="D6" s="237" t="inlineStr">
        <x:is>
          <x:t xml:space="preserve">Rain possible</x:t>
        </x:is>
      </x:c>
      <x:c r="E6" s="237" t="inlineStr">
        <x:is>
          <x:t xml:space="preserve">High at major temples</x:t>
        </x:is>
      </x:c>
      <x:c r="F6" s="237" t="inlineStr">
        <x:is>
          <x:t xml:space="preserve">Go early for Fushimi/Arashiyama/Kiyomizu</x:t>
        </x:is>
      </x:c>
    </x:row>
    <x:row r="7">
      <x:c r="A7" s="237" t="inlineStr">
        <x:is>
          <x:t xml:space="preserve">Hakone</x:t>
        </x:is>
      </x:c>
      <x:c r="B7" s="237" t="inlineStr">
        <x:is>
          <x:t xml:space="preserve">Cooler mountain weather</x:t>
        </x:is>
      </x:c>
      <x:c r="C7" s="237" t="inlineStr">
        <x:is>
          <x:t xml:space="preserve">Layer + light jacket</x:t>
        </x:is>
      </x:c>
      <x:c r="D7" s="237" t="inlineStr">
        <x:is>
          <x:t xml:space="preserve">Weather can affect Fuji views</x:t>
        </x:is>
      </x:c>
      <x:c r="E7" s="237" t="inlineStr">
        <x:is>
          <x:t xml:space="preserve">Medium</x:t>
        </x:is>
      </x:c>
      <x:c r="F7" s="237" t="inlineStr">
        <x:is>
          <x:t xml:space="preserve">Make ryokan/onsen the core</x:t>
        </x:is>
      </x:c>
    </x:row>
    <x:row r="8">
      <x:c r="A8" s="237" t="inlineStr">
        <x:is>
          <x:t xml:space="preserve">Nara</x:t>
        </x:is>
      </x:c>
      <x:c r="B8" s="237" t="inlineStr">
        <x:is>
          <x:t xml:space="preserve">Mild day-trip weather</x:t>
        </x:is>
      </x:c>
      <x:c r="C8" s="237" t="inlineStr">
        <x:is>
          <x:t xml:space="preserve">Comfortable shoes</x:t>
        </x:is>
      </x:c>
      <x:c r="D8" s="237" t="inlineStr">
        <x:is>
          <x:t xml:space="preserve">Rain backup cafe/station area</x:t>
        </x:is>
      </x:c>
      <x:c r="E8" s="237" t="inlineStr">
        <x:is>
          <x:t xml:space="preserve">Medium</x:t>
        </x:is>
      </x:c>
      <x:c r="F8" s="237" t="inlineStr">
        <x:is>
          <x:t xml:space="preserve">Keep day simple</x:t>
        </x:is>
      </x:c>
    </x:row>
    <x:row r="9">
      <x:c r="A9" s="230" t="n"/>
      <x:c r="B9" s="230" t="n"/>
      <x:c r="C9" s="230" t="n"/>
      <x:c r="D9" s="230" t="n"/>
      <x:c r="E9" s="230" t="n"/>
      <x:c r="F9" s="230" t="n"/>
    </x:row>
    <x:row r="10">
      <x:c r="A10" s="230" t="n"/>
      <x:c r="B10" s="230" t="n"/>
      <x:c r="C10" s="230" t="n"/>
      <x:c r="D10" s="230" t="n"/>
      <x:c r="E10" s="230" t="n"/>
      <x:c r="F10" s="230" t="n"/>
    </x:row>
    <x:row r="11">
      <x:c r="A11" s="230" t="n"/>
      <x:c r="B11" s="230" t="n"/>
      <x:c r="C11" s="230" t="n"/>
      <x:c r="D11" s="230" t="n"/>
      <x:c r="E11" s="230" t="n"/>
      <x:c r="F11" s="230" t="n"/>
    </x:row>
    <x:row r="12">
      <x:c r="A12" s="230" t="n"/>
      <x:c r="B12" s="230" t="n"/>
      <x:c r="C12" s="230" t="n"/>
      <x:c r="D12" s="230" t="n"/>
      <x:c r="E12" s="230" t="n"/>
      <x:c r="F12" s="230" t="n"/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36" style="146" customWidth="1"/>
    <x:col min="3" max="3" width="18" style="146" customWidth="1"/>
    <x:col min="4" max="4" width="16" style="146" customWidth="1"/>
    <x:col min="5" max="5" width="42" style="146" customWidth="1"/>
  </x:cols>
  <x:sheetData>
    <x:row r="1">
      <x:c r="A1" s="233" t="inlineStr">
        <x:is>
          <x:t xml:space="preserve">📅 Reservation Timeline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Month</x:t>
        </x:is>
      </x:c>
      <x:c r="B4" s="236" t="inlineStr">
        <x:is>
          <x:t xml:space="preserve">Task</x:t>
        </x:is>
      </x:c>
      <x:c r="C4" s="236" t="inlineStr">
        <x:is>
          <x:t xml:space="preserve">Owner</x:t>
        </x:is>
      </x:c>
      <x:c r="D4" s="236" t="inlineStr">
        <x:is>
          <x:t xml:space="preserve">Status</x:t>
        </x:is>
      </x:c>
      <x:c r="E4" s="236" t="inlineStr">
        <x:is>
          <x:t xml:space="preserve">Notes</x:t>
        </x:is>
      </x:c>
    </x:row>
    <x:row r="5">
      <x:c r="A5" s="237" t="inlineStr">
        <x:is>
          <x:t xml:space="preserve">Now</x:t>
        </x:is>
      </x:c>
      <x:c r="B5" s="237" t="inlineStr">
        <x:is>
          <x:t xml:space="preserve">Compare JAL flights LAX/BOS</x:t>
        </x:is>
      </x:c>
      <x:c r="C5" s="237" t="inlineStr">
        <x:is>
          <x:t xml:space="preserve">David</x:t>
        </x:is>
      </x:c>
      <x:c r="D5" s="237" t="inlineStr">
        <x:is>
          <x:t xml:space="preserve">Watching</x:t>
        </x:is>
      </x:c>
      <x:c r="E5" s="237" t="inlineStr">
        <x:is>
          <x:t xml:space="preserve">Narita seems more affordable</x:t>
        </x:is>
      </x:c>
    </x:row>
    <x:row r="6">
      <x:c r="A6" s="237" t="inlineStr">
        <x:is>
          <x:t xml:space="preserve">Now</x:t>
        </x:is>
      </x:c>
      <x:c r="B6" s="237" t="inlineStr">
        <x:is>
          <x:t xml:space="preserve">Pick Akasaka hotels</x:t>
        </x:is>
      </x:c>
      <x:c r="C6" s="237" t="inlineStr">
        <x:is>
          <x:t xml:space="preserve">David + Noelle</x:t>
        </x:is>
      </x:c>
      <x:c r="D6" s="237" t="inlineStr">
        <x:is>
          <x:t xml:space="preserve">Not started</x:t>
        </x:is>
      </x:c>
      <x:c r="E6" s="237" t="inlineStr">
        <x:is>
          <x:t xml:space="preserve">Good transit, calmer base</x:t>
        </x:is>
      </x:c>
    </x:row>
    <x:row r="7">
      <x:c r="A7" s="237" t="inlineStr">
        <x:is>
          <x:t xml:space="preserve">Now</x:t>
        </x:is>
      </x:c>
      <x:c r="B7" s="237" t="inlineStr">
        <x:is>
          <x:t xml:space="preserve">Book Hakone ryokan</x:t>
        </x:is>
      </x:c>
      <x:c r="C7" s="237" t="inlineStr">
        <x:is>
          <x:t xml:space="preserve">David + Noelle</x:t>
        </x:is>
      </x:c>
      <x:c r="D7" s="237" t="inlineStr">
        <x:is>
          <x:t xml:space="preserve">Not started</x:t>
        </x:is>
      </x:c>
      <x:c r="E7" s="237" t="inlineStr">
        <x:is>
          <x:t xml:space="preserve">Private onsen if possible</x:t>
        </x:is>
      </x:c>
    </x:row>
    <x:row r="8">
      <x:c r="A8" s="237" t="str">
        <x:v>Now</x:v>
      </x:c>
      <x:c r="B8" s="237" t="str">
        <x:v>Book Kyoto hotel</x:v>
      </x:c>
      <x:c r="C8" s="237" t="str">
        <x:v>David + Noelle</x:v>
      </x:c>
      <x:c r="D8" s="237" t="str">
        <x:v>Not started</x:v>
      </x:c>
      <x:c r="E8" s="237" t="str">
        <x:v>3 nights; laundry helpful</x:v>
      </x:c>
    </x:row>
    <x:row r="9">
      <x:c r="A9" s="237" t="str">
        <x:v>Now</x:v>
      </x:c>
      <x:c r="B9" s="237" t="str">
        <x:v>Book Osaka hotel</x:v>
      </x:c>
      <x:c r="C9" s="237" t="str">
        <x:v>David + Noelle</x:v>
      </x:c>
      <x:c r="D9" s="237" t="str">
        <x:v>Not started</x:v>
      </x:c>
      <x:c r="E9" s="237" t="str">
        <x:v>2 nights; Namba/Shinsaibashi/Umeda</x:v>
      </x:c>
    </x:row>
    <x:row r="10">
      <x:c r="A10" s="237" t="str">
        <x:v>When available</x:v>
      </x:c>
      <x:c r="B10" s="237" t="str">
        <x:v>Ghibli Museum tickets</x:v>
      </x:c>
      <x:c r="C10" s="237" t="str">
        <x:v>David</x:v>
      </x:c>
      <x:c r="D10" s="237" t="str">
        <x:v>Watching</x:v>
      </x:c>
      <x:c r="E10" s="237" t="str">
        <x:v>Advance reservation required</x:v>
      </x:c>
    </x:row>
    <x:row r="11">
      <x:c r="A11" s="237" t="str">
        <x:v>Before trip</x:v>
      </x:c>
      <x:c r="B11" s="237" t="str">
        <x:v>Visit Japan Web QR codes</x:v>
      </x:c>
      <x:c r="C11" s="237" t="str">
        <x:v>All</x:v>
      </x:c>
      <x:c r="D11" s="237" t="str">
        <x:v>Not started</x:v>
      </x:c>
      <x:c r="E11" s="237" t="str">
        <x:v>Screenshot QR codes</x:v>
      </x:c>
    </x:row>
    <x:row r="12">
      <x:c r="A12" s="230" t="str">
        <x:v>Before trip</x:v>
      </x:c>
      <x:c r="B12" s="230" t="str">
        <x:v>eSIM / Suica / offline maps</x:v>
      </x:c>
      <x:c r="C12" s="230" t="str">
        <x:v>All</x:v>
      </x:c>
      <x:c r="D12" s="230" t="str">
        <x:v>Not started</x:v>
      </x:c>
      <x:c r="E12" s="230" t="str">
        <x:v>Help Hilda set up</x:v>
      </x:c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8" style="146" customWidth="1"/>
    <x:col min="3" max="3" width="34" style="146" customWidth="1"/>
  </x:cols>
  <x:sheetData>
    <x:row r="1">
      <x:c r="A1" s="233" t="inlineStr">
        <x:is>
          <x:t xml:space="preserve">🤖 Smart Morning Brief Template</x:t>
        </x:is>
      </x:c>
      <x:c r="B1" s="233" t="n"/>
      <x:c r="C1" s="233" t="n"/>
    </x:row>
    <x:row r="2">
      <x:c r="A2" s="233" t="n"/>
      <x:c r="B2" s="233" t="n"/>
      <x:c r="C2" s="233" t="n"/>
    </x:row>
    <x:row r="3">
      <x:c r="A3" s="230" t="n"/>
      <x:c r="B3" s="230" t="n"/>
      <x:c r="C3" s="230" t="n"/>
    </x:row>
    <x:row r="4">
      <x:c r="A4" s="236" t="inlineStr">
        <x:is>
          <x:t xml:space="preserve">Field</x:t>
        </x:is>
      </x:c>
      <x:c r="B4" s="236" t="inlineStr">
        <x:is>
          <x:t xml:space="preserve">Auto / Fill</x:t>
        </x:is>
      </x:c>
      <x:c r="C4" s="236" t="inlineStr">
        <x:is>
          <x:t xml:space="preserve">Notes</x:t>
        </x:is>
      </x:c>
    </x:row>
    <x:row r="5">
      <x:c r="A5" s="237" t="inlineStr">
        <x:is>
          <x:t xml:space="preserve">Good morning</x:t>
        </x:is>
      </x:c>
      <x:c r="B5" s="237" t="n">
        <x:f>'⚙️ Control'!C12</x:f>
        <x:v>46323</x:v>
      </x:c>
      <x:c r="C5" s="237" t="inlineStr">
        <x:is>
          <x:t xml:space="preserve">Selected date</x:t>
        </x:is>
      </x:c>
    </x:row>
    <x:row r="6">
      <x:c r="A6" s="237" t="inlineStr">
        <x:is>
          <x:t xml:space="preserve">City</x:t>
        </x:is>
      </x:c>
      <x:c r="B6" s="237" t="str">
        <x:f>XLOOKUP('⚙️ Control'!C12,'📅 Master Itinerary'!B:B,'📅 Master Itinerary'!C:C,"Set date")</x:f>
        <x:v>Tokyo</x:v>
      </x:c>
      <x:c r="C6" s="237" t="str"/>
    </x:row>
    <x:row r="7">
      <x:c r="A7" s="237" t="inlineStr">
        <x:is>
          <x:t xml:space="preserve">Theme</x:t>
        </x:is>
      </x:c>
      <x:c r="B7" s="237" t="str">
        <x:f>XLOOKUP('⚙️ Control'!C12,'📅 Master Itinerary'!B:B,'📅 Master Itinerary'!H:H,"Set date")</x:f>
        <x:v>🟢 Soft Start</x:v>
      </x:c>
      <x:c r="C7" s="237" t="str"/>
    </x:row>
    <x:row r="8">
      <x:c r="A8" s="237" t="inlineStr">
        <x:is>
          <x:t xml:space="preserve">Morning</x:t>
        </x:is>
      </x:c>
      <x:c r="B8" s="237" t="str">
        <x:f>XLOOKUP('⚙️ Control'!C12,'📅 Master Itinerary'!B:B,'📅 Master Itinerary'!D:D,"Set date")</x:f>
        <x:v>Akasaka orientation</x:v>
      </x:c>
      <x:c r="C8" s="237" t="str"/>
    </x:row>
    <x:row r="9">
      <x:c r="A9" s="237" t="inlineStr">
        <x:is>
          <x:t xml:space="preserve">Afternoon</x:t>
        </x:is>
      </x:c>
      <x:c r="B9" s="237" t="str">
        <x:f>XLOOKUP('⚙️ Control'!C12,'📅 Master Itinerary'!B:B,'📅 Master Itinerary'!E:E,"Set date")</x:f>
        <x:v>Hie Shrine + nearby cafés</x:v>
      </x:c>
      <x:c r="C9" s="237" t="str"/>
    </x:row>
    <x:row r="10">
      <x:c r="A10" s="237" t="inlineStr">
        <x:is>
          <x:t xml:space="preserve">Evening</x:t>
        </x:is>
      </x:c>
      <x:c r="B10" s="237" t="str">
        <x:f>XLOOKUP('⚙️ Control'!C12,'📅 Master Itinerary'!B:B,'📅 Master Itinerary'!F:F,"Set date")</x:f>
        <x:v>Welcome dinner</x:v>
      </x:c>
      <x:c r="C10" s="237" t="str"/>
    </x:row>
    <x:row r="11">
      <x:c r="A11" s="237" t="inlineStr">
        <x:is>
          <x:t xml:space="preserve">Bring</x:t>
        </x:is>
      </x:c>
      <x:c r="B11" s="237" t="str">
        <x:f>XLOOKUP('⚙️ Control'!C12,'📅 Master Itinerary'!B:B,'📅 Master Itinerary'!L:L,"Set date")</x:f>
        <x:v>Comfortable shoes</x:v>
      </x:c>
      <x:c r="C11" s="237" t="str"/>
    </x:row>
    <x:row r="12">
      <x:c r="A12" s="237" t="inlineStr">
        <x:is>
          <x:t xml:space="preserve">Walking</x:t>
        </x:is>
      </x:c>
      <x:c r="B12" s="237" t="str">
        <x:f>XLOOKUP('⚙️ Control'!C12,'📅 Master Itinerary'!B:B,'📅 Master Itinerary'!K:K,"Set date")</x:f>
        <x:v>3–4 mi</x:v>
      </x:c>
      <x:c r="C12" s="237" t="str"/>
    </x:row>
    <x:row r="13">
      <x:c r="A13" s="237" t="inlineStr">
        <x:is>
          <x:t xml:space="preserve">Weather</x:t>
        </x:is>
      </x:c>
      <x:c r="B13" s="237" t="inlineStr">
        <x:is>
          <x:t xml:space="preserve">Pulled in web app</x:t>
        </x:is>
      </x:c>
      <x:c r="C13" s="237" t="inlineStr">
        <x:is>
          <x:t xml:space="preserve">Open-Meteo forecast closer to trip</x:t>
        </x:is>
      </x:c>
    </x:row>
    <x:row r="14">
      <x:c r="A14" s="230" t="n"/>
      <x:c r="B14" s="230" t="n"/>
      <x:c r="C14" s="230" t="n"/>
    </x:row>
    <x:row r="15">
      <x:c r="A15" s="230" t="n"/>
      <x:c r="B15" s="230" t="n"/>
      <x:c r="C15" s="230" t="n"/>
    </x:row>
    <x:row r="16">
      <x:c r="A16" s="230" t="n"/>
      <x:c r="B16" s="230" t="n"/>
      <x:c r="C16" s="230" t="n"/>
    </x:row>
    <x:row r="17">
      <x:c r="A17" s="230" t="n"/>
      <x:c r="B17" s="230" t="n"/>
      <x:c r="C17" s="230" t="n"/>
    </x:row>
    <x:row r="18">
      <x:c r="A18" s="230" t="n"/>
      <x:c r="B18" s="230" t="n"/>
      <x:c r="C18" s="230" t="n"/>
    </x:row>
    <x:row r="19">
      <x:c r="A19" s="230" t="n"/>
      <x:c r="B19" s="230" t="n"/>
      <x:c r="C19" s="230" t="n"/>
    </x:row>
    <x:row r="20">
      <x:c r="A20" s="230" t="n"/>
      <x:c r="B20" s="230" t="n"/>
      <x:c r="C20" s="230" t="n"/>
    </x:row>
    <x:row r="21">
      <x:c r="A21" s="230" t="n"/>
      <x:c r="B21" s="230" t="n"/>
      <x:c r="C21" s="230" t="n"/>
    </x:row>
    <x:row r="22">
      <x:c r="A22" s="230" t="n"/>
      <x:c r="B22" s="230" t="n"/>
      <x:c r="C22" s="230" t="n"/>
    </x:row>
    <x:row r="23">
      <x:c r="A23" s="230" t="n"/>
      <x:c r="B23" s="230" t="n"/>
      <x:c r="C23" s="230" t="n"/>
    </x:row>
    <x:row r="24">
      <x:c r="A24" s="230" t="n"/>
      <x:c r="B24" s="230" t="n"/>
      <x:c r="C24" s="230" t="n"/>
    </x:row>
    <x:row r="25">
      <x:c r="A25" s="230" t="n"/>
      <x:c r="B25" s="230" t="n"/>
      <x:c r="C25" s="230" t="n"/>
    </x:row>
    <x:row r="26">
      <x:c r="A26" s="230" t="n"/>
      <x:c r="B26" s="230" t="n"/>
      <x:c r="C26" s="230" t="n"/>
    </x:row>
    <x:row r="27">
      <x:c r="A27" s="230" t="n"/>
      <x:c r="B27" s="230" t="n"/>
      <x:c r="C27" s="230" t="n"/>
    </x:row>
    <x:row r="28">
      <x:c r="A28" s="230" t="n"/>
      <x:c r="B28" s="230" t="n"/>
      <x:c r="C28" s="230" t="n"/>
    </x:row>
    <x:row r="29">
      <x:c r="A29" s="230" t="n"/>
      <x:c r="B29" s="230" t="n"/>
      <x:c r="C29" s="230" t="n"/>
    </x:row>
    <x:row r="30">
      <x:c r="A30" s="230" t="n"/>
      <x:c r="B30" s="230" t="n"/>
      <x:c r="C30" s="230" t="n"/>
    </x:row>
    <x:row r="31">
      <x:c r="A31" s="230" t="n"/>
      <x:c r="B31" s="230" t="n"/>
      <x:c r="C31" s="230" t="n"/>
    </x:row>
    <x:row r="32">
      <x:c r="A32" s="230" t="n"/>
      <x:c r="B32" s="230" t="n"/>
      <x:c r="C32" s="230" t="n"/>
    </x:row>
    <x:row r="33">
      <x:c r="A33" s="230" t="n"/>
      <x:c r="B33" s="230" t="n"/>
      <x:c r="C33" s="230" t="n"/>
    </x:row>
    <x:row r="34">
      <x:c r="A34" s="230" t="n"/>
      <x:c r="B34" s="230" t="n"/>
      <x:c r="C34" s="230" t="n"/>
    </x:row>
    <x:row r="35">
      <x:c r="A35" s="230" t="n"/>
      <x:c r="B35" s="230" t="n"/>
      <x:c r="C35" s="230" t="n"/>
    </x:row>
    <x:row r="36">
      <x:c r="A36" s="230" t="n"/>
      <x:c r="B36" s="230" t="n"/>
      <x:c r="C36" s="230" t="n"/>
    </x:row>
    <x:row r="37">
      <x:c r="A37" s="230" t="n"/>
      <x:c r="B37" s="230" t="n"/>
      <x:c r="C37" s="230" t="n"/>
    </x:row>
    <x:row r="38">
      <x:c r="A38" s="230" t="n"/>
      <x:c r="B38" s="230" t="n"/>
      <x:c r="C38" s="230" t="n"/>
    </x:row>
    <x:row r="39">
      <x:c r="A39" s="230" t="n"/>
      <x:c r="B39" s="230" t="n"/>
      <x:c r="C39" s="230" t="n"/>
    </x:row>
    <x:row r="40">
      <x:c r="A40" s="230" t="n"/>
      <x:c r="B40" s="230" t="n"/>
      <x:c r="C40" s="230" t="n"/>
    </x:row>
    <x:row r="41">
      <x:c r="A41" s="230" t="n"/>
      <x:c r="B41" s="230" t="n"/>
      <x:c r="C41" s="230" t="n"/>
    </x:row>
    <x:row r="42">
      <x:c r="A42" s="230" t="n"/>
      <x:c r="B42" s="230" t="n"/>
      <x:c r="C42" s="230" t="n"/>
    </x:row>
    <x:row r="43">
      <x:c r="A43" s="230" t="n"/>
      <x:c r="B43" s="230" t="n"/>
      <x:c r="C43" s="230" t="n"/>
    </x:row>
    <x:row r="44">
      <x:c r="A44" s="230" t="n"/>
      <x:c r="B44" s="230" t="n"/>
      <x:c r="C44" s="230" t="n"/>
    </x:row>
    <x:row r="45">
      <x:c r="A45" s="230" t="n"/>
      <x:c r="B45" s="230" t="n"/>
      <x:c r="C45" s="230" t="n"/>
    </x:row>
    <x:row r="46">
      <x:c r="A46" s="230" t="n"/>
      <x:c r="B46" s="230" t="n"/>
      <x:c r="C46" s="230" t="n"/>
    </x:row>
    <x:row r="47">
      <x:c r="A47" s="230" t="n"/>
      <x:c r="B47" s="230" t="n"/>
      <x:c r="C47" s="230" t="n"/>
    </x:row>
    <x:row r="48">
      <x:c r="A48" s="230" t="n"/>
      <x:c r="B48" s="230" t="n"/>
      <x:c r="C48" s="230" t="n"/>
    </x:row>
    <x:row r="49">
      <x:c r="A49" s="230" t="n"/>
      <x:c r="B49" s="230" t="n"/>
      <x:c r="C49" s="230" t="n"/>
    </x:row>
    <x:row r="50">
      <x:c r="A50" s="230" t="n"/>
      <x:c r="B50" s="230" t="n"/>
      <x:c r="C50" s="230" t="n"/>
    </x:row>
    <x:row r="51">
      <x:c r="A51" s="230" t="n"/>
      <x:c r="B51" s="230" t="n"/>
      <x:c r="C51" s="230" t="n"/>
    </x:row>
    <x:row r="52">
      <x:c r="A52" s="230" t="n"/>
      <x:c r="B52" s="230" t="n"/>
      <x:c r="C52" s="230" t="n"/>
    </x:row>
    <x:row r="53">
      <x:c r="A53" s="230" t="n"/>
      <x:c r="B53" s="230" t="n"/>
      <x:c r="C53" s="230" t="n"/>
    </x:row>
    <x:row r="54">
      <x:c r="A54" s="230" t="n"/>
      <x:c r="B54" s="230" t="n"/>
      <x:c r="C54" s="230" t="n"/>
    </x:row>
    <x:row r="55">
      <x:c r="A55" s="230" t="n"/>
      <x:c r="B55" s="230" t="n"/>
      <x:c r="C55" s="230" t="n"/>
    </x:row>
    <x:row r="56">
      <x:c r="A56" s="230" t="n"/>
      <x:c r="B56" s="230" t="n"/>
      <x:c r="C56" s="230" t="n"/>
    </x:row>
    <x:row r="57">
      <x:c r="A57" s="230" t="n"/>
      <x:c r="B57" s="230" t="n"/>
      <x:c r="C57" s="230" t="n"/>
    </x:row>
    <x:row r="58">
      <x:c r="A58" s="230" t="n"/>
      <x:c r="B58" s="230" t="n"/>
      <x:c r="C58" s="230" t="n"/>
    </x:row>
    <x:row r="59">
      <x:c r="A59" s="230" t="n"/>
      <x:c r="B59" s="230" t="n"/>
      <x:c r="C59" s="230" t="n"/>
    </x:row>
    <x:row r="60">
      <x:c r="A60" s="230" t="n"/>
      <x:c r="B60" s="230" t="n"/>
      <x:c r="C60" s="230" t="n"/>
    </x:row>
    <x:row r="61">
      <x:c r="A61" s="230" t="n"/>
      <x:c r="B61" s="230" t="n"/>
      <x:c r="C61" s="230" t="n"/>
    </x:row>
    <x:row r="62">
      <x:c r="A62" s="230" t="n"/>
      <x:c r="B62" s="230" t="n"/>
      <x:c r="C62" s="230" t="n"/>
    </x:row>
    <x:row r="63">
      <x:c r="A63" s="230" t="n"/>
      <x:c r="B63" s="230" t="n"/>
      <x:c r="C63" s="230" t="n"/>
    </x:row>
    <x:row r="64">
      <x:c r="A64" s="230" t="n"/>
      <x:c r="B64" s="230" t="n"/>
      <x:c r="C64" s="230" t="n"/>
    </x:row>
    <x:row r="65">
      <x:c r="A65" s="230" t="n"/>
      <x:c r="B65" s="230" t="n"/>
      <x:c r="C65" s="230" t="n"/>
    </x:row>
    <x:row r="66">
      <x:c r="A66" s="230" t="n"/>
      <x:c r="B66" s="230" t="n"/>
      <x:c r="C66" s="230" t="n"/>
    </x:row>
    <x:row r="67">
      <x:c r="A67" s="230" t="n"/>
      <x:c r="B67" s="230" t="n"/>
      <x:c r="C67" s="230" t="n"/>
    </x:row>
    <x:row r="68">
      <x:c r="A68" s="230" t="n"/>
      <x:c r="B68" s="230" t="n"/>
      <x:c r="C68" s="230" t="n"/>
    </x:row>
    <x:row r="69">
      <x:c r="A69" s="230" t="n"/>
      <x:c r="B69" s="230" t="n"/>
      <x:c r="C69" s="230" t="n"/>
    </x:row>
    <x:row r="70">
      <x:c r="A70" s="230" t="n"/>
      <x:c r="B70" s="230" t="n"/>
      <x:c r="C70" s="230" t="n"/>
    </x:row>
    <x:row r="71">
      <x:c r="A71" s="230" t="n"/>
      <x:c r="B71" s="230" t="n"/>
      <x:c r="C71" s="230" t="n"/>
    </x:row>
    <x:row r="72">
      <x:c r="A72" s="230" t="n"/>
      <x:c r="B72" s="230" t="n"/>
      <x:c r="C72" s="230" t="n"/>
    </x:row>
    <x:row r="73">
      <x:c r="A73" s="230" t="n"/>
      <x:c r="B73" s="230" t="n"/>
      <x:c r="C73" s="230" t="n"/>
    </x:row>
    <x:row r="74">
      <x:c r="A74" s="230" t="n"/>
      <x:c r="B74" s="230" t="n"/>
      <x:c r="C74" s="230" t="n"/>
    </x:row>
    <x:row r="75">
      <x:c r="A75" s="230" t="n"/>
      <x:c r="B75" s="230" t="n"/>
      <x:c r="C75" s="230" t="n"/>
    </x:row>
    <x:row r="76">
      <x:c r="A76" s="230" t="n"/>
      <x:c r="B76" s="230" t="n"/>
      <x:c r="C76" s="230" t="n"/>
    </x:row>
    <x:row r="77">
      <x:c r="A77" s="230" t="n"/>
      <x:c r="B77" s="230" t="n"/>
      <x:c r="C77" s="230" t="n"/>
    </x:row>
    <x:row r="78">
      <x:c r="A78" s="230" t="n"/>
      <x:c r="B78" s="230" t="n"/>
      <x:c r="C78" s="230" t="n"/>
    </x:row>
    <x:row r="79">
      <x:c r="A79" s="230" t="n"/>
      <x:c r="B79" s="230" t="n"/>
      <x:c r="C79" s="230" t="n"/>
    </x:row>
    <x:row r="80">
      <x:c r="A80" s="230" t="n"/>
      <x:c r="B80" s="230" t="n"/>
      <x:c r="C80" s="230" t="n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8" style="146" customWidth="1"/>
    <x:col min="3" max="3" width="34" style="146" customWidth="1"/>
  </x:cols>
  <x:sheetData>
    <x:row r="1">
      <x:c r="A1" s="233" t="inlineStr">
        <x:is>
          <x:t xml:space="preserve">👩 Relax Mode / Hilda Comfort View</x:t>
        </x:is>
      </x:c>
      <x:c r="B1" s="233" t="n"/>
      <x:c r="C1" s="233" t="n"/>
    </x:row>
    <x:row r="2">
      <x:c r="A2" s="233" t="n"/>
      <x:c r="B2" s="233" t="n"/>
      <x:c r="C2" s="233" t="n"/>
    </x:row>
    <x:row r="3">
      <x:c r="A3" s="230" t="n"/>
      <x:c r="B3" s="230" t="n"/>
      <x:c r="C3" s="230" t="n"/>
    </x:row>
    <x:row r="4">
      <x:c r="A4" s="236" t="inlineStr">
        <x:is>
          <x:t xml:space="preserve">Card</x:t>
        </x:is>
      </x:c>
      <x:c r="B4" s="236" t="inlineStr">
        <x:is>
          <x:t xml:space="preserve">Info</x:t>
        </x:is>
      </x:c>
      <x:c r="C4" s="236" t="inlineStr">
        <x:is>
          <x:t xml:space="preserve">Why it matters</x:t>
        </x:is>
      </x:c>
    </x:row>
    <x:row r="5">
      <x:c r="A5" s="237" t="inlineStr">
        <x:is>
          <x:t xml:space="preserve">Today</x:t>
        </x:is>
      </x:c>
      <x:c r="B5" s="237" t="n">
        <x:f>'⚙️ Control'!C12</x:f>
        <x:v>46323</x:v>
      </x:c>
      <x:c r="C5" s="237" t="inlineStr">
        <x:is>
          <x:t xml:space="preserve">Large date card in web app</x:t>
        </x:is>
      </x:c>
    </x:row>
    <x:row r="6">
      <x:c r="A6" s="237" t="inlineStr">
        <x:is>
          <x:t xml:space="preserve">City</x:t>
        </x:is>
      </x:c>
      <x:c r="B6" s="237" t="str">
        <x:f>XLOOKUP('⚙️ Control'!C12,'📅 Master Itinerary'!B:B,'📅 Master Itinerary'!C:C,"Set date")</x:f>
        <x:v>Tokyo</x:v>
      </x:c>
      <x:c r="C6" s="237" t="inlineStr">
        <x:is>
          <x:t xml:space="preserve">Know where she is</x:t>
        </x:is>
      </x:c>
    </x:row>
    <x:row r="7">
      <x:c r="A7" s="237" t="inlineStr">
        <x:is>
          <x:t xml:space="preserve">Hotel</x:t>
        </x:is>
      </x:c>
      <x:c r="B7" s="237" t="str">
        <x:f>XLOOKUP('⚙️ Control'!C12,'📅 Master Itinerary'!B:B,'📅 Master Itinerary'!G:G,"Set date")</x:f>
        <x:v>Akasaka</x:v>
      </x:c>
      <x:c r="C7" s="237" t="inlineStr">
        <x:is>
          <x:t xml:space="preserve">Safety anchor</x:t>
        </x:is>
      </x:c>
    </x:row>
    <x:row r="8">
      <x:c r="A8" s="237" t="inlineStr">
        <x:is>
          <x:t xml:space="preserve">Morning</x:t>
        </x:is>
      </x:c>
      <x:c r="B8" s="237" t="str">
        <x:f>XLOOKUP('⚙️ Control'!C12,'📅 Master Itinerary'!B:B,'📅 Master Itinerary'!D:D,"Set date")</x:f>
        <x:v>Akasaka orientation</x:v>
      </x:c>
      <x:c r="C8" s="237" t="inlineStr">
        <x:is>
          <x:t xml:space="preserve">Simple schedule</x:t>
        </x:is>
      </x:c>
    </x:row>
    <x:row r="9">
      <x:c r="A9" s="237" t="inlineStr">
        <x:is>
          <x:t xml:space="preserve">Afternoon</x:t>
        </x:is>
      </x:c>
      <x:c r="B9" s="237" t="str">
        <x:f>XLOOKUP('⚙️ Control'!C12,'📅 Master Itinerary'!B:B,'📅 Master Itinerary'!E:E,"Set date")</x:f>
        <x:v>Hie Shrine + nearby cafés</x:v>
      </x:c>
      <x:c r="C9" s="237" t="inlineStr">
        <x:is>
          <x:t xml:space="preserve">Simple schedule</x:t>
        </x:is>
      </x:c>
    </x:row>
    <x:row r="10">
      <x:c r="A10" s="237" t="inlineStr">
        <x:is>
          <x:t xml:space="preserve">Evening</x:t>
        </x:is>
      </x:c>
      <x:c r="B10" s="237" t="str">
        <x:f>XLOOKUP('⚙️ Control'!C12,'📅 Master Itinerary'!B:B,'📅 Master Itinerary'!F:F,"Set date")</x:f>
        <x:v>Welcome dinner</x:v>
      </x:c>
      <x:c r="C10" s="237" t="inlineStr">
        <x:is>
          <x:t xml:space="preserve">Simple schedule</x:t>
        </x:is>
      </x:c>
    </x:row>
    <x:row r="11">
      <x:c r="A11" s="237" t="inlineStr">
        <x:is>
          <x:t xml:space="preserve">Bring</x:t>
        </x:is>
      </x:c>
      <x:c r="B11" s="237" t="str">
        <x:f>XLOOKUP('⚙️ Control'!C12,'📅 Master Itinerary'!B:B,'📅 Master Itinerary'!L:L,"Set date")</x:f>
        <x:v>Comfortable shoes</x:v>
      </x:c>
      <x:c r="C11" s="237" t="inlineStr">
        <x:is>
          <x:t xml:space="preserve">Comfort</x:t>
        </x:is>
      </x:c>
    </x:row>
    <x:row r="12">
      <x:c r="A12" s="237" t="inlineStr">
        <x:is>
          <x:t xml:space="preserve">Emergency</x:t>
        </x:is>
      </x:c>
      <x:c r="B12" s="237" t="inlineStr">
        <x:is>
          <x:t xml:space="preserve">110 / 119</x:t>
        </x:is>
      </x:c>
      <x:c r="C12" s="237" t="inlineStr">
        <x:is>
          <x:t xml:space="preserve">Safety</x:t>
        </x:is>
      </x:c>
    </x:row>
    <x:row r="13">
      <x:c r="A13" s="230" t="n"/>
      <x:c r="B13" s="230" t="n"/>
      <x:c r="C13" s="230" t="n"/>
    </x:row>
    <x:row r="14">
      <x:c r="A14" s="230" t="n"/>
      <x:c r="B14" s="230" t="n"/>
      <x:c r="C14" s="230" t="n"/>
    </x:row>
    <x:row r="15">
      <x:c r="A15" s="230" t="n"/>
      <x:c r="B15" s="230" t="n"/>
      <x:c r="C15" s="230" t="n"/>
    </x:row>
    <x:row r="16">
      <x:c r="A16" s="230" t="n"/>
      <x:c r="B16" s="230" t="n"/>
      <x:c r="C16" s="230" t="n"/>
    </x:row>
    <x:row r="17">
      <x:c r="A17" s="230" t="n"/>
      <x:c r="B17" s="230" t="n"/>
      <x:c r="C17" s="230" t="n"/>
    </x:row>
    <x:row r="18">
      <x:c r="A18" s="230" t="n"/>
      <x:c r="B18" s="230" t="n"/>
      <x:c r="C18" s="230" t="n"/>
    </x:row>
    <x:row r="19">
      <x:c r="A19" s="230" t="n"/>
      <x:c r="B19" s="230" t="n"/>
      <x:c r="C19" s="230" t="n"/>
    </x:row>
    <x:row r="20">
      <x:c r="A20" s="230" t="n"/>
      <x:c r="B20" s="230" t="n"/>
      <x:c r="C20" s="230" t="n"/>
    </x:row>
    <x:row r="21">
      <x:c r="A21" s="230" t="n"/>
      <x:c r="B21" s="230" t="n"/>
      <x:c r="C21" s="230" t="n"/>
    </x:row>
    <x:row r="22">
      <x:c r="A22" s="230" t="n"/>
      <x:c r="B22" s="230" t="n"/>
      <x:c r="C22" s="230" t="n"/>
    </x:row>
    <x:row r="23">
      <x:c r="A23" s="230" t="n"/>
      <x:c r="B23" s="230" t="n"/>
      <x:c r="C23" s="230" t="n"/>
    </x:row>
    <x:row r="24">
      <x:c r="A24" s="230" t="n"/>
      <x:c r="B24" s="230" t="n"/>
      <x:c r="C24" s="230" t="n"/>
    </x:row>
    <x:row r="25">
      <x:c r="A25" s="230" t="n"/>
      <x:c r="B25" s="230" t="n"/>
      <x:c r="C25" s="230" t="n"/>
    </x:row>
    <x:row r="26">
      <x:c r="A26" s="230" t="n"/>
      <x:c r="B26" s="230" t="n"/>
      <x:c r="C26" s="230" t="n"/>
    </x:row>
    <x:row r="27">
      <x:c r="A27" s="230" t="n"/>
      <x:c r="B27" s="230" t="n"/>
      <x:c r="C27" s="230" t="n"/>
    </x:row>
    <x:row r="28">
      <x:c r="A28" s="230" t="n"/>
      <x:c r="B28" s="230" t="n"/>
      <x:c r="C28" s="230" t="n"/>
    </x:row>
    <x:row r="29">
      <x:c r="A29" s="230" t="n"/>
      <x:c r="B29" s="230" t="n"/>
      <x:c r="C29" s="230" t="n"/>
    </x:row>
    <x:row r="30">
      <x:c r="A30" s="230" t="n"/>
      <x:c r="B30" s="230" t="n"/>
      <x:c r="C30" s="230" t="n"/>
    </x:row>
    <x:row r="31">
      <x:c r="A31" s="230" t="n"/>
      <x:c r="B31" s="230" t="n"/>
      <x:c r="C31" s="230" t="n"/>
    </x:row>
    <x:row r="32">
      <x:c r="A32" s="230" t="n"/>
      <x:c r="B32" s="230" t="n"/>
      <x:c r="C32" s="230" t="n"/>
    </x:row>
    <x:row r="33">
      <x:c r="A33" s="230" t="n"/>
      <x:c r="B33" s="230" t="n"/>
      <x:c r="C33" s="230" t="n"/>
    </x:row>
    <x:row r="34">
      <x:c r="A34" s="230" t="n"/>
      <x:c r="B34" s="230" t="n"/>
      <x:c r="C34" s="230" t="n"/>
    </x:row>
    <x:row r="35">
      <x:c r="A35" s="230" t="n"/>
      <x:c r="B35" s="230" t="n"/>
      <x:c r="C35" s="230" t="n"/>
    </x:row>
    <x:row r="36">
      <x:c r="A36" s="230" t="n"/>
      <x:c r="B36" s="230" t="n"/>
      <x:c r="C36" s="230" t="n"/>
    </x:row>
    <x:row r="37">
      <x:c r="A37" s="230" t="n"/>
      <x:c r="B37" s="230" t="n"/>
      <x:c r="C37" s="230" t="n"/>
    </x:row>
    <x:row r="38">
      <x:c r="A38" s="230" t="n"/>
      <x:c r="B38" s="230" t="n"/>
      <x:c r="C38" s="230" t="n"/>
    </x:row>
    <x:row r="39">
      <x:c r="A39" s="230" t="n"/>
      <x:c r="B39" s="230" t="n"/>
      <x:c r="C39" s="230" t="n"/>
    </x:row>
    <x:row r="40">
      <x:c r="A40" s="230" t="n"/>
      <x:c r="B40" s="230" t="n"/>
      <x:c r="C40" s="230" t="n"/>
    </x:row>
    <x:row r="41">
      <x:c r="A41" s="230" t="n"/>
      <x:c r="B41" s="230" t="n"/>
      <x:c r="C41" s="230" t="n"/>
    </x:row>
    <x:row r="42">
      <x:c r="A42" s="230" t="n"/>
      <x:c r="B42" s="230" t="n"/>
      <x:c r="C42" s="230" t="n"/>
    </x:row>
    <x:row r="43">
      <x:c r="A43" s="230" t="n"/>
      <x:c r="B43" s="230" t="n"/>
      <x:c r="C43" s="230" t="n"/>
    </x:row>
    <x:row r="44">
      <x:c r="A44" s="230" t="n"/>
      <x:c r="B44" s="230" t="n"/>
      <x:c r="C44" s="230" t="n"/>
    </x:row>
    <x:row r="45">
      <x:c r="A45" s="230" t="n"/>
      <x:c r="B45" s="230" t="n"/>
      <x:c r="C45" s="230" t="n"/>
    </x:row>
    <x:row r="46">
      <x:c r="A46" s="230" t="n"/>
      <x:c r="B46" s="230" t="n"/>
      <x:c r="C46" s="230" t="n"/>
    </x:row>
    <x:row r="47">
      <x:c r="A47" s="230" t="n"/>
      <x:c r="B47" s="230" t="n"/>
      <x:c r="C47" s="230" t="n"/>
    </x:row>
    <x:row r="48">
      <x:c r="A48" s="230" t="n"/>
      <x:c r="B48" s="230" t="n"/>
      <x:c r="C48" s="230" t="n"/>
    </x:row>
    <x:row r="49">
      <x:c r="A49" s="230" t="n"/>
      <x:c r="B49" s="230" t="n"/>
      <x:c r="C49" s="230" t="n"/>
    </x:row>
    <x:row r="50">
      <x:c r="A50" s="230" t="n"/>
      <x:c r="B50" s="230" t="n"/>
      <x:c r="C50" s="230" t="n"/>
    </x:row>
    <x:row r="51">
      <x:c r="A51" s="230" t="n"/>
      <x:c r="B51" s="230" t="n"/>
      <x:c r="C51" s="230" t="n"/>
    </x:row>
    <x:row r="52">
      <x:c r="A52" s="230" t="n"/>
      <x:c r="B52" s="230" t="n"/>
      <x:c r="C52" s="230" t="n"/>
    </x:row>
    <x:row r="53">
      <x:c r="A53" s="230" t="n"/>
      <x:c r="B53" s="230" t="n"/>
      <x:c r="C53" s="230" t="n"/>
    </x:row>
    <x:row r="54">
      <x:c r="A54" s="230" t="n"/>
      <x:c r="B54" s="230" t="n"/>
      <x:c r="C54" s="230" t="n"/>
    </x:row>
    <x:row r="55">
      <x:c r="A55" s="230" t="n"/>
      <x:c r="B55" s="230" t="n"/>
      <x:c r="C55" s="230" t="n"/>
    </x:row>
    <x:row r="56">
      <x:c r="A56" s="230" t="n"/>
      <x:c r="B56" s="230" t="n"/>
      <x:c r="C56" s="230" t="n"/>
    </x:row>
    <x:row r="57">
      <x:c r="A57" s="230" t="n"/>
      <x:c r="B57" s="230" t="n"/>
      <x:c r="C57" s="230" t="n"/>
    </x:row>
    <x:row r="58">
      <x:c r="A58" s="230" t="n"/>
      <x:c r="B58" s="230" t="n"/>
      <x:c r="C58" s="230" t="n"/>
    </x:row>
    <x:row r="59">
      <x:c r="A59" s="230" t="n"/>
      <x:c r="B59" s="230" t="n"/>
      <x:c r="C59" s="230" t="n"/>
    </x:row>
    <x:row r="60">
      <x:c r="A60" s="230" t="n"/>
      <x:c r="B60" s="230" t="n"/>
      <x:c r="C60" s="230" t="n"/>
    </x:row>
    <x:row r="61">
      <x:c r="A61" s="230" t="n"/>
      <x:c r="B61" s="230" t="n"/>
      <x:c r="C61" s="230" t="n"/>
    </x:row>
    <x:row r="62">
      <x:c r="A62" s="230" t="n"/>
      <x:c r="B62" s="230" t="n"/>
      <x:c r="C62" s="230" t="n"/>
    </x:row>
    <x:row r="63">
      <x:c r="A63" s="230" t="n"/>
      <x:c r="B63" s="230" t="n"/>
      <x:c r="C63" s="230" t="n"/>
    </x:row>
    <x:row r="64">
      <x:c r="A64" s="230" t="n"/>
      <x:c r="B64" s="230" t="n"/>
      <x:c r="C64" s="230" t="n"/>
    </x:row>
    <x:row r="65">
      <x:c r="A65" s="230" t="n"/>
      <x:c r="B65" s="230" t="n"/>
      <x:c r="C65" s="230" t="n"/>
    </x:row>
    <x:row r="66">
      <x:c r="A66" s="230" t="n"/>
      <x:c r="B66" s="230" t="n"/>
      <x:c r="C66" s="230" t="n"/>
    </x:row>
    <x:row r="67">
      <x:c r="A67" s="230" t="n"/>
      <x:c r="B67" s="230" t="n"/>
      <x:c r="C67" s="230" t="n"/>
    </x:row>
    <x:row r="68">
      <x:c r="A68" s="230" t="n"/>
      <x:c r="B68" s="230" t="n"/>
      <x:c r="C68" s="230" t="n"/>
    </x:row>
    <x:row r="69">
      <x:c r="A69" s="230" t="n"/>
      <x:c r="B69" s="230" t="n"/>
      <x:c r="C69" s="230" t="n"/>
    </x:row>
    <x:row r="70">
      <x:c r="A70" s="230" t="n"/>
      <x:c r="B70" s="230" t="n"/>
      <x:c r="C70" s="230" t="n"/>
    </x:row>
    <x:row r="71">
      <x:c r="A71" s="230" t="n"/>
      <x:c r="B71" s="230" t="n"/>
      <x:c r="C71" s="230" t="n"/>
    </x:row>
    <x:row r="72">
      <x:c r="A72" s="230" t="n"/>
      <x:c r="B72" s="230" t="n"/>
      <x:c r="C72" s="230" t="n"/>
    </x:row>
    <x:row r="73">
      <x:c r="A73" s="230" t="n"/>
      <x:c r="B73" s="230" t="n"/>
      <x:c r="C73" s="230" t="n"/>
    </x:row>
    <x:row r="74">
      <x:c r="A74" s="230" t="n"/>
      <x:c r="B74" s="230" t="n"/>
      <x:c r="C74" s="230" t="n"/>
    </x:row>
    <x:row r="75">
      <x:c r="A75" s="230" t="n"/>
      <x:c r="B75" s="230" t="n"/>
      <x:c r="C75" s="230" t="n"/>
    </x:row>
    <x:row r="76">
      <x:c r="A76" s="230" t="n"/>
      <x:c r="B76" s="230" t="n"/>
      <x:c r="C76" s="230" t="n"/>
    </x:row>
    <x:row r="77">
      <x:c r="A77" s="230" t="n"/>
      <x:c r="B77" s="230" t="n"/>
      <x:c r="C77" s="230" t="n"/>
    </x:row>
    <x:row r="78">
      <x:c r="A78" s="230" t="n"/>
      <x:c r="B78" s="230" t="n"/>
      <x:c r="C78" s="230" t="n"/>
    </x:row>
    <x:row r="79">
      <x:c r="A79" s="230" t="n"/>
      <x:c r="B79" s="230" t="n"/>
      <x:c r="C79" s="230" t="n"/>
    </x:row>
    <x:row r="80">
      <x:c r="A80" s="230" t="n"/>
      <x:c r="B80" s="230" t="n"/>
      <x:c r="C80" s="230" t="n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56" style="146" customWidth="1"/>
  </x:cols>
  <x:sheetData>
    <x:row r="1">
      <x:c r="A1" s="250" t="inlineStr">
        <x:is>
          <x:t xml:space="preserve">🧩 App Config / PWA Settings</x:t>
        </x:is>
      </x:c>
      <x:c r="B1" s="250" t="n"/>
      <x:c r="C1" s="250" t="n"/>
    </x:row>
    <x:row r="2">
      <x:c r="A2" s="250" t="n"/>
      <x:c r="B2" s="250" t="n"/>
      <x:c r="C2" s="250" t="n"/>
    </x:row>
    <x:row r="3">
      <x:c r="A3" s="247" t="n"/>
      <x:c r="B3" s="247" t="n"/>
      <x:c r="C3" s="247" t="n"/>
    </x:row>
    <x:row r="4">
      <x:c r="A4" s="253" t="inlineStr">
        <x:is>
          <x:t xml:space="preserve">Setting</x:t>
        </x:is>
      </x:c>
      <x:c r="B4" s="253" t="inlineStr">
        <x:is>
          <x:t xml:space="preserve">Value</x:t>
        </x:is>
      </x:c>
      <x:c r="C4" s="253" t="inlineStr">
        <x:is>
          <x:t xml:space="preserve">Notes</x:t>
        </x:is>
      </x:c>
    </x:row>
    <x:row r="5">
      <x:c r="A5" s="254" t="inlineStr">
        <x:is>
          <x:t xml:space="preserve">App Name</x:t>
        </x:is>
      </x:c>
      <x:c r="B5" s="254" t="inlineStr">
        <x:is>
          <x:t xml:space="preserve">Japan 2026</x:t>
        </x:is>
      </x:c>
      <x:c r="C5" s="254" t="inlineStr">
        <x:is>
          <x:t xml:space="preserve">Home screen app name</x:t>
        </x:is>
      </x:c>
    </x:row>
    <x:row r="6">
      <x:c r="A6" s="254" t="inlineStr">
        <x:is>
          <x:t xml:space="preserve">Trip Subtitle</x:t>
        </x:is>
      </x:c>
      <x:c r="B6" s="254" t="inlineStr">
        <x:is>
          <x:t xml:space="preserve">David • Noelle • Nick • Hilda</x:t>
        </x:is>
      </x:c>
      <x:c r="C6" s="254" t="inlineStr">
        <x:is>
          <x:t xml:space="preserve">Shown on Home</x:t>
        </x:is>
      </x:c>
    </x:row>
    <x:row r="7">
      <x:c r="A7" s="254" t="inlineStr">
        <x:is>
          <x:t xml:space="preserve">Primary Color</x:t>
        </x:is>
      </x:c>
      <x:c r="B7" s="254" t="inlineStr">
        <x:is>
          <x:t xml:space="preserve">#6F1D1B</x:t>
        </x:is>
      </x:c>
      <x:c r="C7" s="254" t="inlineStr">
        <x:is>
          <x:t xml:space="preserve">PWA theme</x:t>
        </x:is>
      </x:c>
    </x:row>
    <x:row r="8">
      <x:c r="A8" s="254" t="inlineStr">
        <x:is>
          <x:t xml:space="preserve">Accent Color</x:t>
        </x:is>
      </x:c>
      <x:c r="B8" s="254" t="inlineStr">
        <x:is>
          <x:t xml:space="preserve">#A63A3A</x:t>
        </x:is>
      </x:c>
      <x:c r="C8" s="254" t="inlineStr">
        <x:is>
          <x:t xml:space="preserve">Buttons/highlights</x:t>
        </x:is>
      </x:c>
    </x:row>
    <x:row r="9">
      <x:c r="A9" s="254" t="inlineStr">
        <x:is>
          <x:t xml:space="preserve">Default View</x:t>
        </x:is>
      </x:c>
      <x:c r="B9" s="254" t="inlineStr">
        <x:is>
          <x:t xml:space="preserve">home</x:t>
        </x:is>
      </x:c>
      <x:c r="C9" s="254" t="inlineStr">
        <x:is>
          <x:t xml:space="preserve">home/today/hilda/nick/dn</x:t>
        </x:is>
      </x:c>
    </x:row>
    <x:row r="10">
      <x:c r="A10" s="254" t="inlineStr">
        <x:is>
          <x:t xml:space="preserve">Backend API URL</x:t>
        </x:is>
      </x:c>
      <x:c r="B10" s="254" t="str"/>
      <x:c r="C10" s="254" t="inlineStr">
        <x:is>
          <x:t xml:space="preserve">Paste your deployed Apps Script web app URL here if using static PWA hosting</x:t>
        </x:is>
      </x:c>
    </x:row>
    <x:row r="11">
      <x:c r="A11" s="254" t="inlineStr">
        <x:is>
          <x:t xml:space="preserve">Read Token</x:t>
        </x:is>
      </x:c>
      <x:c r="B11" s="254" t="str"/>
      <x:c r="C11" s="254" t="inlineStr">
        <x:is>
          <x:t xml:space="preserve">Optional secret token if you add one to backend</x:t>
        </x:is>
      </x:c>
    </x:row>
    <x:row r="12">
      <x:c r="A12" s="254" t="inlineStr">
        <x:is>
          <x:t xml:space="preserve">Offline Cache</x:t>
        </x:is>
      </x:c>
      <x:c r="B12" s="254" t="inlineStr">
        <x:is>
          <x:t xml:space="preserve">Enabled</x:t>
        </x:is>
      </x:c>
      <x:c r="C12" s="254" t="inlineStr">
        <x:is>
          <x:t xml:space="preserve">App stores the last successful sync on device</x:t>
        </x:is>
      </x:c>
    </x:row>
    <x:row r="13">
      <x:c r="A13" s="254" t="inlineStr">
        <x:is>
          <x:t xml:space="preserve">Weather</x:t>
        </x:is>
      </x:c>
      <x:c r="B13" s="254" t="inlineStr">
        <x:is>
          <x:t xml:space="preserve">Open-Meteo</x:t>
        </x:is>
      </x:c>
      <x:c r="C13" s="254" t="inlineStr">
        <x:is>
          <x:t xml:space="preserve">No API key; exact forecast closer to trip</x:t>
        </x:is>
      </x:c>
    </x:row>
    <x:row r="14">
      <x:c r="A14" s="254" t="inlineStr">
        <x:is>
          <x:t xml:space="preserve">Install Name</x:t>
        </x:is>
      </x:c>
      <x:c r="B14" s="254" t="inlineStr">
        <x:is>
          <x:t xml:space="preserve">🇯🇵 Japan 2026</x:t>
        </x:is>
      </x:c>
      <x:c r="C14" s="254" t="inlineStr">
        <x:is>
          <x:t xml:space="preserve">Use this when adding to iPhone Home Screen</x:t>
        </x:is>
      </x:c>
    </x:row>
    <x:row r="15">
      <x:c r="A15" s="247" t="n"/>
      <x:c r="B15" s="247" t="n"/>
      <x:c r="C15" s="247" t="n"/>
    </x:row>
    <x:row r="16">
      <x:c r="A16" s="247" t="n"/>
      <x:c r="B16" s="247" t="n"/>
      <x:c r="C16" s="247" t="n"/>
    </x:row>
    <x:row r="17">
      <x:c r="A17" s="247" t="n"/>
      <x:c r="B17" s="247" t="n"/>
      <x:c r="C17" s="247" t="n"/>
    </x:row>
    <x:row r="18">
      <x:c r="A18" s="247" t="n"/>
      <x:c r="B18" s="247" t="n"/>
      <x:c r="C18" s="247" t="n"/>
    </x:row>
    <x:row r="19">
      <x:c r="A19" s="247" t="n"/>
      <x:c r="B19" s="247" t="n"/>
      <x:c r="C19" s="247" t="n"/>
    </x:row>
    <x:row r="20">
      <x:c r="A20" s="247" t="n"/>
      <x:c r="B20" s="247" t="n"/>
      <x:c r="C20" s="247" t="n"/>
    </x:row>
    <x:row r="21">
      <x:c r="A21" s="247" t="n"/>
      <x:c r="B21" s="247" t="n"/>
      <x:c r="C21" s="247" t="n"/>
    </x:row>
    <x:row r="22">
      <x:c r="A22" s="247" t="n"/>
      <x:c r="B22" s="247" t="n"/>
      <x:c r="C22" s="247" t="n"/>
    </x:row>
    <x:row r="23">
      <x:c r="A23" s="247" t="n"/>
      <x:c r="B23" s="247" t="n"/>
      <x:c r="C23" s="247" t="n"/>
    </x:row>
    <x:row r="24">
      <x:c r="A24" s="247" t="n"/>
      <x:c r="B24" s="247" t="n"/>
      <x:c r="C24" s="247" t="n"/>
    </x:row>
    <x:row r="25">
      <x:c r="A25" s="247" t="n"/>
      <x:c r="B25" s="247" t="n"/>
      <x:c r="C25" s="247" t="n"/>
    </x:row>
    <x:row r="26">
      <x:c r="A26" s="247" t="n"/>
      <x:c r="B26" s="247" t="n"/>
      <x:c r="C26" s="247" t="n"/>
    </x:row>
    <x:row r="27">
      <x:c r="A27" s="247" t="n"/>
      <x:c r="B27" s="247" t="n"/>
      <x:c r="C27" s="247" t="n"/>
    </x:row>
    <x:row r="28">
      <x:c r="A28" s="247" t="n"/>
      <x:c r="B28" s="247" t="n"/>
      <x:c r="C28" s="247" t="n"/>
    </x:row>
    <x:row r="29">
      <x:c r="A29" s="247" t="n"/>
      <x:c r="B29" s="247" t="n"/>
      <x:c r="C29" s="247" t="n"/>
    </x:row>
    <x:row r="30">
      <x:c r="A30" s="247" t="n"/>
      <x:c r="B30" s="247" t="n"/>
      <x:c r="C30" s="247" t="n"/>
    </x:row>
    <x:row r="31">
      <x:c r="A31" s="247" t="n"/>
      <x:c r="B31" s="247" t="n"/>
      <x:c r="C31" s="247" t="n"/>
    </x:row>
    <x:row r="32">
      <x:c r="A32" s="247" t="n"/>
      <x:c r="B32" s="247" t="n"/>
      <x:c r="C32" s="247" t="n"/>
    </x:row>
    <x:row r="33">
      <x:c r="A33" s="247" t="n"/>
      <x:c r="B33" s="247" t="n"/>
      <x:c r="C33" s="247" t="n"/>
    </x:row>
    <x:row r="34">
      <x:c r="A34" s="247" t="n"/>
      <x:c r="B34" s="247" t="n"/>
      <x:c r="C34" s="247" t="n"/>
    </x:row>
    <x:row r="35">
      <x:c r="A35" s="247" t="n"/>
      <x:c r="B35" s="247" t="n"/>
      <x:c r="C35" s="247" t="n"/>
    </x:row>
    <x:row r="36">
      <x:c r="A36" s="247" t="n"/>
      <x:c r="B36" s="247" t="n"/>
      <x:c r="C36" s="247" t="n"/>
    </x:row>
    <x:row r="37">
      <x:c r="A37" s="247" t="n"/>
      <x:c r="B37" s="247" t="n"/>
      <x:c r="C37" s="247" t="n"/>
    </x:row>
    <x:row r="38">
      <x:c r="A38" s="247" t="n"/>
      <x:c r="B38" s="247" t="n"/>
      <x:c r="C38" s="247" t="n"/>
    </x:row>
    <x:row r="39">
      <x:c r="A39" s="247" t="n"/>
      <x:c r="B39" s="247" t="n"/>
      <x:c r="C39" s="247" t="n"/>
    </x:row>
    <x:row r="40">
      <x:c r="A40" s="247" t="n"/>
      <x:c r="B40" s="247" t="n"/>
      <x:c r="C40" s="247" t="n"/>
    </x:row>
    <x:row r="41">
      <x:c r="A41" s="247" t="n"/>
      <x:c r="B41" s="247" t="n"/>
      <x:c r="C41" s="247" t="n"/>
    </x:row>
    <x:row r="42">
      <x:c r="A42" s="247" t="n"/>
      <x:c r="B42" s="247" t="n"/>
      <x:c r="C42" s="247" t="n"/>
    </x:row>
    <x:row r="43">
      <x:c r="A43" s="247" t="n"/>
      <x:c r="B43" s="247" t="n"/>
      <x:c r="C43" s="247" t="n"/>
    </x:row>
    <x:row r="44">
      <x:c r="A44" s="247" t="n"/>
      <x:c r="B44" s="247" t="n"/>
      <x:c r="C44" s="247" t="n"/>
    </x:row>
    <x:row r="45">
      <x:c r="A45" s="247" t="n"/>
      <x:c r="B45" s="247" t="n"/>
      <x:c r="C45" s="247" t="n"/>
    </x:row>
    <x:row r="46">
      <x:c r="A46" s="247" t="n"/>
      <x:c r="B46" s="247" t="n"/>
      <x:c r="C46" s="247" t="n"/>
    </x:row>
    <x:row r="47">
      <x:c r="A47" s="247" t="n"/>
      <x:c r="B47" s="247" t="n"/>
      <x:c r="C47" s="247" t="n"/>
    </x:row>
    <x:row r="48">
      <x:c r="A48" s="247" t="n"/>
      <x:c r="B48" s="247" t="n"/>
      <x:c r="C48" s="247" t="n"/>
    </x:row>
    <x:row r="49">
      <x:c r="A49" s="247" t="n"/>
      <x:c r="B49" s="247" t="n"/>
      <x:c r="C49" s="247" t="n"/>
    </x:row>
    <x:row r="50">
      <x:c r="A50" s="247" t="n"/>
      <x:c r="B50" s="247" t="n"/>
      <x:c r="C50" s="247" t="n"/>
    </x:row>
    <x:row r="51">
      <x:c r="A51" s="247" t="n"/>
      <x:c r="B51" s="247" t="n"/>
      <x:c r="C51" s="247" t="n"/>
    </x:row>
    <x:row r="52">
      <x:c r="A52" s="247" t="n"/>
      <x:c r="B52" s="247" t="n"/>
      <x:c r="C52" s="247" t="n"/>
    </x:row>
    <x:row r="53">
      <x:c r="A53" s="247" t="n"/>
      <x:c r="B53" s="247" t="n"/>
      <x:c r="C53" s="247" t="n"/>
    </x:row>
    <x:row r="54">
      <x:c r="A54" s="247" t="n"/>
      <x:c r="B54" s="247" t="n"/>
      <x:c r="C54" s="247" t="n"/>
    </x:row>
    <x:row r="55">
      <x:c r="A55" s="247" t="n"/>
      <x:c r="B55" s="247" t="n"/>
      <x:c r="C55" s="247" t="n"/>
    </x:row>
    <x:row r="56">
      <x:c r="A56" s="247" t="n"/>
      <x:c r="B56" s="247" t="n"/>
      <x:c r="C56" s="247" t="n"/>
    </x:row>
    <x:row r="57">
      <x:c r="A57" s="247" t="n"/>
      <x:c r="B57" s="247" t="n"/>
      <x:c r="C57" s="247" t="n"/>
    </x:row>
    <x:row r="58">
      <x:c r="A58" s="247" t="n"/>
      <x:c r="B58" s="247" t="n"/>
      <x:c r="C58" s="247" t="n"/>
    </x:row>
    <x:row r="59">
      <x:c r="A59" s="247" t="n"/>
      <x:c r="B59" s="247" t="n"/>
      <x:c r="C59" s="247" t="n"/>
    </x:row>
    <x:row r="60">
      <x:c r="A60" s="247" t="n"/>
      <x:c r="B60" s="247" t="n"/>
      <x:c r="C60" s="247" t="n"/>
    </x:row>
    <x:row r="61">
      <x:c r="A61" s="247" t="n"/>
      <x:c r="B61" s="247" t="n"/>
      <x:c r="C61" s="247" t="n"/>
    </x:row>
    <x:row r="62">
      <x:c r="A62" s="247" t="n"/>
      <x:c r="B62" s="247" t="n"/>
      <x:c r="C62" s="247" t="n"/>
    </x:row>
    <x:row r="63">
      <x:c r="A63" s="247" t="n"/>
      <x:c r="B63" s="247" t="n"/>
      <x:c r="C63" s="247" t="n"/>
    </x:row>
    <x:row r="64">
      <x:c r="A64" s="247" t="n"/>
      <x:c r="B64" s="247" t="n"/>
      <x:c r="C64" s="247" t="n"/>
    </x:row>
    <x:row r="65">
      <x:c r="A65" s="247" t="n"/>
      <x:c r="B65" s="247" t="n"/>
      <x:c r="C65" s="247" t="n"/>
    </x:row>
    <x:row r="66">
      <x:c r="A66" s="247" t="n"/>
      <x:c r="B66" s="247" t="n"/>
      <x:c r="C66" s="247" t="n"/>
    </x:row>
    <x:row r="67">
      <x:c r="A67" s="247" t="n"/>
      <x:c r="B67" s="247" t="n"/>
      <x:c r="C67" s="247" t="n"/>
    </x:row>
    <x:row r="68">
      <x:c r="A68" s="247" t="n"/>
      <x:c r="B68" s="247" t="n"/>
      <x:c r="C68" s="247" t="n"/>
    </x:row>
    <x:row r="69">
      <x:c r="A69" s="247" t="n"/>
      <x:c r="B69" s="247" t="n"/>
      <x:c r="C69" s="247" t="n"/>
    </x:row>
    <x:row r="70">
      <x:c r="A70" s="247" t="n"/>
      <x:c r="B70" s="247" t="n"/>
      <x:c r="C70" s="247" t="n"/>
    </x:row>
    <x:row r="71">
      <x:c r="A71" s="247" t="n"/>
      <x:c r="B71" s="247" t="n"/>
      <x:c r="C71" s="247" t="n"/>
    </x:row>
    <x:row r="72">
      <x:c r="A72" s="247" t="n"/>
      <x:c r="B72" s="247" t="n"/>
      <x:c r="C72" s="247" t="n"/>
    </x:row>
    <x:row r="73">
      <x:c r="A73" s="247" t="n"/>
      <x:c r="B73" s="247" t="n"/>
      <x:c r="C73" s="247" t="n"/>
    </x:row>
    <x:row r="74">
      <x:c r="A74" s="247" t="n"/>
      <x:c r="B74" s="247" t="n"/>
      <x:c r="C74" s="247" t="n"/>
    </x:row>
    <x:row r="75">
      <x:c r="A75" s="247" t="n"/>
      <x:c r="B75" s="247" t="n"/>
      <x:c r="C75" s="247" t="n"/>
    </x:row>
    <x:row r="76">
      <x:c r="A76" s="247" t="n"/>
      <x:c r="B76" s="247" t="n"/>
      <x:c r="C76" s="247" t="n"/>
    </x:row>
    <x:row r="77">
      <x:c r="A77" s="247" t="n"/>
      <x:c r="B77" s="247" t="n"/>
      <x:c r="C77" s="247" t="n"/>
    </x:row>
    <x:row r="78">
      <x:c r="A78" s="247" t="n"/>
      <x:c r="B78" s="247" t="n"/>
      <x:c r="C78" s="247" t="n"/>
    </x:row>
    <x:row r="79">
      <x:c r="A79" s="247" t="n"/>
      <x:c r="B79" s="247" t="n"/>
      <x:c r="C79" s="247" t="n"/>
    </x:row>
    <x:row r="80">
      <x:c r="A80" s="247" t="n"/>
      <x:c r="B80" s="247" t="n"/>
      <x:c r="C80" s="247" t="n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26" style="146" customWidth="1"/>
    <x:col min="3" max="3" width="56" style="146" customWidth="1"/>
    <x:col min="4" max="4" width="46" style="146" customWidth="1"/>
    <x:col min="5" max="5" width="12" style="146" customWidth="1"/>
  </x:cols>
  <x:sheetData>
    <x:row r="1">
      <x:c r="A1" s="250" t="inlineStr">
        <x:is>
          <x:t xml:space="preserve">🎓 First-Time Japan Academy</x:t>
        </x:is>
      </x:c>
      <x:c r="B1" s="250" t="n"/>
      <x:c r="C1" s="250" t="n"/>
      <x:c r="D1" s="250" t="n"/>
      <x:c r="E1" s="250" t="n"/>
    </x:row>
    <x:row r="2">
      <x:c r="A2" s="250" t="n"/>
      <x:c r="B2" s="250" t="n"/>
      <x:c r="C2" s="250" t="n"/>
      <x:c r="D2" s="250" t="n"/>
      <x:c r="E2" s="250" t="n"/>
    </x:row>
    <x:row r="3">
      <x:c r="A3" s="247" t="n"/>
      <x:c r="B3" s="247" t="n"/>
      <x:c r="C3" s="247" t="n"/>
      <x:c r="D3" s="247" t="n"/>
      <x:c r="E3" s="247" t="n"/>
    </x:row>
    <x:row r="4">
      <x:c r="A4" s="253" t="inlineStr">
        <x:is>
          <x:t xml:space="preserve">Moment</x:t>
        </x:is>
      </x:c>
      <x:c r="B4" s="253" t="inlineStr">
        <x:is>
          <x:t xml:space="preserve">Lesson</x:t>
        </x:is>
      </x:c>
      <x:c r="C4" s="253" t="inlineStr">
        <x:is>
          <x:t xml:space="preserve">What Nick/Hilda Should Know</x:t>
        </x:is>
      </x:c>
      <x:c r="D4" s="253" t="inlineStr">
        <x:is>
          <x:t xml:space="preserve">Action</x:t>
        </x:is>
      </x:c>
      <x:c r="E4" s="253" t="inlineStr">
        <x:is>
          <x:t xml:space="preserve">Priority</x:t>
        </x:is>
      </x:c>
    </x:row>
    <x:row r="5">
      <x:c r="A5" s="254" t="inlineStr">
        <x:is>
          <x:t xml:space="preserve">Before departure</x:t>
        </x:is>
      </x:c>
      <x:c r="B5" s="254" t="inlineStr">
        <x:is>
          <x:t xml:space="preserve">Visit Japan Web + QR</x:t>
        </x:is>
      </x:c>
      <x:c r="C5" s="254" t="inlineStr">
        <x:is>
          <x:t xml:space="preserve">Fill customs/immigration info before flying; screenshot QR codes.</x:t>
        </x:is>
      </x:c>
      <x:c r="D5" s="254" t="inlineStr">
        <x:is>
          <x:t xml:space="preserve">David helps everyone set it up.</x:t>
        </x:is>
      </x:c>
      <x:c r="E5" s="254" t="inlineStr">
        <x:is>
          <x:t xml:space="preserve">High</x:t>
        </x:is>
      </x:c>
    </x:row>
    <x:row r="6">
      <x:c r="A6" s="254" t="inlineStr">
        <x:is>
          <x:t xml:space="preserve">Before departure</x:t>
        </x:is>
      </x:c>
      <x:c r="B6" s="254" t="inlineStr">
        <x:is>
          <x:t xml:space="preserve">Suica / IC card</x:t>
        </x:is>
      </x:c>
      <x:c r="C6" s="254" t="inlineStr">
        <x:is>
          <x:t xml:space="preserve">Used for trains, buses, some vending machines and shops.</x:t>
        </x:is>
      </x:c>
      <x:c r="D6" s="254" t="inlineStr">
        <x:is>
          <x:t xml:space="preserve">Set up phone Suica if possible; otherwise buy physical card if available.</x:t>
        </x:is>
      </x:c>
      <x:c r="E6" s="254" t="inlineStr">
        <x:is>
          <x:t xml:space="preserve">High</x:t>
        </x:is>
      </x:c>
    </x:row>
    <x:row r="7">
      <x:c r="A7" s="254" t="inlineStr">
        <x:is>
          <x:t xml:space="preserve">Arrival</x:t>
        </x:is>
      </x:c>
      <x:c r="B7" s="254" t="inlineStr">
        <x:is>
          <x:t xml:space="preserve">Airport flow</x:t>
        </x:is>
      </x:c>
      <x:c r="C7" s="254" t="inlineStr">
        <x:is>
          <x:t xml:space="preserve">Immigration, luggage, customs, ATM, train/taxi can feel overwhelming.</x:t>
        </x:is>
      </x:c>
      <x:c r="D7" s="254" t="inlineStr">
        <x:is>
          <x:t xml:space="preserve">Keep first day light. No real sightseeing.</x:t>
        </x:is>
      </x:c>
      <x:c r="E7" s="254" t="inlineStr">
        <x:is>
          <x:t xml:space="preserve">High</x:t>
        </x:is>
      </x:c>
    </x:row>
    <x:row r="8">
      <x:c r="A8" s="254" t="inlineStr">
        <x:is>
          <x:t xml:space="preserve">First train</x:t>
        </x:is>
      </x:c>
      <x:c r="B8" s="254" t="inlineStr">
        <x:is>
          <x:t xml:space="preserve">Train etiquette</x:t>
        </x:is>
      </x:c>
      <x:c r="C8" s="254" t="inlineStr">
        <x:is>
          <x:t xml:space="preserve">Quiet voices, phone silent, bag in front when crowded, priority seats matter.</x:t>
        </x:is>
      </x:c>
      <x:c r="D8" s="254" t="inlineStr">
        <x:is>
          <x:t xml:space="preserve">Use Today/Transit card before boarding.</x:t>
        </x:is>
      </x:c>
      <x:c r="E8" s="254" t="inlineStr">
        <x:is>
          <x:t xml:space="preserve">High</x:t>
        </x:is>
      </x:c>
    </x:row>
    <x:row r="9">
      <x:c r="A9" s="254" t="inlineStr">
        <x:is>
          <x:t xml:space="preserve">First konbini</x:t>
        </x:is>
      </x:c>
      <x:c r="B9" s="254" t="inlineStr">
        <x:is>
          <x:t xml:space="preserve">Convenience stores</x:t>
        </x:is>
      </x:c>
      <x:c r="C9" s="254" t="inlineStr">
        <x:is>
          <x:t xml:space="preserve">Great for breakfast, snacks, ATMs, heated meals, and drinks.</x:t>
        </x:is>
      </x:c>
      <x:c r="D9" s="254" t="inlineStr">
        <x:is>
          <x:t xml:space="preserve">Use Konbini guide and phrase favorites.</x:t>
        </x:is>
      </x:c>
      <x:c r="E9" s="254" t="inlineStr">
        <x:is>
          <x:t xml:space="preserve">High</x:t>
        </x:is>
      </x:c>
    </x:row>
    <x:row r="10">
      <x:c r="A10" s="254" t="inlineStr">
        <x:is>
          <x:t xml:space="preserve">First restaurant</x:t>
        </x:is>
      </x:c>
      <x:c r="B10" s="254" t="inlineStr">
        <x:is>
          <x:t xml:space="preserve">Ordering + paying</x:t>
        </x:is>
      </x:c>
      <x:c r="C10" s="254" t="inlineStr">
        <x:is>
          <x:t xml:space="preserve">Pointing is fine; receipt often goes to cashier; no tipping.</x:t>
        </x:is>
      </x:c>
      <x:c r="D10" s="254" t="inlineStr">
        <x:is>
          <x:t xml:space="preserve">Use restaurant phrase card.</x:t>
        </x:is>
      </x:c>
      <x:c r="E10" s="254" t="inlineStr">
        <x:is>
          <x:t xml:space="preserve">High</x:t>
        </x:is>
      </x:c>
    </x:row>
    <x:row r="11">
      <x:c r="A11" s="254" t="inlineStr">
        <x:is>
          <x:t xml:space="preserve">Kyoto temples</x:t>
        </x:is>
      </x:c>
      <x:c r="B11" s="254" t="inlineStr">
        <x:is>
          <x:t xml:space="preserve">Shrine/temple etiquette</x:t>
        </x:is>
      </x:c>
      <x:c r="C11" s="254" t="inlineStr">
        <x:is>
          <x:t xml:space="preserve">Bring cash, be respectful, don’t block paths, arrive early.</x:t>
        </x:is>
      </x:c>
      <x:c r="D11" s="254" t="inlineStr">
        <x:is>
          <x:t xml:space="preserve">Review Kyoto guide before first temple day.</x:t>
        </x:is>
      </x:c>
      <x:c r="E11" s="254" t="inlineStr">
        <x:is>
          <x:t xml:space="preserve">High</x:t>
        </x:is>
      </x:c>
    </x:row>
    <x:row r="12">
      <x:c r="A12" s="254" t="inlineStr">
        <x:is>
          <x:t xml:space="preserve">Hakone ryokan</x:t>
        </x:is>
      </x:c>
      <x:c r="B12" s="254" t="inlineStr">
        <x:is>
          <x:t xml:space="preserve">Ryokan/onsen basics</x:t>
        </x:is>
      </x:c>
      <x:c r="C12" s="254" t="inlineStr">
        <x:is>
          <x:t xml:space="preserve">Shoes off areas, yukata, baths, dinner timing, quiet relaxation.</x:t>
        </x:is>
      </x:c>
      <x:c r="D12" s="254" t="inlineStr">
        <x:is>
          <x:t xml:space="preserve">Make this a relaxed reset day.</x:t>
        </x:is>
      </x:c>
      <x:c r="E12" s="254" t="inlineStr">
        <x:is>
          <x:t xml:space="preserve">High</x:t>
        </x:is>
      </x:c>
    </x:row>
    <x:row r="13">
      <x:c r="A13" s="254" t="inlineStr">
        <x:is>
          <x:t xml:space="preserve">Every day</x:t>
        </x:is>
      </x:c>
      <x:c r="B13" s="254" t="inlineStr">
        <x:is>
          <x:t xml:space="preserve">Trash + walking</x:t>
        </x:is>
      </x:c>
      <x:c r="C13" s="254" t="inlineStr">
        <x:is>
          <x:t xml:space="preserve">Trash cans are rare; walking is high; benches are not common.</x:t>
        </x:is>
      </x:c>
      <x:c r="D13" s="254" t="inlineStr">
        <x:is>
          <x:t xml:space="preserve">Carry small trash bag and water.</x:t>
        </x:is>
      </x:c>
      <x:c r="E13" s="254" t="inlineStr">
        <x:is>
          <x:t xml:space="preserve">High</x:t>
        </x:is>
      </x:c>
    </x:row>
    <x:row r="14">
      <x:c r="A14" s="254" t="inlineStr">
        <x:is>
          <x:t xml:space="preserve">If separated</x:t>
        </x:is>
      </x:c>
      <x:c r="B14" s="254" t="inlineStr">
        <x:is>
          <x:t xml:space="preserve">Lost Mode</x:t>
        </x:is>
      </x:c>
      <x:c r="C14" s="254" t="inlineStr">
        <x:is>
          <x:t xml:space="preserve">Go to hotel lobby or station staff; use emergency/lost-mode phrases.</x:t>
        </x:is>
      </x:c>
      <x:c r="D14" s="254" t="inlineStr">
        <x:is>
          <x:t xml:space="preserve">Bookmark Lost Mode on all phones.</x:t>
        </x:is>
      </x:c>
      <x:c r="E14" s="254" t="inlineStr">
        <x:is>
          <x:t xml:space="preserve">High</x:t>
        </x:is>
      </x:c>
    </x:row>
    <x:row r="15">
      <x:c r="A15" s="247" t="n"/>
      <x:c r="B15" s="247" t="n"/>
      <x:c r="C15" s="247" t="n"/>
      <x:c r="D15" s="247" t="n"/>
      <x:c r="E15" s="247" t="n"/>
    </x:row>
    <x:row r="16">
      <x:c r="A16" s="247" t="n"/>
      <x:c r="B16" s="247" t="n"/>
      <x:c r="C16" s="247" t="n"/>
      <x:c r="D16" s="247" t="n"/>
      <x:c r="E16" s="247" t="n"/>
    </x:row>
    <x:row r="17">
      <x:c r="A17" s="247" t="n"/>
      <x:c r="B17" s="247" t="n"/>
      <x:c r="C17" s="247" t="n"/>
      <x:c r="D17" s="247" t="n"/>
      <x:c r="E17" s="247" t="n"/>
    </x:row>
    <x:row r="18">
      <x:c r="A18" s="247" t="n"/>
      <x:c r="B18" s="247" t="n"/>
      <x:c r="C18" s="247" t="n"/>
      <x:c r="D18" s="247" t="n"/>
      <x:c r="E18" s="247" t="n"/>
    </x:row>
    <x:row r="19">
      <x:c r="A19" s="247" t="n"/>
      <x:c r="B19" s="247" t="n"/>
      <x:c r="C19" s="247" t="n"/>
      <x:c r="D19" s="247" t="n"/>
      <x:c r="E19" s="247" t="n"/>
    </x:row>
    <x:row r="20">
      <x:c r="A20" s="247" t="n"/>
      <x:c r="B20" s="247" t="n"/>
      <x:c r="C20" s="247" t="n"/>
      <x:c r="D20" s="247" t="n"/>
      <x:c r="E20" s="247" t="n"/>
    </x:row>
    <x:row r="21">
      <x:c r="A21" s="247" t="n"/>
      <x:c r="B21" s="247" t="n"/>
      <x:c r="C21" s="247" t="n"/>
      <x:c r="D21" s="247" t="n"/>
      <x:c r="E21" s="247" t="n"/>
    </x:row>
    <x:row r="22">
      <x:c r="A22" s="247" t="n"/>
      <x:c r="B22" s="247" t="n"/>
      <x:c r="C22" s="247" t="n"/>
      <x:c r="D22" s="247" t="n"/>
      <x:c r="E22" s="247" t="n"/>
    </x:row>
    <x:row r="23">
      <x:c r="A23" s="247" t="n"/>
      <x:c r="B23" s="247" t="n"/>
      <x:c r="C23" s="247" t="n"/>
      <x:c r="D23" s="247" t="n"/>
      <x:c r="E23" s="247" t="n"/>
    </x:row>
    <x:row r="24">
      <x:c r="A24" s="247" t="n"/>
      <x:c r="B24" s="247" t="n"/>
      <x:c r="C24" s="247" t="n"/>
      <x:c r="D24" s="247" t="n"/>
      <x:c r="E24" s="247" t="n"/>
    </x:row>
    <x:row r="25">
      <x:c r="A25" s="247" t="n"/>
      <x:c r="B25" s="247" t="n"/>
      <x:c r="C25" s="247" t="n"/>
      <x:c r="D25" s="247" t="n"/>
      <x:c r="E25" s="247" t="n"/>
    </x:row>
    <x:row r="26">
      <x:c r="A26" s="247" t="n"/>
      <x:c r="B26" s="247" t="n"/>
      <x:c r="C26" s="247" t="n"/>
      <x:c r="D26" s="247" t="n"/>
      <x:c r="E26" s="247" t="n"/>
    </x:row>
    <x:row r="27">
      <x:c r="A27" s="247" t="n"/>
      <x:c r="B27" s="247" t="n"/>
      <x:c r="C27" s="247" t="n"/>
      <x:c r="D27" s="247" t="n"/>
      <x:c r="E27" s="247" t="n"/>
    </x:row>
    <x:row r="28">
      <x:c r="A28" s="247" t="n"/>
      <x:c r="B28" s="247" t="n"/>
      <x:c r="C28" s="247" t="n"/>
      <x:c r="D28" s="247" t="n"/>
      <x:c r="E28" s="247" t="n"/>
    </x:row>
    <x:row r="29">
      <x:c r="A29" s="247" t="n"/>
      <x:c r="B29" s="247" t="n"/>
      <x:c r="C29" s="247" t="n"/>
      <x:c r="D29" s="247" t="n"/>
      <x:c r="E29" s="247" t="n"/>
    </x:row>
    <x:row r="30">
      <x:c r="A30" s="247" t="n"/>
      <x:c r="B30" s="247" t="n"/>
      <x:c r="C30" s="247" t="n"/>
      <x:c r="D30" s="247" t="n"/>
      <x:c r="E30" s="247" t="n"/>
    </x:row>
    <x:row r="31">
      <x:c r="A31" s="247" t="n"/>
      <x:c r="B31" s="247" t="n"/>
      <x:c r="C31" s="247" t="n"/>
      <x:c r="D31" s="247" t="n"/>
      <x:c r="E31" s="247" t="n"/>
    </x:row>
    <x:row r="32">
      <x:c r="A32" s="247" t="n"/>
      <x:c r="B32" s="247" t="n"/>
      <x:c r="C32" s="247" t="n"/>
      <x:c r="D32" s="247" t="n"/>
      <x:c r="E32" s="247" t="n"/>
    </x:row>
    <x:row r="33">
      <x:c r="A33" s="247" t="n"/>
      <x:c r="B33" s="247" t="n"/>
      <x:c r="C33" s="247" t="n"/>
      <x:c r="D33" s="247" t="n"/>
      <x:c r="E33" s="247" t="n"/>
    </x:row>
    <x:row r="34">
      <x:c r="A34" s="247" t="n"/>
      <x:c r="B34" s="247" t="n"/>
      <x:c r="C34" s="247" t="n"/>
      <x:c r="D34" s="247" t="n"/>
      <x:c r="E34" s="247" t="n"/>
    </x:row>
    <x:row r="35">
      <x:c r="A35" s="247" t="n"/>
      <x:c r="B35" s="247" t="n"/>
      <x:c r="C35" s="247" t="n"/>
      <x:c r="D35" s="247" t="n"/>
      <x:c r="E35" s="247" t="n"/>
    </x:row>
    <x:row r="36">
      <x:c r="A36" s="247" t="n"/>
      <x:c r="B36" s="247" t="n"/>
      <x:c r="C36" s="247" t="n"/>
      <x:c r="D36" s="247" t="n"/>
      <x:c r="E36" s="247" t="n"/>
    </x:row>
    <x:row r="37">
      <x:c r="A37" s="247" t="n"/>
      <x:c r="B37" s="247" t="n"/>
      <x:c r="C37" s="247" t="n"/>
      <x:c r="D37" s="247" t="n"/>
      <x:c r="E37" s="247" t="n"/>
    </x:row>
    <x:row r="38">
      <x:c r="A38" s="247" t="n"/>
      <x:c r="B38" s="247" t="n"/>
      <x:c r="C38" s="247" t="n"/>
      <x:c r="D38" s="247" t="n"/>
      <x:c r="E38" s="247" t="n"/>
    </x:row>
    <x:row r="39">
      <x:c r="A39" s="247" t="n"/>
      <x:c r="B39" s="247" t="n"/>
      <x:c r="C39" s="247" t="n"/>
      <x:c r="D39" s="247" t="n"/>
      <x:c r="E39" s="247" t="n"/>
    </x:row>
    <x:row r="40">
      <x:c r="A40" s="247" t="n"/>
      <x:c r="B40" s="247" t="n"/>
      <x:c r="C40" s="247" t="n"/>
      <x:c r="D40" s="247" t="n"/>
      <x:c r="E40" s="247" t="n"/>
    </x:row>
    <x:row r="41">
      <x:c r="A41" s="247" t="n"/>
      <x:c r="B41" s="247" t="n"/>
      <x:c r="C41" s="247" t="n"/>
      <x:c r="D41" s="247" t="n"/>
      <x:c r="E41" s="247" t="n"/>
    </x:row>
    <x:row r="42">
      <x:c r="A42" s="247" t="n"/>
      <x:c r="B42" s="247" t="n"/>
      <x:c r="C42" s="247" t="n"/>
      <x:c r="D42" s="247" t="n"/>
      <x:c r="E42" s="247" t="n"/>
    </x:row>
    <x:row r="43">
      <x:c r="A43" s="247" t="n"/>
      <x:c r="B43" s="247" t="n"/>
      <x:c r="C43" s="247" t="n"/>
      <x:c r="D43" s="247" t="n"/>
      <x:c r="E43" s="247" t="n"/>
    </x:row>
    <x:row r="44">
      <x:c r="A44" s="247" t="n"/>
      <x:c r="B44" s="247" t="n"/>
      <x:c r="C44" s="247" t="n"/>
      <x:c r="D44" s="247" t="n"/>
      <x:c r="E44" s="247" t="n"/>
    </x:row>
    <x:row r="45">
      <x:c r="A45" s="247" t="n"/>
      <x:c r="B45" s="247" t="n"/>
      <x:c r="C45" s="247" t="n"/>
      <x:c r="D45" s="247" t="n"/>
      <x:c r="E45" s="247" t="n"/>
    </x:row>
    <x:row r="46">
      <x:c r="A46" s="247" t="n"/>
      <x:c r="B46" s="247" t="n"/>
      <x:c r="C46" s="247" t="n"/>
      <x:c r="D46" s="247" t="n"/>
      <x:c r="E46" s="247" t="n"/>
    </x:row>
    <x:row r="47">
      <x:c r="A47" s="247" t="n"/>
      <x:c r="B47" s="247" t="n"/>
      <x:c r="C47" s="247" t="n"/>
      <x:c r="D47" s="247" t="n"/>
      <x:c r="E47" s="247" t="n"/>
    </x:row>
    <x:row r="48">
      <x:c r="A48" s="247" t="n"/>
      <x:c r="B48" s="247" t="n"/>
      <x:c r="C48" s="247" t="n"/>
      <x:c r="D48" s="247" t="n"/>
      <x:c r="E48" s="247" t="n"/>
    </x:row>
    <x:row r="49">
      <x:c r="A49" s="247" t="n"/>
      <x:c r="B49" s="247" t="n"/>
      <x:c r="C49" s="247" t="n"/>
      <x:c r="D49" s="247" t="n"/>
      <x:c r="E49" s="247" t="n"/>
    </x:row>
    <x:row r="50">
      <x:c r="A50" s="247" t="n"/>
      <x:c r="B50" s="247" t="n"/>
      <x:c r="C50" s="247" t="n"/>
      <x:c r="D50" s="247" t="n"/>
      <x:c r="E50" s="247" t="n"/>
    </x:row>
    <x:row r="51">
      <x:c r="A51" s="247" t="n"/>
      <x:c r="B51" s="247" t="n"/>
      <x:c r="C51" s="247" t="n"/>
      <x:c r="D51" s="247" t="n"/>
      <x:c r="E51" s="247" t="n"/>
    </x:row>
    <x:row r="52">
      <x:c r="A52" s="247" t="n"/>
      <x:c r="B52" s="247" t="n"/>
      <x:c r="C52" s="247" t="n"/>
      <x:c r="D52" s="247" t="n"/>
      <x:c r="E52" s="247" t="n"/>
    </x:row>
    <x:row r="53">
      <x:c r="A53" s="247" t="n"/>
      <x:c r="B53" s="247" t="n"/>
      <x:c r="C53" s="247" t="n"/>
      <x:c r="D53" s="247" t="n"/>
      <x:c r="E53" s="247" t="n"/>
    </x:row>
    <x:row r="54">
      <x:c r="A54" s="247" t="n"/>
      <x:c r="B54" s="247" t="n"/>
      <x:c r="C54" s="247" t="n"/>
      <x:c r="D54" s="247" t="n"/>
      <x:c r="E54" s="247" t="n"/>
    </x:row>
    <x:row r="55">
      <x:c r="A55" s="247" t="n"/>
      <x:c r="B55" s="247" t="n"/>
      <x:c r="C55" s="247" t="n"/>
      <x:c r="D55" s="247" t="n"/>
      <x:c r="E55" s="247" t="n"/>
    </x:row>
    <x:row r="56">
      <x:c r="A56" s="247" t="n"/>
      <x:c r="B56" s="247" t="n"/>
      <x:c r="C56" s="247" t="n"/>
      <x:c r="D56" s="247" t="n"/>
      <x:c r="E56" s="247" t="n"/>
    </x:row>
    <x:row r="57">
      <x:c r="A57" s="247" t="n"/>
      <x:c r="B57" s="247" t="n"/>
      <x:c r="C57" s="247" t="n"/>
      <x:c r="D57" s="247" t="n"/>
      <x:c r="E57" s="247" t="n"/>
    </x:row>
    <x:row r="58">
      <x:c r="A58" s="247" t="n"/>
      <x:c r="B58" s="247" t="n"/>
      <x:c r="C58" s="247" t="n"/>
      <x:c r="D58" s="247" t="n"/>
      <x:c r="E58" s="247" t="n"/>
    </x:row>
    <x:row r="59">
      <x:c r="A59" s="247" t="n"/>
      <x:c r="B59" s="247" t="n"/>
      <x:c r="C59" s="247" t="n"/>
      <x:c r="D59" s="247" t="n"/>
      <x:c r="E59" s="247" t="n"/>
    </x:row>
    <x:row r="60">
      <x:c r="A60" s="247" t="n"/>
      <x:c r="B60" s="247" t="n"/>
      <x:c r="C60" s="247" t="n"/>
      <x:c r="D60" s="247" t="n"/>
      <x:c r="E60" s="247" t="n"/>
    </x:row>
    <x:row r="61">
      <x:c r="A61" s="247" t="n"/>
      <x:c r="B61" s="247" t="n"/>
      <x:c r="C61" s="247" t="n"/>
      <x:c r="D61" s="247" t="n"/>
      <x:c r="E61" s="247" t="n"/>
    </x:row>
    <x:row r="62">
      <x:c r="A62" s="247" t="n"/>
      <x:c r="B62" s="247" t="n"/>
      <x:c r="C62" s="247" t="n"/>
      <x:c r="D62" s="247" t="n"/>
      <x:c r="E62" s="247" t="n"/>
    </x:row>
    <x:row r="63">
      <x:c r="A63" s="247" t="n"/>
      <x:c r="B63" s="247" t="n"/>
      <x:c r="C63" s="247" t="n"/>
      <x:c r="D63" s="247" t="n"/>
      <x:c r="E63" s="247" t="n"/>
    </x:row>
    <x:row r="64">
      <x:c r="A64" s="247" t="n"/>
      <x:c r="B64" s="247" t="n"/>
      <x:c r="C64" s="247" t="n"/>
      <x:c r="D64" s="247" t="n"/>
      <x:c r="E64" s="247" t="n"/>
    </x:row>
    <x:row r="65">
      <x:c r="A65" s="247" t="n"/>
      <x:c r="B65" s="247" t="n"/>
      <x:c r="C65" s="247" t="n"/>
      <x:c r="D65" s="247" t="n"/>
      <x:c r="E65" s="247" t="n"/>
    </x:row>
    <x:row r="66">
      <x:c r="A66" s="247" t="n"/>
      <x:c r="B66" s="247" t="n"/>
      <x:c r="C66" s="247" t="n"/>
      <x:c r="D66" s="247" t="n"/>
      <x:c r="E66" s="247" t="n"/>
    </x:row>
    <x:row r="67">
      <x:c r="A67" s="247" t="n"/>
      <x:c r="B67" s="247" t="n"/>
      <x:c r="C67" s="247" t="n"/>
      <x:c r="D67" s="247" t="n"/>
      <x:c r="E67" s="247" t="n"/>
    </x:row>
    <x:row r="68">
      <x:c r="A68" s="247" t="n"/>
      <x:c r="B68" s="247" t="n"/>
      <x:c r="C68" s="247" t="n"/>
      <x:c r="D68" s="247" t="n"/>
      <x:c r="E68" s="247" t="n"/>
    </x:row>
    <x:row r="69">
      <x:c r="A69" s="247" t="n"/>
      <x:c r="B69" s="247" t="n"/>
      <x:c r="C69" s="247" t="n"/>
      <x:c r="D69" s="247" t="n"/>
      <x:c r="E69" s="247" t="n"/>
    </x:row>
    <x:row r="70">
      <x:c r="A70" s="247" t="n"/>
      <x:c r="B70" s="247" t="n"/>
      <x:c r="C70" s="247" t="n"/>
      <x:c r="D70" s="247" t="n"/>
      <x:c r="E70" s="247" t="n"/>
    </x:row>
    <x:row r="71">
      <x:c r="A71" s="247" t="n"/>
      <x:c r="B71" s="247" t="n"/>
      <x:c r="C71" s="247" t="n"/>
      <x:c r="D71" s="247" t="n"/>
      <x:c r="E71" s="247" t="n"/>
    </x:row>
    <x:row r="72">
      <x:c r="A72" s="247" t="n"/>
      <x:c r="B72" s="247" t="n"/>
      <x:c r="C72" s="247" t="n"/>
      <x:c r="D72" s="247" t="n"/>
      <x:c r="E72" s="247" t="n"/>
    </x:row>
    <x:row r="73">
      <x:c r="A73" s="247" t="n"/>
      <x:c r="B73" s="247" t="n"/>
      <x:c r="C73" s="247" t="n"/>
      <x:c r="D73" s="247" t="n"/>
      <x:c r="E73" s="247" t="n"/>
    </x:row>
    <x:row r="74">
      <x:c r="A74" s="247" t="n"/>
      <x:c r="B74" s="247" t="n"/>
      <x:c r="C74" s="247" t="n"/>
      <x:c r="D74" s="247" t="n"/>
      <x:c r="E74" s="247" t="n"/>
    </x:row>
    <x:row r="75">
      <x:c r="A75" s="247" t="n"/>
      <x:c r="B75" s="247" t="n"/>
      <x:c r="C75" s="247" t="n"/>
      <x:c r="D75" s="247" t="n"/>
      <x:c r="E75" s="247" t="n"/>
    </x:row>
    <x:row r="76">
      <x:c r="A76" s="247" t="n"/>
      <x:c r="B76" s="247" t="n"/>
      <x:c r="C76" s="247" t="n"/>
      <x:c r="D76" s="247" t="n"/>
      <x:c r="E76" s="247" t="n"/>
    </x:row>
    <x:row r="77">
      <x:c r="A77" s="247" t="n"/>
      <x:c r="B77" s="247" t="n"/>
      <x:c r="C77" s="247" t="n"/>
      <x:c r="D77" s="247" t="n"/>
      <x:c r="E77" s="247" t="n"/>
    </x:row>
    <x:row r="78">
      <x:c r="A78" s="247" t="n"/>
      <x:c r="B78" s="247" t="n"/>
      <x:c r="C78" s="247" t="n"/>
      <x:c r="D78" s="247" t="n"/>
      <x:c r="E78" s="247" t="n"/>
    </x:row>
    <x:row r="79">
      <x:c r="A79" s="247" t="n"/>
      <x:c r="B79" s="247" t="n"/>
      <x:c r="C79" s="247" t="n"/>
      <x:c r="D79" s="247" t="n"/>
      <x:c r="E79" s="247" t="n"/>
    </x:row>
    <x:row r="80">
      <x:c r="A80" s="247" t="n"/>
      <x:c r="B80" s="247" t="n"/>
      <x:c r="C80" s="247" t="n"/>
      <x:c r="D80" s="247" t="n"/>
      <x:c r="E80" s="247" t="n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cols>
    <x:col min="1" max="1" width="30" style="146" customWidth="1"/>
    <x:col min="2" max="2" width="54" style="146" customWidth="1"/>
    <x:col min="3" max="3" width="20" style="146" customWidth="1"/>
    <x:col min="4" max="4" width="26" style="146" customWidth="1"/>
    <x:col min="5" max="5" width="12" style="146" customWidth="1"/>
  </x:cols>
  <x:sheetData>
    <x:row r="1">
      <x:c r="A1" s="250" t="inlineStr">
        <x:is>
          <x:t xml:space="preserve">🔔 Smart Alerts / Rules</x:t>
        </x:is>
      </x:c>
      <x:c r="B1" s="250" t="n"/>
      <x:c r="C1" s="250" t="n"/>
      <x:c r="D1" s="250" t="n"/>
      <x:c r="E1" s="250" t="n"/>
    </x:row>
    <x:row r="2">
      <x:c r="A2" s="250" t="n"/>
      <x:c r="B2" s="250" t="n"/>
      <x:c r="C2" s="250" t="n"/>
      <x:c r="D2" s="250" t="n"/>
      <x:c r="E2" s="250" t="n"/>
    </x:row>
    <x:row r="3">
      <x:c r="A3" s="247" t="n"/>
      <x:c r="B3" s="247" t="n"/>
      <x:c r="C3" s="247" t="n"/>
      <x:c r="D3" s="247" t="n"/>
      <x:c r="E3" s="247" t="n"/>
    </x:row>
    <x:row r="4">
      <x:c r="A4" s="253" t="inlineStr">
        <x:is>
          <x:t xml:space="preserve">Trigger</x:t>
        </x:is>
      </x:c>
      <x:c r="B4" s="253" t="inlineStr">
        <x:is>
          <x:t xml:space="preserve">Message</x:t>
        </x:is>
      </x:c>
      <x:c r="C4" s="253" t="inlineStr">
        <x:is>
          <x:t xml:space="preserve">Who</x:t>
        </x:is>
      </x:c>
      <x:c r="D4" s="253" t="inlineStr">
        <x:is>
          <x:t xml:space="preserve">Source</x:t>
        </x:is>
      </x:c>
      <x:c r="E4" s="253" t="inlineStr">
        <x:is>
          <x:t xml:space="preserve">Enabled</x:t>
        </x:is>
      </x:c>
    </x:row>
    <x:row r="5">
      <x:c r="A5" s="254" t="inlineStr">
        <x:is>
          <x:t xml:space="preserve">Rain probability &gt;= 40%</x:t>
        </x:is>
      </x:c>
      <x:c r="B5" s="254" t="inlineStr">
        <x:is>
          <x:t xml:space="preserve">Bring umbrella; consider Rain Mode backups.</x:t>
        </x:is>
      </x:c>
      <x:c r="C5" s="254" t="inlineStr">
        <x:is>
          <x:t xml:space="preserve">All</x:t>
        </x:is>
      </x:c>
      <x:c r="D5" s="254" t="inlineStr">
        <x:is>
          <x:t xml:space="preserve">Weather API</x:t>
        </x:is>
      </x:c>
      <x:c r="E5" s="254" t="inlineStr">
        <x:is>
          <x:t xml:space="preserve">Yes</x:t>
        </x:is>
      </x:c>
    </x:row>
    <x:row r="6">
      <x:c r="A6" s="254" t="inlineStr">
        <x:is>
          <x:t xml:space="preserve">Walking = 7+ miles or Energy = Busy</x:t>
        </x:is>
      </x:c>
      <x:c r="B6" s="254" t="inlineStr">
        <x:is>
          <x:t xml:space="preserve">Heavy walking day. Consider taxi/rest breaks for Hilda.</x:t>
        </x:is>
      </x:c>
      <x:c r="C6" s="254" t="inlineStr">
        <x:is>
          <x:t xml:space="preserve">All</x:t>
        </x:is>
      </x:c>
      <x:c r="D6" s="254" t="inlineStr">
        <x:is>
          <x:t xml:space="preserve">Master Itinerary</x:t>
        </x:is>
      </x:c>
      <x:c r="E6" s="254" t="inlineStr">
        <x:is>
          <x:t xml:space="preserve">Yes</x:t>
        </x:is>
      </x:c>
    </x:row>
    <x:row r="7">
      <x:c r="A7" s="254" t="inlineStr">
        <x:is>
          <x:t xml:space="preserve">City changes tomorrow</x:t>
        </x:is>
      </x:c>
      <x:c r="B7" s="254" t="inlineStr">
        <x:is>
          <x:t xml:space="preserve">Pack/forward luggage tonight.</x:t>
        </x:is>
      </x:c>
      <x:c r="C7" s="254" t="inlineStr">
        <x:is>
          <x:t xml:space="preserve">David + Noelle</x:t>
        </x:is>
      </x:c>
      <x:c r="D7" s="254" t="inlineStr">
        <x:is>
          <x:t xml:space="preserve">Master Itinerary</x:t>
        </x:is>
      </x:c>
      <x:c r="E7" s="254" t="inlineStr">
        <x:is>
          <x:t xml:space="preserve">Yes</x:t>
        </x:is>
      </x:c>
    </x:row>
    <x:row r="8">
      <x:c r="A8" s="254" t="inlineStr">
        <x:is>
          <x:t xml:space="preserve">Reservation status = Not booked and urgency Critical/High</x:t>
        </x:is>
      </x:c>
      <x:c r="B8" s="254" t="inlineStr">
        <x:is>
          <x:t xml:space="preserve">Booking still needed.</x:t>
        </x:is>
      </x:c>
      <x:c r="C8" s="254" t="inlineStr">
        <x:is>
          <x:t xml:space="preserve">David + Noelle</x:t>
        </x:is>
      </x:c>
      <x:c r="D8" s="254" t="inlineStr">
        <x:is>
          <x:t xml:space="preserve">Reservations</x:t>
        </x:is>
      </x:c>
      <x:c r="E8" s="254" t="inlineStr">
        <x:is>
          <x:t xml:space="preserve">Yes</x:t>
        </x:is>
      </x:c>
    </x:row>
    <x:row r="9">
      <x:c r="A9" s="254" t="inlineStr">
        <x:is>
          <x:t xml:space="preserve">Morning brief</x:t>
        </x:is>
      </x:c>
      <x:c r="B9" s="254" t="inlineStr">
        <x:is>
          <x:t xml:space="preserve">Today’s city, weather, plan, bring list, emergency reminder.</x:t>
        </x:is>
      </x:c>
      <x:c r="C9" s="254" t="inlineStr">
        <x:is>
          <x:t xml:space="preserve">All</x:t>
        </x:is>
      </x:c>
      <x:c r="D9" s="254" t="inlineStr">
        <x:is>
          <x:t xml:space="preserve">Daily Brief</x:t>
        </x:is>
      </x:c>
      <x:c r="E9" s="254" t="inlineStr">
        <x:is>
          <x:t xml:space="preserve">Yes</x:t>
        </x:is>
      </x:c>
    </x:row>
    <x:row r="10">
      <x:c r="A10" s="254" t="inlineStr">
        <x:is>
          <x:t xml:space="preserve">First-time lesson available</x:t>
        </x:is>
      </x:c>
      <x:c r="B10" s="254" t="inlineStr">
        <x:is>
          <x:t xml:space="preserve">Show short Japan Academy card for today’s context.</x:t>
        </x:is>
      </x:c>
      <x:c r="C10" s="254" t="inlineStr">
        <x:is>
          <x:t xml:space="preserve">Nick + Hilda</x:t>
        </x:is>
      </x:c>
      <x:c r="D10" s="254" t="inlineStr">
        <x:is>
          <x:t xml:space="preserve">First-Time Japan</x:t>
        </x:is>
      </x:c>
      <x:c r="E10" s="254" t="inlineStr">
        <x:is>
          <x:t xml:space="preserve">Yes</x:t>
        </x:is>
      </x:c>
    </x:row>
    <x:row r="11">
      <x:c r="A11" s="254" t="inlineStr">
        <x:is>
          <x:t xml:space="preserve">Flight day</x:t>
        </x:is>
      </x:c>
      <x:c r="B11" s="254" t="inlineStr">
        <x:is>
          <x:t xml:space="preserve">Passport, wallet, phone, battery, meds check.</x:t>
        </x:is>
      </x:c>
      <x:c r="C11" s="254" t="inlineStr">
        <x:is>
          <x:t xml:space="preserve">All</x:t>
        </x:is>
      </x:c>
      <x:c r="D11" s="254" t="inlineStr">
        <x:is>
          <x:t xml:space="preserve">Flights / Control</x:t>
        </x:is>
      </x:c>
      <x:c r="E11" s="254" t="inlineStr">
        <x:is>
          <x:t xml:space="preserve">Yes</x:t>
        </x:is>
      </x:c>
    </x:row>
    <x:row r="12">
      <x:c r="A12" s="247" t="n"/>
      <x:c r="B12" s="247" t="n"/>
      <x:c r="C12" s="247" t="n"/>
      <x:c r="D12" s="247" t="n"/>
      <x:c r="E12" s="247" t="n"/>
    </x:row>
    <x:row r="13">
      <x:c r="A13" s="247" t="n"/>
      <x:c r="B13" s="247" t="n"/>
      <x:c r="C13" s="247" t="n"/>
      <x:c r="D13" s="247" t="n"/>
      <x:c r="E13" s="247" t="n"/>
    </x:row>
    <x:row r="14">
      <x:c r="A14" s="247" t="n"/>
      <x:c r="B14" s="247" t="n"/>
      <x:c r="C14" s="247" t="n"/>
      <x:c r="D14" s="247" t="n"/>
      <x:c r="E14" s="247" t="n"/>
    </x:row>
    <x:row r="15">
      <x:c r="A15" s="247" t="n"/>
      <x:c r="B15" s="247" t="n"/>
      <x:c r="C15" s="247" t="n"/>
      <x:c r="D15" s="247" t="n"/>
      <x:c r="E15" s="247" t="n"/>
    </x:row>
    <x:row r="16">
      <x:c r="A16" s="247" t="n"/>
      <x:c r="B16" s="247" t="n"/>
      <x:c r="C16" s="247" t="n"/>
      <x:c r="D16" s="247" t="n"/>
      <x:c r="E16" s="247" t="n"/>
    </x:row>
    <x:row r="17">
      <x:c r="A17" s="247" t="n"/>
      <x:c r="B17" s="247" t="n"/>
      <x:c r="C17" s="247" t="n"/>
      <x:c r="D17" s="247" t="n"/>
      <x:c r="E17" s="247" t="n"/>
    </x:row>
    <x:row r="18">
      <x:c r="A18" s="247" t="n"/>
      <x:c r="B18" s="247" t="n"/>
      <x:c r="C18" s="247" t="n"/>
      <x:c r="D18" s="247" t="n"/>
      <x:c r="E18" s="247" t="n"/>
    </x:row>
    <x:row r="19">
      <x:c r="A19" s="247" t="n"/>
      <x:c r="B19" s="247" t="n"/>
      <x:c r="C19" s="247" t="n"/>
      <x:c r="D19" s="247" t="n"/>
      <x:c r="E19" s="247" t="n"/>
    </x:row>
    <x:row r="20">
      <x:c r="A20" s="247" t="n"/>
      <x:c r="B20" s="247" t="n"/>
      <x:c r="C20" s="247" t="n"/>
      <x:c r="D20" s="247" t="n"/>
      <x:c r="E20" s="247" t="n"/>
    </x:row>
    <x:row r="21">
      <x:c r="A21" s="247" t="n"/>
      <x:c r="B21" s="247" t="n"/>
      <x:c r="C21" s="247" t="n"/>
      <x:c r="D21" s="247" t="n"/>
      <x:c r="E21" s="247" t="n"/>
    </x:row>
    <x:row r="22">
      <x:c r="A22" s="247" t="n"/>
      <x:c r="B22" s="247" t="n"/>
      <x:c r="C22" s="247" t="n"/>
      <x:c r="D22" s="247" t="n"/>
      <x:c r="E22" s="247" t="n"/>
    </x:row>
    <x:row r="23">
      <x:c r="A23" s="247" t="n"/>
      <x:c r="B23" s="247" t="n"/>
      <x:c r="C23" s="247" t="n"/>
      <x:c r="D23" s="247" t="n"/>
      <x:c r="E23" s="247" t="n"/>
    </x:row>
    <x:row r="24">
      <x:c r="A24" s="247" t="n"/>
      <x:c r="B24" s="247" t="n"/>
      <x:c r="C24" s="247" t="n"/>
      <x:c r="D24" s="247" t="n"/>
      <x:c r="E24" s="247" t="n"/>
    </x:row>
    <x:row r="25">
      <x:c r="A25" s="247" t="n"/>
      <x:c r="B25" s="247" t="n"/>
      <x:c r="C25" s="247" t="n"/>
      <x:c r="D25" s="247" t="n"/>
      <x:c r="E25" s="247" t="n"/>
    </x:row>
    <x:row r="26">
      <x:c r="A26" s="247" t="n"/>
      <x:c r="B26" s="247" t="n"/>
      <x:c r="C26" s="247" t="n"/>
      <x:c r="D26" s="247" t="n"/>
      <x:c r="E26" s="247" t="n"/>
    </x:row>
    <x:row r="27">
      <x:c r="A27" s="247" t="n"/>
      <x:c r="B27" s="247" t="n"/>
      <x:c r="C27" s="247" t="n"/>
      <x:c r="D27" s="247" t="n"/>
      <x:c r="E27" s="247" t="n"/>
    </x:row>
    <x:row r="28">
      <x:c r="A28" s="247" t="n"/>
      <x:c r="B28" s="247" t="n"/>
      <x:c r="C28" s="247" t="n"/>
      <x:c r="D28" s="247" t="n"/>
      <x:c r="E28" s="247" t="n"/>
    </x:row>
    <x:row r="29">
      <x:c r="A29" s="247" t="n"/>
      <x:c r="B29" s="247" t="n"/>
      <x:c r="C29" s="247" t="n"/>
      <x:c r="D29" s="247" t="n"/>
      <x:c r="E29" s="247" t="n"/>
    </x:row>
    <x:row r="30">
      <x:c r="A30" s="247" t="n"/>
      <x:c r="B30" s="247" t="n"/>
      <x:c r="C30" s="247" t="n"/>
      <x:c r="D30" s="247" t="n"/>
      <x:c r="E30" s="247" t="n"/>
    </x:row>
    <x:row r="31">
      <x:c r="A31" s="247" t="n"/>
      <x:c r="B31" s="247" t="n"/>
      <x:c r="C31" s="247" t="n"/>
      <x:c r="D31" s="247" t="n"/>
      <x:c r="E31" s="247" t="n"/>
    </x:row>
    <x:row r="32">
      <x:c r="A32" s="247" t="n"/>
      <x:c r="B32" s="247" t="n"/>
      <x:c r="C32" s="247" t="n"/>
      <x:c r="D32" s="247" t="n"/>
      <x:c r="E32" s="247" t="n"/>
    </x:row>
    <x:row r="33">
      <x:c r="A33" s="247" t="n"/>
      <x:c r="B33" s="247" t="n"/>
      <x:c r="C33" s="247" t="n"/>
      <x:c r="D33" s="247" t="n"/>
      <x:c r="E33" s="247" t="n"/>
    </x:row>
    <x:row r="34">
      <x:c r="A34" s="247" t="n"/>
      <x:c r="B34" s="247" t="n"/>
      <x:c r="C34" s="247" t="n"/>
      <x:c r="D34" s="247" t="n"/>
      <x:c r="E34" s="247" t="n"/>
    </x:row>
    <x:row r="35">
      <x:c r="A35" s="247" t="n"/>
      <x:c r="B35" s="247" t="n"/>
      <x:c r="C35" s="247" t="n"/>
      <x:c r="D35" s="247" t="n"/>
      <x:c r="E35" s="247" t="n"/>
    </x:row>
    <x:row r="36">
      <x:c r="A36" s="247" t="n"/>
      <x:c r="B36" s="247" t="n"/>
      <x:c r="C36" s="247" t="n"/>
      <x:c r="D36" s="247" t="n"/>
      <x:c r="E36" s="247" t="n"/>
    </x:row>
    <x:row r="37">
      <x:c r="A37" s="247" t="n"/>
      <x:c r="B37" s="247" t="n"/>
      <x:c r="C37" s="247" t="n"/>
      <x:c r="D37" s="247" t="n"/>
      <x:c r="E37" s="247" t="n"/>
    </x:row>
    <x:row r="38">
      <x:c r="A38" s="247" t="n"/>
      <x:c r="B38" s="247" t="n"/>
      <x:c r="C38" s="247" t="n"/>
      <x:c r="D38" s="247" t="n"/>
      <x:c r="E38" s="247" t="n"/>
    </x:row>
    <x:row r="39">
      <x:c r="A39" s="247" t="n"/>
      <x:c r="B39" s="247" t="n"/>
      <x:c r="C39" s="247" t="n"/>
      <x:c r="D39" s="247" t="n"/>
      <x:c r="E39" s="247" t="n"/>
    </x:row>
    <x:row r="40">
      <x:c r="A40" s="247" t="n"/>
      <x:c r="B40" s="247" t="n"/>
      <x:c r="C40" s="247" t="n"/>
      <x:c r="D40" s="247" t="n"/>
      <x:c r="E40" s="247" t="n"/>
    </x:row>
    <x:row r="41">
      <x:c r="A41" s="247" t="n"/>
      <x:c r="B41" s="247" t="n"/>
      <x:c r="C41" s="247" t="n"/>
      <x:c r="D41" s="247" t="n"/>
      <x:c r="E41" s="247" t="n"/>
    </x:row>
    <x:row r="42">
      <x:c r="A42" s="247" t="n"/>
      <x:c r="B42" s="247" t="n"/>
      <x:c r="C42" s="247" t="n"/>
      <x:c r="D42" s="247" t="n"/>
      <x:c r="E42" s="247" t="n"/>
    </x:row>
    <x:row r="43">
      <x:c r="A43" s="247" t="n"/>
      <x:c r="B43" s="247" t="n"/>
      <x:c r="C43" s="247" t="n"/>
      <x:c r="D43" s="247" t="n"/>
      <x:c r="E43" s="247" t="n"/>
    </x:row>
    <x:row r="44">
      <x:c r="A44" s="247" t="n"/>
      <x:c r="B44" s="247" t="n"/>
      <x:c r="C44" s="247" t="n"/>
      <x:c r="D44" s="247" t="n"/>
      <x:c r="E44" s="247" t="n"/>
    </x:row>
    <x:row r="45">
      <x:c r="A45" s="247" t="n"/>
      <x:c r="B45" s="247" t="n"/>
      <x:c r="C45" s="247" t="n"/>
      <x:c r="D45" s="247" t="n"/>
      <x:c r="E45" s="247" t="n"/>
    </x:row>
    <x:row r="46">
      <x:c r="A46" s="247" t="n"/>
      <x:c r="B46" s="247" t="n"/>
      <x:c r="C46" s="247" t="n"/>
      <x:c r="D46" s="247" t="n"/>
      <x:c r="E46" s="247" t="n"/>
    </x:row>
    <x:row r="47">
      <x:c r="A47" s="247" t="n"/>
      <x:c r="B47" s="247" t="n"/>
      <x:c r="C47" s="247" t="n"/>
      <x:c r="D47" s="247" t="n"/>
      <x:c r="E47" s="247" t="n"/>
    </x:row>
    <x:row r="48">
      <x:c r="A48" s="247" t="n"/>
      <x:c r="B48" s="247" t="n"/>
      <x:c r="C48" s="247" t="n"/>
      <x:c r="D48" s="247" t="n"/>
      <x:c r="E48" s="247" t="n"/>
    </x:row>
    <x:row r="49">
      <x:c r="A49" s="247" t="n"/>
      <x:c r="B49" s="247" t="n"/>
      <x:c r="C49" s="247" t="n"/>
      <x:c r="D49" s="247" t="n"/>
      <x:c r="E49" s="247" t="n"/>
    </x:row>
    <x:row r="50">
      <x:c r="A50" s="247" t="n"/>
      <x:c r="B50" s="247" t="n"/>
      <x:c r="C50" s="247" t="n"/>
      <x:c r="D50" s="247" t="n"/>
      <x:c r="E50" s="247" t="n"/>
    </x:row>
    <x:row r="51">
      <x:c r="A51" s="247" t="n"/>
      <x:c r="B51" s="247" t="n"/>
      <x:c r="C51" s="247" t="n"/>
      <x:c r="D51" s="247" t="n"/>
      <x:c r="E51" s="247" t="n"/>
    </x:row>
    <x:row r="52">
      <x:c r="A52" s="247" t="n"/>
      <x:c r="B52" s="247" t="n"/>
      <x:c r="C52" s="247" t="n"/>
      <x:c r="D52" s="247" t="n"/>
      <x:c r="E52" s="247" t="n"/>
    </x:row>
    <x:row r="53">
      <x:c r="A53" s="247" t="n"/>
      <x:c r="B53" s="247" t="n"/>
      <x:c r="C53" s="247" t="n"/>
      <x:c r="D53" s="247" t="n"/>
      <x:c r="E53" s="247" t="n"/>
    </x:row>
    <x:row r="54">
      <x:c r="A54" s="247" t="n"/>
      <x:c r="B54" s="247" t="n"/>
      <x:c r="C54" s="247" t="n"/>
      <x:c r="D54" s="247" t="n"/>
      <x:c r="E54" s="247" t="n"/>
    </x:row>
    <x:row r="55">
      <x:c r="A55" s="247" t="n"/>
      <x:c r="B55" s="247" t="n"/>
      <x:c r="C55" s="247" t="n"/>
      <x:c r="D55" s="247" t="n"/>
      <x:c r="E55" s="247" t="n"/>
    </x:row>
    <x:row r="56">
      <x:c r="A56" s="247" t="n"/>
      <x:c r="B56" s="247" t="n"/>
      <x:c r="C56" s="247" t="n"/>
      <x:c r="D56" s="247" t="n"/>
      <x:c r="E56" s="247" t="n"/>
    </x:row>
    <x:row r="57">
      <x:c r="A57" s="247" t="n"/>
      <x:c r="B57" s="247" t="n"/>
      <x:c r="C57" s="247" t="n"/>
      <x:c r="D57" s="247" t="n"/>
      <x:c r="E57" s="247" t="n"/>
    </x:row>
    <x:row r="58">
      <x:c r="A58" s="247" t="n"/>
      <x:c r="B58" s="247" t="n"/>
      <x:c r="C58" s="247" t="n"/>
      <x:c r="D58" s="247" t="n"/>
      <x:c r="E58" s="247" t="n"/>
    </x:row>
    <x:row r="59">
      <x:c r="A59" s="247" t="n"/>
      <x:c r="B59" s="247" t="n"/>
      <x:c r="C59" s="247" t="n"/>
      <x:c r="D59" s="247" t="n"/>
      <x:c r="E59" s="247" t="n"/>
    </x:row>
    <x:row r="60">
      <x:c r="A60" s="247" t="n"/>
      <x:c r="B60" s="247" t="n"/>
      <x:c r="C60" s="247" t="n"/>
      <x:c r="D60" s="247" t="n"/>
      <x:c r="E60" s="247" t="n"/>
    </x:row>
    <x:row r="61">
      <x:c r="A61" s="247" t="n"/>
      <x:c r="B61" s="247" t="n"/>
      <x:c r="C61" s="247" t="n"/>
      <x:c r="D61" s="247" t="n"/>
      <x:c r="E61" s="247" t="n"/>
    </x:row>
    <x:row r="62">
      <x:c r="A62" s="247" t="n"/>
      <x:c r="B62" s="247" t="n"/>
      <x:c r="C62" s="247" t="n"/>
      <x:c r="D62" s="247" t="n"/>
      <x:c r="E62" s="247" t="n"/>
    </x:row>
    <x:row r="63">
      <x:c r="A63" s="247" t="n"/>
      <x:c r="B63" s="247" t="n"/>
      <x:c r="C63" s="247" t="n"/>
      <x:c r="D63" s="247" t="n"/>
      <x:c r="E63" s="247" t="n"/>
    </x:row>
    <x:row r="64">
      <x:c r="A64" s="247" t="n"/>
      <x:c r="B64" s="247" t="n"/>
      <x:c r="C64" s="247" t="n"/>
      <x:c r="D64" s="247" t="n"/>
      <x:c r="E64" s="247" t="n"/>
    </x:row>
    <x:row r="65">
      <x:c r="A65" s="247" t="n"/>
      <x:c r="B65" s="247" t="n"/>
      <x:c r="C65" s="247" t="n"/>
      <x:c r="D65" s="247" t="n"/>
      <x:c r="E65" s="247" t="n"/>
    </x:row>
    <x:row r="66">
      <x:c r="A66" s="247" t="n"/>
      <x:c r="B66" s="247" t="n"/>
      <x:c r="C66" s="247" t="n"/>
      <x:c r="D66" s="247" t="n"/>
      <x:c r="E66" s="247" t="n"/>
    </x:row>
    <x:row r="67">
      <x:c r="A67" s="247" t="n"/>
      <x:c r="B67" s="247" t="n"/>
      <x:c r="C67" s="247" t="n"/>
      <x:c r="D67" s="247" t="n"/>
      <x:c r="E67" s="247" t="n"/>
    </x:row>
    <x:row r="68">
      <x:c r="A68" s="247" t="n"/>
      <x:c r="B68" s="247" t="n"/>
      <x:c r="C68" s="247" t="n"/>
      <x:c r="D68" s="247" t="n"/>
      <x:c r="E68" s="247" t="n"/>
    </x:row>
    <x:row r="69">
      <x:c r="A69" s="247" t="n"/>
      <x:c r="B69" s="247" t="n"/>
      <x:c r="C69" s="247" t="n"/>
      <x:c r="D69" s="247" t="n"/>
      <x:c r="E69" s="247" t="n"/>
    </x:row>
    <x:row r="70">
      <x:c r="A70" s="247" t="n"/>
      <x:c r="B70" s="247" t="n"/>
      <x:c r="C70" s="247" t="n"/>
      <x:c r="D70" s="247" t="n"/>
      <x:c r="E70" s="247" t="n"/>
    </x:row>
    <x:row r="71">
      <x:c r="A71" s="247" t="n"/>
      <x:c r="B71" s="247" t="n"/>
      <x:c r="C71" s="247" t="n"/>
      <x:c r="D71" s="247" t="n"/>
      <x:c r="E71" s="247" t="n"/>
    </x:row>
    <x:row r="72">
      <x:c r="A72" s="247" t="n"/>
      <x:c r="B72" s="247" t="n"/>
      <x:c r="C72" s="247" t="n"/>
      <x:c r="D72" s="247" t="n"/>
      <x:c r="E72" s="247" t="n"/>
    </x:row>
    <x:row r="73">
      <x:c r="A73" s="247" t="n"/>
      <x:c r="B73" s="247" t="n"/>
      <x:c r="C73" s="247" t="n"/>
      <x:c r="D73" s="247" t="n"/>
      <x:c r="E73" s="247" t="n"/>
    </x:row>
    <x:row r="74">
      <x:c r="A74" s="247" t="n"/>
      <x:c r="B74" s="247" t="n"/>
      <x:c r="C74" s="247" t="n"/>
      <x:c r="D74" s="247" t="n"/>
      <x:c r="E74" s="247" t="n"/>
    </x:row>
    <x:row r="75">
      <x:c r="A75" s="247" t="n"/>
      <x:c r="B75" s="247" t="n"/>
      <x:c r="C75" s="247" t="n"/>
      <x:c r="D75" s="247" t="n"/>
      <x:c r="E75" s="247" t="n"/>
    </x:row>
    <x:row r="76">
      <x:c r="A76" s="247" t="n"/>
      <x:c r="B76" s="247" t="n"/>
      <x:c r="C76" s="247" t="n"/>
      <x:c r="D76" s="247" t="n"/>
      <x:c r="E76" s="247" t="n"/>
    </x:row>
    <x:row r="77">
      <x:c r="A77" s="247" t="n"/>
      <x:c r="B77" s="247" t="n"/>
      <x:c r="C77" s="247" t="n"/>
      <x:c r="D77" s="247" t="n"/>
      <x:c r="E77" s="247" t="n"/>
    </x:row>
    <x:row r="78">
      <x:c r="A78" s="247" t="n"/>
      <x:c r="B78" s="247" t="n"/>
      <x:c r="C78" s="247" t="n"/>
      <x:c r="D78" s="247" t="n"/>
      <x:c r="E78" s="247" t="n"/>
    </x:row>
    <x:row r="79">
      <x:c r="A79" s="247" t="n"/>
      <x:c r="B79" s="247" t="n"/>
      <x:c r="C79" s="247" t="n"/>
      <x:c r="D79" s="247" t="n"/>
      <x:c r="E79" s="247" t="n"/>
    </x:row>
    <x:row r="80">
      <x:c r="A80" s="247" t="n"/>
      <x:c r="B80" s="247" t="n"/>
      <x:c r="C80" s="247" t="n"/>
      <x:c r="D80" s="247" t="n"/>
      <x:c r="E80" s="247" t="n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24" style="146" customWidth="1"/>
    <x:col min="2" max="2" width="56" style="146" customWidth="1"/>
    <x:col min="3" max="3" width="56" style="146" customWidth="1"/>
  </x:cols>
  <x:sheetData>
    <x:row r="1">
      <x:c r="A1" s="250" t="inlineStr">
        <x:is>
          <x:t xml:space="preserve">🔐 Privacy + Sharing</x:t>
        </x:is>
      </x:c>
      <x:c r="B1" s="250" t="n"/>
      <x:c r="C1" s="250" t="n"/>
    </x:row>
    <x:row r="2">
      <x:c r="A2" s="250" t="n"/>
      <x:c r="B2" s="250" t="n"/>
      <x:c r="C2" s="250" t="n"/>
    </x:row>
    <x:row r="3">
      <x:c r="A3" s="247" t="n"/>
      <x:c r="B3" s="247" t="n"/>
      <x:c r="C3" s="247" t="n"/>
    </x:row>
    <x:row r="4">
      <x:c r="A4" s="253" t="inlineStr">
        <x:is>
          <x:t xml:space="preserve">Topic</x:t>
        </x:is>
      </x:c>
      <x:c r="B4" s="253" t="inlineStr">
        <x:is>
          <x:t xml:space="preserve">Recommendation</x:t>
        </x:is>
      </x:c>
      <x:c r="C4" s="253" t="inlineStr">
        <x:is>
          <x:t xml:space="preserve">Notes</x:t>
        </x:is>
      </x:c>
    </x:row>
    <x:row r="5">
      <x:c r="A5" s="254" t="inlineStr">
        <x:is>
          <x:t xml:space="preserve">Access model</x:t>
        </x:is>
      </x:c>
      <x:c r="B5" s="254" t="inlineStr">
        <x:is>
          <x:t xml:space="preserve">Keep Google Sheet private to David/Noelle; share PWA link with family.</x:t>
        </x:is>
      </x:c>
      <x:c r="C5" s="254" t="inlineStr">
        <x:is>
          <x:t xml:space="preserve">Reduces accidental edits.</x:t>
        </x:is>
      </x:c>
    </x:row>
    <x:row r="6">
      <x:c r="A6" s="254" t="inlineStr">
        <x:is>
          <x:t xml:space="preserve">Location sharing</x:t>
        </x:is>
      </x:c>
      <x:c r="B6" s="254" t="inlineStr">
        <x:is>
          <x:t xml:space="preserve">Use Apple Find My or Google Maps location sharing only if everyone agrees.</x:t>
        </x:is>
      </x:c>
      <x:c r="C6" s="254" t="inlineStr">
        <x:is>
          <x:t xml:space="preserve">Do not build hidden tracking.</x:t>
        </x:is>
      </x:c>
    </x:row>
    <x:row r="7">
      <x:c r="A7" s="254" t="inlineStr">
        <x:is>
          <x:t xml:space="preserve">Emergency contacts</x:t>
        </x:is>
      </x:c>
      <x:c r="B7" s="254" t="inlineStr">
        <x:is>
          <x:t xml:space="preserve">Add phone numbers only if everyone is comfortable.</x:t>
        </x:is>
      </x:c>
      <x:c r="C7" s="254" t="inlineStr">
        <x:is>
          <x:t xml:space="preserve">Avoid unnecessary sensitive info.</x:t>
        </x:is>
      </x:c>
    </x:row>
    <x:row r="8">
      <x:c r="A8" s="254" t="inlineStr">
        <x:is>
          <x:t xml:space="preserve">Offline cache</x:t>
        </x:is>
      </x:c>
      <x:c r="B8" s="254" t="inlineStr">
        <x:is>
          <x:t xml:space="preserve">The app stores last synced itinerary locally on each phone.</x:t>
        </x:is>
      </x:c>
      <x:c r="C8" s="254" t="inlineStr">
        <x:is>
          <x:t xml:space="preserve">Useful for transit/dead zones.</x:t>
        </x:is>
      </x:c>
    </x:row>
    <x:row r="9">
      <x:c r="A9" s="254" t="inlineStr">
        <x:is>
          <x:t xml:space="preserve">Write permissions</x:t>
        </x:is>
      </x:c>
      <x:c r="B9" s="254" t="inlineStr">
        <x:is>
          <x:t xml:space="preserve">Static PWA should usually be read-only for family.</x:t>
        </x:is>
      </x:c>
      <x:c r="C9" s="254" t="inlineStr">
        <x:is>
          <x:t xml:space="preserve">David/Noelle edit the Sheet.</x:t>
        </x:is>
      </x:c>
    </x:row>
    <x:row r="10">
      <x:c r="A10" s="254" t="inlineStr">
        <x:is>
          <x:t xml:space="preserve">Public link caution</x:t>
        </x:is>
      </x:c>
      <x:c r="B10" s="254" t="inlineStr">
        <x:is>
          <x:t xml:space="preserve">Anyone with a public PWA link may view trip details unless hosting/access is restricted.</x:t>
        </x:is>
      </x:c>
      <x:c r="C10" s="254" t="inlineStr">
        <x:is>
          <x:t xml:space="preserve">Use private hosting or obscure link for family only.</x:t>
        </x:is>
      </x:c>
    </x:row>
    <x:row r="11">
      <x:c r="A11" s="247" t="n"/>
      <x:c r="B11" s="247" t="n"/>
      <x:c r="C11" s="247" t="n"/>
    </x:row>
    <x:row r="12">
      <x:c r="A12" s="247" t="n"/>
      <x:c r="B12" s="247" t="n"/>
      <x:c r="C12" s="247" t="n"/>
    </x:row>
    <x:row r="13">
      <x:c r="A13" s="247" t="n"/>
      <x:c r="B13" s="247" t="n"/>
      <x:c r="C13" s="247" t="n"/>
    </x:row>
    <x:row r="14">
      <x:c r="A14" s="247" t="n"/>
      <x:c r="B14" s="247" t="n"/>
      <x:c r="C14" s="247" t="n"/>
    </x:row>
    <x:row r="15">
      <x:c r="A15" s="247" t="n"/>
      <x:c r="B15" s="247" t="n"/>
      <x:c r="C15" s="247" t="n"/>
    </x:row>
    <x:row r="16">
      <x:c r="A16" s="247" t="n"/>
      <x:c r="B16" s="247" t="n"/>
      <x:c r="C16" s="247" t="n"/>
    </x:row>
    <x:row r="17">
      <x:c r="A17" s="247" t="n"/>
      <x:c r="B17" s="247" t="n"/>
      <x:c r="C17" s="247" t="n"/>
    </x:row>
    <x:row r="18">
      <x:c r="A18" s="247" t="n"/>
      <x:c r="B18" s="247" t="n"/>
      <x:c r="C18" s="247" t="n"/>
    </x:row>
    <x:row r="19">
      <x:c r="A19" s="247" t="n"/>
      <x:c r="B19" s="247" t="n"/>
      <x:c r="C19" s="247" t="n"/>
    </x:row>
    <x:row r="20">
      <x:c r="A20" s="247" t="n"/>
      <x:c r="B20" s="247" t="n"/>
      <x:c r="C20" s="247" t="n"/>
    </x:row>
    <x:row r="21">
      <x:c r="A21" s="247" t="n"/>
      <x:c r="B21" s="247" t="n"/>
      <x:c r="C21" s="247" t="n"/>
    </x:row>
    <x:row r="22">
      <x:c r="A22" s="247" t="n"/>
      <x:c r="B22" s="247" t="n"/>
      <x:c r="C22" s="247" t="n"/>
    </x:row>
    <x:row r="23">
      <x:c r="A23" s="247" t="n"/>
      <x:c r="B23" s="247" t="n"/>
      <x:c r="C23" s="247" t="n"/>
    </x:row>
    <x:row r="24">
      <x:c r="A24" s="247" t="n"/>
      <x:c r="B24" s="247" t="n"/>
      <x:c r="C24" s="247" t="n"/>
    </x:row>
    <x:row r="25">
      <x:c r="A25" s="247" t="n"/>
      <x:c r="B25" s="247" t="n"/>
      <x:c r="C25" s="247" t="n"/>
    </x:row>
    <x:row r="26">
      <x:c r="A26" s="247" t="n"/>
      <x:c r="B26" s="247" t="n"/>
      <x:c r="C26" s="247" t="n"/>
    </x:row>
    <x:row r="27">
      <x:c r="A27" s="247" t="n"/>
      <x:c r="B27" s="247" t="n"/>
      <x:c r="C27" s="247" t="n"/>
    </x:row>
    <x:row r="28">
      <x:c r="A28" s="247" t="n"/>
      <x:c r="B28" s="247" t="n"/>
      <x:c r="C28" s="247" t="n"/>
    </x:row>
    <x:row r="29">
      <x:c r="A29" s="247" t="n"/>
      <x:c r="B29" s="247" t="n"/>
      <x:c r="C29" s="247" t="n"/>
    </x:row>
    <x:row r="30">
      <x:c r="A30" s="247" t="n"/>
      <x:c r="B30" s="247" t="n"/>
      <x:c r="C30" s="247" t="n"/>
    </x:row>
    <x:row r="31">
      <x:c r="A31" s="247" t="n"/>
      <x:c r="B31" s="247" t="n"/>
      <x:c r="C31" s="247" t="n"/>
    </x:row>
    <x:row r="32">
      <x:c r="A32" s="247" t="n"/>
      <x:c r="B32" s="247" t="n"/>
      <x:c r="C32" s="247" t="n"/>
    </x:row>
    <x:row r="33">
      <x:c r="A33" s="247" t="n"/>
      <x:c r="B33" s="247" t="n"/>
      <x:c r="C33" s="247" t="n"/>
    </x:row>
    <x:row r="34">
      <x:c r="A34" s="247" t="n"/>
      <x:c r="B34" s="247" t="n"/>
      <x:c r="C34" s="247" t="n"/>
    </x:row>
    <x:row r="35">
      <x:c r="A35" s="247" t="n"/>
      <x:c r="B35" s="247" t="n"/>
      <x:c r="C35" s="247" t="n"/>
    </x:row>
    <x:row r="36">
      <x:c r="A36" s="247" t="n"/>
      <x:c r="B36" s="247" t="n"/>
      <x:c r="C36" s="247" t="n"/>
    </x:row>
    <x:row r="37">
      <x:c r="A37" s="247" t="n"/>
      <x:c r="B37" s="247" t="n"/>
      <x:c r="C37" s="247" t="n"/>
    </x:row>
    <x:row r="38">
      <x:c r="A38" s="247" t="n"/>
      <x:c r="B38" s="247" t="n"/>
      <x:c r="C38" s="247" t="n"/>
    </x:row>
    <x:row r="39">
      <x:c r="A39" s="247" t="n"/>
      <x:c r="B39" s="247" t="n"/>
      <x:c r="C39" s="247" t="n"/>
    </x:row>
    <x:row r="40">
      <x:c r="A40" s="247" t="n"/>
      <x:c r="B40" s="247" t="n"/>
      <x:c r="C40" s="247" t="n"/>
    </x:row>
    <x:row r="41">
      <x:c r="A41" s="247" t="n"/>
      <x:c r="B41" s="247" t="n"/>
      <x:c r="C41" s="247" t="n"/>
    </x:row>
    <x:row r="42">
      <x:c r="A42" s="247" t="n"/>
      <x:c r="B42" s="247" t="n"/>
      <x:c r="C42" s="247" t="n"/>
    </x:row>
    <x:row r="43">
      <x:c r="A43" s="247" t="n"/>
      <x:c r="B43" s="247" t="n"/>
      <x:c r="C43" s="247" t="n"/>
    </x:row>
    <x:row r="44">
      <x:c r="A44" s="247" t="n"/>
      <x:c r="B44" s="247" t="n"/>
      <x:c r="C44" s="247" t="n"/>
    </x:row>
    <x:row r="45">
      <x:c r="A45" s="247" t="n"/>
      <x:c r="B45" s="247" t="n"/>
      <x:c r="C45" s="247" t="n"/>
    </x:row>
    <x:row r="46">
      <x:c r="A46" s="247" t="n"/>
      <x:c r="B46" s="247" t="n"/>
      <x:c r="C46" s="247" t="n"/>
    </x:row>
    <x:row r="47">
      <x:c r="A47" s="247" t="n"/>
      <x:c r="B47" s="247" t="n"/>
      <x:c r="C47" s="247" t="n"/>
    </x:row>
    <x:row r="48">
      <x:c r="A48" s="247" t="n"/>
      <x:c r="B48" s="247" t="n"/>
      <x:c r="C48" s="247" t="n"/>
    </x:row>
    <x:row r="49">
      <x:c r="A49" s="247" t="n"/>
      <x:c r="B49" s="247" t="n"/>
      <x:c r="C49" s="247" t="n"/>
    </x:row>
    <x:row r="50">
      <x:c r="A50" s="247" t="n"/>
      <x:c r="B50" s="247" t="n"/>
      <x:c r="C50" s="247" t="n"/>
    </x:row>
    <x:row r="51">
      <x:c r="A51" s="247" t="n"/>
      <x:c r="B51" s="247" t="n"/>
      <x:c r="C51" s="247" t="n"/>
    </x:row>
    <x:row r="52">
      <x:c r="A52" s="247" t="n"/>
      <x:c r="B52" s="247" t="n"/>
      <x:c r="C52" s="247" t="n"/>
    </x:row>
    <x:row r="53">
      <x:c r="A53" s="247" t="n"/>
      <x:c r="B53" s="247" t="n"/>
      <x:c r="C53" s="247" t="n"/>
    </x:row>
    <x:row r="54">
      <x:c r="A54" s="247" t="n"/>
      <x:c r="B54" s="247" t="n"/>
      <x:c r="C54" s="247" t="n"/>
    </x:row>
    <x:row r="55">
      <x:c r="A55" s="247" t="n"/>
      <x:c r="B55" s="247" t="n"/>
      <x:c r="C55" s="247" t="n"/>
    </x:row>
    <x:row r="56">
      <x:c r="A56" s="247" t="n"/>
      <x:c r="B56" s="247" t="n"/>
      <x:c r="C56" s="247" t="n"/>
    </x:row>
    <x:row r="57">
      <x:c r="A57" s="247" t="n"/>
      <x:c r="B57" s="247" t="n"/>
      <x:c r="C57" s="247" t="n"/>
    </x:row>
    <x:row r="58">
      <x:c r="A58" s="247" t="n"/>
      <x:c r="B58" s="247" t="n"/>
      <x:c r="C58" s="247" t="n"/>
    </x:row>
    <x:row r="59">
      <x:c r="A59" s="247" t="n"/>
      <x:c r="B59" s="247" t="n"/>
      <x:c r="C59" s="247" t="n"/>
    </x:row>
    <x:row r="60">
      <x:c r="A60" s="247" t="n"/>
      <x:c r="B60" s="247" t="n"/>
      <x:c r="C60" s="247" t="n"/>
    </x:row>
    <x:row r="61">
      <x:c r="A61" s="247" t="n"/>
      <x:c r="B61" s="247" t="n"/>
      <x:c r="C61" s="247" t="n"/>
    </x:row>
    <x:row r="62">
      <x:c r="A62" s="247" t="n"/>
      <x:c r="B62" s="247" t="n"/>
      <x:c r="C62" s="247" t="n"/>
    </x:row>
    <x:row r="63">
      <x:c r="A63" s="247" t="n"/>
      <x:c r="B63" s="247" t="n"/>
      <x:c r="C63" s="247" t="n"/>
    </x:row>
    <x:row r="64">
      <x:c r="A64" s="247" t="n"/>
      <x:c r="B64" s="247" t="n"/>
      <x:c r="C64" s="247" t="n"/>
    </x:row>
    <x:row r="65">
      <x:c r="A65" s="247" t="n"/>
      <x:c r="B65" s="247" t="n"/>
      <x:c r="C65" s="247" t="n"/>
    </x:row>
    <x:row r="66">
      <x:c r="A66" s="247" t="n"/>
      <x:c r="B66" s="247" t="n"/>
      <x:c r="C66" s="247" t="n"/>
    </x:row>
    <x:row r="67">
      <x:c r="A67" s="247" t="n"/>
      <x:c r="B67" s="247" t="n"/>
      <x:c r="C67" s="247" t="n"/>
    </x:row>
    <x:row r="68">
      <x:c r="A68" s="247" t="n"/>
      <x:c r="B68" s="247" t="n"/>
      <x:c r="C68" s="247" t="n"/>
    </x:row>
    <x:row r="69">
      <x:c r="A69" s="247" t="n"/>
      <x:c r="B69" s="247" t="n"/>
      <x:c r="C69" s="247" t="n"/>
    </x:row>
    <x:row r="70">
      <x:c r="A70" s="247" t="n"/>
      <x:c r="B70" s="247" t="n"/>
      <x:c r="C70" s="247" t="n"/>
    </x:row>
    <x:row r="71">
      <x:c r="A71" s="247" t="n"/>
      <x:c r="B71" s="247" t="n"/>
      <x:c r="C71" s="247" t="n"/>
    </x:row>
    <x:row r="72">
      <x:c r="A72" s="247" t="n"/>
      <x:c r="B72" s="247" t="n"/>
      <x:c r="C72" s="247" t="n"/>
    </x:row>
    <x:row r="73">
      <x:c r="A73" s="247" t="n"/>
      <x:c r="B73" s="247" t="n"/>
      <x:c r="C73" s="247" t="n"/>
    </x:row>
    <x:row r="74">
      <x:c r="A74" s="247" t="n"/>
      <x:c r="B74" s="247" t="n"/>
      <x:c r="C74" s="247" t="n"/>
    </x:row>
    <x:row r="75">
      <x:c r="A75" s="247" t="n"/>
      <x:c r="B75" s="247" t="n"/>
      <x:c r="C75" s="247" t="n"/>
    </x:row>
    <x:row r="76">
      <x:c r="A76" s="247" t="n"/>
      <x:c r="B76" s="247" t="n"/>
      <x:c r="C76" s="247" t="n"/>
    </x:row>
    <x:row r="77">
      <x:c r="A77" s="247" t="n"/>
      <x:c r="B77" s="247" t="n"/>
      <x:c r="C77" s="247" t="n"/>
    </x:row>
    <x:row r="78">
      <x:c r="A78" s="247" t="n"/>
      <x:c r="B78" s="247" t="n"/>
      <x:c r="C78" s="247" t="n"/>
    </x:row>
    <x:row r="79">
      <x:c r="A79" s="247" t="n"/>
      <x:c r="B79" s="247" t="n"/>
      <x:c r="C79" s="247" t="n"/>
    </x:row>
    <x:row r="80">
      <x:c r="A80" s="247" t="n"/>
      <x:c r="B80" s="247" t="n"/>
      <x:c r="C80" s="247" t="n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18" hidden="0" customWidth="1"/>
    <x:col min="5" max="5" width="38" hidden="0" customWidth="1"/>
    <x:col min="6" max="6" width="38" hidden="0" customWidth="1"/>
  </x:cols>
  <x:sheetData>
    <x:row r="1">
      <x:c r="A1" s="393" t="str">
        <x:v>🧭 Data Architecture / Model</x:v>
      </x:c>
      <x:c r="B1" s="393"/>
      <x:c r="C1" s="393"/>
      <x:c r="D1" s="393"/>
      <x:c r="E1" s="393"/>
      <x:c r="F1" s="393"/>
    </x:row>
    <x:row r="2">
      <x:c r="A2" s="393"/>
      <x:c r="B2" s="393"/>
      <x:c r="C2" s="393"/>
      <x:c r="D2" s="393"/>
      <x:c r="E2" s="393"/>
      <x:c r="F2" s="393"/>
    </x:row>
    <x:row r="3">
      <x:c r="A3" s="394" t="str">
        <x:v>This architecture keeps the existing sheet names intact for the working app, while separating how the data should be managed: Trip Data vs Reference Data vs App/Memory/Sensitive data.</x:v>
      </x:c>
      <x:c r="B3" s="394"/>
      <x:c r="C3" s="394"/>
      <x:c r="D3" s="394"/>
      <x:c r="E3" s="394"/>
      <x:c r="F3" s="394"/>
    </x:row>
    <x:row r="4">
      <x:c r="A4" s="390"/>
      <x:c r="B4" s="390"/>
      <x:c r="C4" s="390"/>
      <x:c r="D4" s="390"/>
      <x:c r="E4" s="390"/>
      <x:c r="F4" s="390"/>
    </x:row>
    <x:row r="5">
      <x:c r="A5" s="397" t="str">
        <x:v>Layer</x:v>
      </x:c>
      <x:c r="B5" s="397" t="str">
        <x:v>Update Frequency</x:v>
      </x:c>
      <x:c r="C5" s="397" t="str">
        <x:v>Includes</x:v>
      </x:c>
      <x:c r="D5" s="397" t="str">
        <x:v>Owner</x:v>
      </x:c>
      <x:c r="E5" s="397" t="str">
        <x:v>App Strategy</x:v>
      </x:c>
      <x:c r="F5" s="397" t="str">
        <x:v>Notes</x:v>
      </x:c>
    </x:row>
    <x:row r="6">
      <x:c r="A6" s="398" t="str">
        <x:v>Trip Data</x:v>
      </x:c>
      <x:c r="B6" s="398" t="str">
        <x:v>Changes often</x:v>
      </x:c>
      <x:c r="C6" s="398" t="str">
        <x:v>Itinerary, reservations, hotels, flights, packing, budget, journal, shopping</x:v>
      </x:c>
      <x:c r="D6" s="398" t="str">
        <x:v>David + Noelle</x:v>
      </x:c>
      <x:c r="E6" s="398" t="str">
        <x:v>App reads live / refreshes often</x:v>
      </x:c>
      <x:c r="F6" s="398" t="str">
        <x:v>Keep editable</x:v>
      </x:c>
    </x:row>
    <x:row r="7">
      <x:c r="A7" s="398" t="str">
        <x:v>Reference Data</x:v>
      </x:c>
      <x:c r="B7" s="398" t="str">
        <x:v>Rarely changes</x:v>
      </x:c>
      <x:c r="C7" s="398" t="str">
        <x:v>Phrases, etiquette, konbini, bathroom guide, seasonal guide, emergency reference</x:v>
      </x:c>
      <x:c r="D7" s="398" t="str">
        <x:v>David</x:v>
      </x:c>
      <x:c r="E7" s="398" t="str">
        <x:v>Cache aggressively / reusable for future trips</x:v>
      </x:c>
      <x:c r="F7" s="398" t="str">
        <x:v>Can be reused for Japan trips</x:v>
      </x:c>
    </x:row>
    <x:row r="8">
      <x:c r="A8" s="398" t="str">
        <x:v>App Config</x:v>
      </x:c>
      <x:c r="B8" s="398" t="str">
        <x:v>Changes occasionally</x:v>
      </x:c>
      <x:c r="C8" s="398" t="str">
        <x:v>App name, colors, selected date, feature flags, API config</x:v>
      </x:c>
      <x:c r="D8" s="398" t="str">
        <x:v>David</x:v>
      </x:c>
      <x:c r="E8" s="398" t="str">
        <x:v>Load on startup</x:v>
      </x:c>
      <x:c r="F8" s="398" t="str">
        <x:v>Keep simple</x:v>
      </x:c>
    </x:row>
    <x:row r="9">
      <x:c r="A9" s="398" t="str">
        <x:v>Family Views</x:v>
      </x:c>
      <x:c r="B9" s="398" t="str">
        <x:v>Derived from trip data</x:v>
      </x:c>
      <x:c r="C9" s="398" t="str">
        <x:v>Hilda, Nick, D+N dashboards</x:v>
      </x:c>
      <x:c r="D9" s="398" t="str">
        <x:v>App</x:v>
      </x:c>
      <x:c r="E9" s="398" t="str">
        <x:v>Generated by app from same source data</x:v>
      </x:c>
      <x:c r="F9" s="398" t="str">
        <x:v>Avoid duplicating manually</x:v>
      </x:c>
    </x:row>
    <x:row r="10">
      <x:c r="A10" s="398" t="str">
        <x:v>Memory Data</x:v>
      </x:c>
      <x:c r="B10" s="398" t="str">
        <x:v>Created during trip</x:v>
      </x:c>
      <x:c r="C10" s="398" t="str">
        <x:v>Journal, favorite meals, favorite photos, ratings</x:v>
      </x:c>
      <x:c r="D10" s="398" t="str">
        <x:v>Everyone</x:v>
      </x:c>
      <x:c r="E10" s="398" t="str">
        <x:v>Local first / later export</x:v>
      </x:c>
      <x:c r="F10" s="398" t="str">
        <x:v>Future photo/PDF feature</x:v>
      </x:c>
    </x:row>
    <x:row r="11">
      <x:c r="A11" s="398" t="str">
        <x:v>Security/Privacy</x:v>
      </x:c>
      <x:c r="B11" s="398" t="str">
        <x:v>Sensitive</x:v>
      </x:c>
      <x:c r="C11" s="398" t="str">
        <x:v>Emergency contacts, medical notes, phone numbers</x:v>
      </x:c>
      <x:c r="D11" s="398" t="str">
        <x:v>David</x:v>
      </x:c>
      <x:c r="E11" s="398" t="str">
        <x:v>Keep minimal and optional</x:v>
      </x:c>
      <x:c r="F11" s="398" t="str">
        <x:v>Only store what you are comfortable storing</x:v>
      </x:c>
    </x:row>
    <x:row r="12">
      <x:c r="A12" s="390"/>
      <x:c r="B12" s="390"/>
      <x:c r="C12" s="390"/>
      <x:c r="D12" s="390"/>
      <x:c r="E12" s="390"/>
      <x:c r="F12" s="390"/>
    </x:row>
    <x:row r="13">
      <x:c r="A13" s="390"/>
      <x:c r="B13" s="390"/>
      <x:c r="C13" s="390"/>
      <x:c r="D13" s="390"/>
      <x:c r="E13" s="390"/>
      <x:c r="F13" s="390"/>
    </x:row>
    <x:row r="14">
      <x:c r="A14" s="390"/>
      <x:c r="B14" s="390"/>
      <x:c r="C14" s="390"/>
      <x:c r="D14" s="390"/>
      <x:c r="E14" s="390"/>
      <x:c r="F14" s="390"/>
    </x:row>
    <x:row r="15">
      <x:c r="A15" s="390"/>
      <x:c r="B15" s="390"/>
      <x:c r="C15" s="390"/>
      <x:c r="D15" s="390"/>
      <x:c r="E15" s="390"/>
      <x:c r="F15" s="390"/>
    </x:row>
    <x:row r="16">
      <x:c r="A16" s="390"/>
      <x:c r="B16" s="390"/>
      <x:c r="C16" s="390"/>
      <x:c r="D16" s="390"/>
      <x:c r="E16" s="390"/>
      <x:c r="F16" s="390"/>
    </x:row>
    <x:row r="17">
      <x:c r="A17" s="390"/>
      <x:c r="B17" s="390"/>
      <x:c r="C17" s="390"/>
      <x:c r="D17" s="390"/>
      <x:c r="E17" s="390"/>
      <x:c r="F17" s="390"/>
    </x:row>
    <x:row r="18">
      <x:c r="A18" s="390"/>
      <x:c r="B18" s="390"/>
      <x:c r="C18" s="390"/>
      <x:c r="D18" s="390"/>
      <x:c r="E18" s="390"/>
      <x:c r="F18" s="390"/>
    </x:row>
    <x:row r="19">
      <x:c r="A19" s="390"/>
      <x:c r="B19" s="390"/>
      <x:c r="C19" s="390"/>
      <x:c r="D19" s="390"/>
      <x:c r="E19" s="390"/>
      <x:c r="F19" s="390"/>
    </x:row>
    <x:row r="20">
      <x:c r="A20" s="390"/>
      <x:c r="B20" s="390"/>
      <x:c r="C20" s="390"/>
      <x:c r="D20" s="390"/>
      <x:c r="E20" s="390"/>
      <x:c r="F20" s="390"/>
    </x:row>
    <x:row r="21">
      <x:c r="A21" s="390"/>
      <x:c r="B21" s="390"/>
      <x:c r="C21" s="390"/>
      <x:c r="D21" s="390"/>
      <x:c r="E21" s="390"/>
      <x:c r="F21" s="390"/>
    </x:row>
    <x:row r="22">
      <x:c r="A22" s="390"/>
      <x:c r="B22" s="390"/>
      <x:c r="C22" s="390"/>
      <x:c r="D22" s="390"/>
      <x:c r="E22" s="390"/>
      <x:c r="F22" s="390"/>
    </x:row>
    <x:row r="23">
      <x:c r="A23" s="390"/>
      <x:c r="B23" s="390"/>
      <x:c r="C23" s="390"/>
      <x:c r="D23" s="390"/>
      <x:c r="E23" s="390"/>
      <x:c r="F23" s="390"/>
    </x:row>
    <x:row r="24">
      <x:c r="A24" s="390"/>
      <x:c r="B24" s="390"/>
      <x:c r="C24" s="390"/>
      <x:c r="D24" s="390"/>
      <x:c r="E24" s="390"/>
      <x:c r="F24" s="390"/>
    </x:row>
    <x:row r="25">
      <x:c r="A25" s="390"/>
      <x:c r="B25" s="390"/>
      <x:c r="C25" s="390"/>
      <x:c r="D25" s="390"/>
      <x:c r="E25" s="390"/>
      <x:c r="F25" s="390"/>
    </x:row>
    <x:row r="26">
      <x:c r="A26" s="390"/>
      <x:c r="B26" s="390"/>
      <x:c r="C26" s="390"/>
      <x:c r="D26" s="390"/>
      <x:c r="E26" s="390"/>
      <x:c r="F26" s="390"/>
    </x:row>
    <x:row r="27">
      <x:c r="A27" s="390"/>
      <x:c r="B27" s="390"/>
      <x:c r="C27" s="390"/>
      <x:c r="D27" s="390"/>
      <x:c r="E27" s="390"/>
      <x:c r="F27" s="390"/>
    </x:row>
    <x:row r="28">
      <x:c r="A28" s="390"/>
      <x:c r="B28" s="390"/>
      <x:c r="C28" s="390"/>
      <x:c r="D28" s="390"/>
      <x:c r="E28" s="390"/>
      <x:c r="F28" s="390"/>
    </x:row>
    <x:row r="29">
      <x:c r="A29" s="390"/>
      <x:c r="B29" s="390"/>
      <x:c r="C29" s="390"/>
      <x:c r="D29" s="390"/>
      <x:c r="E29" s="390"/>
      <x:c r="F29" s="390"/>
    </x:row>
    <x:row r="30">
      <x:c r="A30" s="390"/>
      <x:c r="B30" s="390"/>
      <x:c r="C30" s="390"/>
      <x:c r="D30" s="390"/>
      <x:c r="E30" s="390"/>
      <x:c r="F30" s="390"/>
    </x:row>
    <x:row r="31">
      <x:c r="A31" s="390"/>
      <x:c r="B31" s="390"/>
      <x:c r="C31" s="390"/>
      <x:c r="D31" s="390"/>
      <x:c r="E31" s="390"/>
      <x:c r="F31" s="390"/>
    </x:row>
    <x:row r="32">
      <x:c r="A32" s="390"/>
      <x:c r="B32" s="390"/>
      <x:c r="C32" s="390"/>
      <x:c r="D32" s="390"/>
      <x:c r="E32" s="390"/>
      <x:c r="F32" s="390"/>
    </x:row>
    <x:row r="33">
      <x:c r="A33" s="390"/>
      <x:c r="B33" s="390"/>
      <x:c r="C33" s="390"/>
      <x:c r="D33" s="390"/>
      <x:c r="E33" s="390"/>
      <x:c r="F33" s="390"/>
    </x:row>
    <x:row r="34">
      <x:c r="A34" s="390"/>
      <x:c r="B34" s="390"/>
      <x:c r="C34" s="390"/>
      <x:c r="D34" s="390"/>
      <x:c r="E34" s="390"/>
      <x:c r="F34" s="390"/>
    </x:row>
    <x:row r="35">
      <x:c r="A35" s="390"/>
      <x:c r="B35" s="390"/>
      <x:c r="C35" s="390"/>
      <x:c r="D35" s="390"/>
      <x:c r="E35" s="390"/>
      <x:c r="F35" s="390"/>
    </x:row>
    <x:row r="36">
      <x:c r="A36" s="390"/>
      <x:c r="B36" s="390"/>
      <x:c r="C36" s="390"/>
      <x:c r="D36" s="390"/>
      <x:c r="E36" s="390"/>
      <x:c r="F36" s="390"/>
    </x:row>
    <x:row r="37">
      <x:c r="A37" s="390"/>
      <x:c r="B37" s="390"/>
      <x:c r="C37" s="390"/>
      <x:c r="D37" s="390"/>
      <x:c r="E37" s="390"/>
      <x:c r="F37" s="390"/>
    </x:row>
    <x:row r="38">
      <x:c r="A38" s="390"/>
      <x:c r="B38" s="390"/>
      <x:c r="C38" s="390"/>
      <x:c r="D38" s="390"/>
      <x:c r="E38" s="390"/>
      <x:c r="F38" s="390"/>
    </x:row>
    <x:row r="39">
      <x:c r="A39" s="390"/>
      <x:c r="B39" s="390"/>
      <x:c r="C39" s="390"/>
      <x:c r="D39" s="390"/>
      <x:c r="E39" s="390"/>
      <x:c r="F39" s="390"/>
    </x:row>
    <x:row r="40">
      <x:c r="A40" s="390"/>
      <x:c r="B40" s="390"/>
      <x:c r="C40" s="390"/>
      <x:c r="D40" s="390"/>
      <x:c r="E40" s="390"/>
      <x:c r="F40" s="390"/>
    </x:row>
    <x:row r="41">
      <x:c r="A41" s="390"/>
      <x:c r="B41" s="390"/>
      <x:c r="C41" s="390"/>
      <x:c r="D41" s="390"/>
      <x:c r="E41" s="390"/>
      <x:c r="F41" s="390"/>
    </x:row>
    <x:row r="42">
      <x:c r="A42" s="390"/>
      <x:c r="B42" s="390"/>
      <x:c r="C42" s="390"/>
      <x:c r="D42" s="390"/>
      <x:c r="E42" s="390"/>
      <x:c r="F42" s="390"/>
    </x:row>
    <x:row r="43">
      <x:c r="A43" s="390"/>
      <x:c r="B43" s="390"/>
      <x:c r="C43" s="390"/>
      <x:c r="D43" s="390"/>
      <x:c r="E43" s="390"/>
      <x:c r="F43" s="390"/>
    </x:row>
    <x:row r="44">
      <x:c r="A44" s="390"/>
      <x:c r="B44" s="390"/>
      <x:c r="C44" s="390"/>
      <x:c r="D44" s="390"/>
      <x:c r="E44" s="390"/>
      <x:c r="F44" s="390"/>
    </x:row>
    <x:row r="45">
      <x:c r="A45" s="390"/>
      <x:c r="B45" s="390"/>
      <x:c r="C45" s="390"/>
      <x:c r="D45" s="390"/>
      <x:c r="E45" s="390"/>
      <x:c r="F45" s="390"/>
    </x:row>
    <x:row r="46">
      <x:c r="A46" s="390"/>
      <x:c r="B46" s="390"/>
      <x:c r="C46" s="390"/>
      <x:c r="D46" s="390"/>
      <x:c r="E46" s="390"/>
      <x:c r="F46" s="390"/>
    </x:row>
    <x:row r="47">
      <x:c r="A47" s="390"/>
      <x:c r="B47" s="390"/>
      <x:c r="C47" s="390"/>
      <x:c r="D47" s="390"/>
      <x:c r="E47" s="390"/>
      <x:c r="F47" s="390"/>
    </x:row>
    <x:row r="48">
      <x:c r="A48" s="390"/>
      <x:c r="B48" s="390"/>
      <x:c r="C48" s="390"/>
      <x:c r="D48" s="390"/>
      <x:c r="E48" s="390"/>
      <x:c r="F48" s="390"/>
    </x:row>
    <x:row r="49">
      <x:c r="A49" s="390"/>
      <x:c r="B49" s="390"/>
      <x:c r="C49" s="390"/>
      <x:c r="D49" s="390"/>
      <x:c r="E49" s="390"/>
      <x:c r="F49" s="390"/>
    </x:row>
    <x:row r="50">
      <x:c r="A50" s="390"/>
      <x:c r="B50" s="390"/>
      <x:c r="C50" s="390"/>
      <x:c r="D50" s="390"/>
      <x:c r="E50" s="390"/>
      <x:c r="F50" s="390"/>
    </x:row>
    <x:row r="51">
      <x:c r="A51" s="390"/>
      <x:c r="B51" s="390"/>
      <x:c r="C51" s="390"/>
      <x:c r="D51" s="390"/>
      <x:c r="E51" s="390"/>
      <x:c r="F51" s="390"/>
    </x:row>
    <x:row r="52">
      <x:c r="A52" s="390"/>
      <x:c r="B52" s="390"/>
      <x:c r="C52" s="390"/>
      <x:c r="D52" s="390"/>
      <x:c r="E52" s="390"/>
      <x:c r="F52" s="390"/>
    </x:row>
    <x:row r="53">
      <x:c r="A53" s="390"/>
      <x:c r="B53" s="390"/>
      <x:c r="C53" s="390"/>
      <x:c r="D53" s="390"/>
      <x:c r="E53" s="390"/>
      <x:c r="F53" s="390"/>
    </x:row>
    <x:row r="54">
      <x:c r="A54" s="390"/>
      <x:c r="B54" s="390"/>
      <x:c r="C54" s="390"/>
      <x:c r="D54" s="390"/>
      <x:c r="E54" s="390"/>
      <x:c r="F54" s="390"/>
    </x:row>
    <x:row r="55">
      <x:c r="A55" s="390"/>
      <x:c r="B55" s="390"/>
      <x:c r="C55" s="390"/>
      <x:c r="D55" s="390"/>
      <x:c r="E55" s="390"/>
      <x:c r="F55" s="390"/>
    </x:row>
    <x:row r="56">
      <x:c r="A56" s="390"/>
      <x:c r="B56" s="390"/>
      <x:c r="C56" s="390"/>
      <x:c r="D56" s="390"/>
      <x:c r="E56" s="390"/>
      <x:c r="F56" s="390"/>
    </x:row>
    <x:row r="57">
      <x:c r="A57" s="390"/>
      <x:c r="B57" s="390"/>
      <x:c r="C57" s="390"/>
      <x:c r="D57" s="390"/>
      <x:c r="E57" s="390"/>
      <x:c r="F57" s="390"/>
    </x:row>
    <x:row r="58">
      <x:c r="A58" s="390"/>
      <x:c r="B58" s="390"/>
      <x:c r="C58" s="390"/>
      <x:c r="D58" s="390"/>
      <x:c r="E58" s="390"/>
      <x:c r="F58" s="390"/>
    </x:row>
    <x:row r="59">
      <x:c r="A59" s="390"/>
      <x:c r="B59" s="390"/>
      <x:c r="C59" s="390"/>
      <x:c r="D59" s="390"/>
      <x:c r="E59" s="390"/>
      <x:c r="F59" s="390"/>
    </x:row>
    <x:row r="60">
      <x:c r="A60" s="390"/>
      <x:c r="B60" s="390"/>
      <x:c r="C60" s="390"/>
      <x:c r="D60" s="390"/>
      <x:c r="E60" s="390"/>
      <x:c r="F60" s="390"/>
    </x:row>
    <x:row r="61">
      <x:c r="A61" s="390"/>
      <x:c r="B61" s="390"/>
      <x:c r="C61" s="390"/>
      <x:c r="D61" s="390"/>
      <x:c r="E61" s="390"/>
      <x:c r="F61" s="390"/>
    </x:row>
    <x:row r="62">
      <x:c r="A62" s="390"/>
      <x:c r="B62" s="390"/>
      <x:c r="C62" s="390"/>
      <x:c r="D62" s="390"/>
      <x:c r="E62" s="390"/>
      <x:c r="F62" s="390"/>
    </x:row>
    <x:row r="63">
      <x:c r="A63" s="390"/>
      <x:c r="B63" s="390"/>
      <x:c r="C63" s="390"/>
      <x:c r="D63" s="390"/>
      <x:c r="E63" s="390"/>
      <x:c r="F63" s="390"/>
    </x:row>
    <x:row r="64">
      <x:c r="A64" s="390"/>
      <x:c r="B64" s="390"/>
      <x:c r="C64" s="390"/>
      <x:c r="D64" s="390"/>
      <x:c r="E64" s="390"/>
      <x:c r="F64" s="390"/>
    </x:row>
    <x:row r="65">
      <x:c r="A65" s="390"/>
      <x:c r="B65" s="390"/>
      <x:c r="C65" s="390"/>
      <x:c r="D65" s="390"/>
      <x:c r="E65" s="390"/>
      <x:c r="F65" s="390"/>
    </x:row>
    <x:row r="66">
      <x:c r="A66" s="390"/>
      <x:c r="B66" s="390"/>
      <x:c r="C66" s="390"/>
      <x:c r="D66" s="390"/>
      <x:c r="E66" s="390"/>
      <x:c r="F66" s="390"/>
    </x:row>
    <x:row r="67">
      <x:c r="A67" s="390"/>
      <x:c r="B67" s="390"/>
      <x:c r="C67" s="390"/>
      <x:c r="D67" s="390"/>
      <x:c r="E67" s="390"/>
      <x:c r="F67" s="390"/>
    </x:row>
    <x:row r="68">
      <x:c r="A68" s="390"/>
      <x:c r="B68" s="390"/>
      <x:c r="C68" s="390"/>
      <x:c r="D68" s="390"/>
      <x:c r="E68" s="390"/>
      <x:c r="F68" s="390"/>
    </x:row>
    <x:row r="69">
      <x:c r="A69" s="390"/>
      <x:c r="B69" s="390"/>
      <x:c r="C69" s="390"/>
      <x:c r="D69" s="390"/>
      <x:c r="E69" s="390"/>
      <x:c r="F69" s="390"/>
    </x:row>
    <x:row r="70">
      <x:c r="A70" s="390"/>
      <x:c r="B70" s="390"/>
      <x:c r="C70" s="390"/>
      <x:c r="D70" s="390"/>
      <x:c r="E70" s="390"/>
      <x:c r="F70" s="390"/>
    </x:row>
    <x:row r="71">
      <x:c r="A71" s="390"/>
      <x:c r="B71" s="390"/>
      <x:c r="C71" s="390"/>
      <x:c r="D71" s="390"/>
      <x:c r="E71" s="390"/>
      <x:c r="F71" s="390"/>
    </x:row>
    <x:row r="72">
      <x:c r="A72" s="390"/>
      <x:c r="B72" s="390"/>
      <x:c r="C72" s="390"/>
      <x:c r="D72" s="390"/>
      <x:c r="E72" s="390"/>
      <x:c r="F72" s="390"/>
    </x:row>
    <x:row r="73">
      <x:c r="A73" s="390"/>
      <x:c r="B73" s="390"/>
      <x:c r="C73" s="390"/>
      <x:c r="D73" s="390"/>
      <x:c r="E73" s="390"/>
      <x:c r="F73" s="390"/>
    </x:row>
    <x:row r="74">
      <x:c r="A74" s="390"/>
      <x:c r="B74" s="390"/>
      <x:c r="C74" s="390"/>
      <x:c r="D74" s="390"/>
      <x:c r="E74" s="390"/>
      <x:c r="F74" s="390"/>
    </x:row>
    <x:row r="75">
      <x:c r="A75" s="390"/>
      <x:c r="B75" s="390"/>
      <x:c r="C75" s="390"/>
      <x:c r="D75" s="390"/>
      <x:c r="E75" s="390"/>
      <x:c r="F75" s="390"/>
    </x:row>
    <x:row r="76">
      <x:c r="A76" s="390"/>
      <x:c r="B76" s="390"/>
      <x:c r="C76" s="390"/>
      <x:c r="D76" s="390"/>
      <x:c r="E76" s="390"/>
      <x:c r="F76" s="390"/>
    </x:row>
    <x:row r="77">
      <x:c r="A77" s="390"/>
      <x:c r="B77" s="390"/>
      <x:c r="C77" s="390"/>
      <x:c r="D77" s="390"/>
      <x:c r="E77" s="390"/>
      <x:c r="F77" s="390"/>
    </x:row>
    <x:row r="78">
      <x:c r="A78" s="390"/>
      <x:c r="B78" s="390"/>
      <x:c r="C78" s="390"/>
      <x:c r="D78" s="390"/>
      <x:c r="E78" s="390"/>
      <x:c r="F78" s="390"/>
    </x:row>
    <x:row r="79">
      <x:c r="A79" s="390"/>
      <x:c r="B79" s="390"/>
      <x:c r="C79" s="390"/>
      <x:c r="D79" s="390"/>
      <x:c r="E79" s="390"/>
      <x:c r="F79" s="390"/>
    </x:row>
    <x:row r="80">
      <x:c r="A80" s="390"/>
      <x:c r="B80" s="390"/>
      <x:c r="C80" s="390"/>
      <x:c r="D80" s="390"/>
      <x:c r="E80" s="390"/>
      <x:c r="F80" s="390"/>
    </x:row>
    <x:row r="81">
      <x:c r="A81" s="390"/>
      <x:c r="B81" s="390"/>
      <x:c r="C81" s="390"/>
      <x:c r="D81" s="390"/>
      <x:c r="E81" s="390"/>
      <x:c r="F81" s="390"/>
    </x:row>
    <x:row r="82">
      <x:c r="A82" s="390"/>
      <x:c r="B82" s="390"/>
      <x:c r="C82" s="390"/>
      <x:c r="D82" s="390"/>
      <x:c r="E82" s="390"/>
      <x:c r="F82" s="390"/>
    </x:row>
    <x:row r="83">
      <x:c r="A83" s="390"/>
      <x:c r="B83" s="390"/>
      <x:c r="C83" s="390"/>
      <x:c r="D83" s="390"/>
      <x:c r="E83" s="390"/>
      <x:c r="F83" s="390"/>
    </x:row>
    <x:row r="84">
      <x:c r="A84" s="390"/>
      <x:c r="B84" s="390"/>
      <x:c r="C84" s="390"/>
      <x:c r="D84" s="390"/>
      <x:c r="E84" s="390"/>
      <x:c r="F84" s="390"/>
    </x:row>
    <x:row r="85">
      <x:c r="A85" s="390"/>
      <x:c r="B85" s="390"/>
      <x:c r="C85" s="390"/>
      <x:c r="D85" s="390"/>
      <x:c r="E85" s="390"/>
      <x:c r="F85" s="390"/>
    </x:row>
    <x:row r="86">
      <x:c r="A86" s="390"/>
      <x:c r="B86" s="390"/>
      <x:c r="C86" s="390"/>
      <x:c r="D86" s="390"/>
      <x:c r="E86" s="390"/>
      <x:c r="F86" s="390"/>
    </x:row>
    <x:row r="87">
      <x:c r="A87" s="390"/>
      <x:c r="B87" s="390"/>
      <x:c r="C87" s="390"/>
      <x:c r="D87" s="390"/>
      <x:c r="E87" s="390"/>
      <x:c r="F87" s="390"/>
    </x:row>
    <x:row r="88">
      <x:c r="A88" s="390"/>
      <x:c r="B88" s="390"/>
      <x:c r="C88" s="390"/>
      <x:c r="D88" s="390"/>
      <x:c r="E88" s="390"/>
      <x:c r="F88" s="390"/>
    </x:row>
    <x:row r="89">
      <x:c r="A89" s="390"/>
      <x:c r="B89" s="390"/>
      <x:c r="C89" s="390"/>
      <x:c r="D89" s="390"/>
      <x:c r="E89" s="390"/>
      <x:c r="F89" s="390"/>
    </x:row>
    <x:row r="90">
      <x:c r="A90" s="390"/>
      <x:c r="B90" s="390"/>
      <x:c r="C90" s="390"/>
      <x:c r="D90" s="390"/>
      <x:c r="E90" s="390"/>
      <x:c r="F90" s="390"/>
    </x:row>
    <x:row r="91">
      <x:c r="A91" s="390"/>
      <x:c r="B91" s="390"/>
      <x:c r="C91" s="390"/>
      <x:c r="D91" s="390"/>
      <x:c r="E91" s="390"/>
      <x:c r="F91" s="390"/>
    </x:row>
    <x:row r="92">
      <x:c r="A92" s="390"/>
      <x:c r="B92" s="390"/>
      <x:c r="C92" s="390"/>
      <x:c r="D92" s="390"/>
      <x:c r="E92" s="390"/>
      <x:c r="F92" s="390"/>
    </x:row>
    <x:row r="93">
      <x:c r="A93" s="390"/>
      <x:c r="B93" s="390"/>
      <x:c r="C93" s="390"/>
      <x:c r="D93" s="390"/>
      <x:c r="E93" s="390"/>
      <x:c r="F93" s="390"/>
    </x:row>
    <x:row r="94">
      <x:c r="A94" s="390"/>
      <x:c r="B94" s="390"/>
      <x:c r="C94" s="390"/>
      <x:c r="D94" s="390"/>
      <x:c r="E94" s="390"/>
      <x:c r="F94" s="390"/>
    </x:row>
    <x:row r="95">
      <x:c r="A95" s="390"/>
      <x:c r="B95" s="390"/>
      <x:c r="C95" s="390"/>
      <x:c r="D95" s="390"/>
      <x:c r="E95" s="390"/>
      <x:c r="F95" s="390"/>
    </x:row>
    <x:row r="96">
      <x:c r="A96" s="390"/>
      <x:c r="B96" s="390"/>
      <x:c r="C96" s="390"/>
      <x:c r="D96" s="390"/>
      <x:c r="E96" s="390"/>
      <x:c r="F96" s="390"/>
    </x:row>
    <x:row r="97">
      <x:c r="A97" s="390"/>
      <x:c r="B97" s="390"/>
      <x:c r="C97" s="390"/>
      <x:c r="D97" s="390"/>
      <x:c r="E97" s="390"/>
      <x:c r="F97" s="390"/>
    </x:row>
    <x:row r="98">
      <x:c r="A98" s="390"/>
      <x:c r="B98" s="390"/>
      <x:c r="C98" s="390"/>
      <x:c r="D98" s="390"/>
      <x:c r="E98" s="390"/>
      <x:c r="F98" s="390"/>
    </x:row>
    <x:row r="99">
      <x:c r="A99" s="390"/>
      <x:c r="B99" s="390"/>
      <x:c r="C99" s="390"/>
      <x:c r="D99" s="390"/>
      <x:c r="E99" s="390"/>
      <x:c r="F99" s="390"/>
    </x:row>
    <x:row r="100">
      <x:c r="A100" s="390"/>
      <x:c r="B100" s="390"/>
      <x:c r="C100" s="390"/>
      <x:c r="D100" s="390"/>
      <x:c r="E100" s="390"/>
      <x:c r="F100" s="390"/>
    </x:row>
    <x:row r="101">
      <x:c r="A101" s="390"/>
      <x:c r="B101" s="390"/>
      <x:c r="C101" s="390"/>
      <x:c r="D101" s="390"/>
      <x:c r="E101" s="390"/>
      <x:c r="F101" s="390"/>
    </x:row>
    <x:row r="102">
      <x:c r="A102" s="390"/>
      <x:c r="B102" s="390"/>
      <x:c r="C102" s="390"/>
      <x:c r="D102" s="390"/>
      <x:c r="E102" s="390"/>
      <x:c r="F102" s="390"/>
    </x:row>
    <x:row r="103">
      <x:c r="A103" s="390"/>
      <x:c r="B103" s="390"/>
      <x:c r="C103" s="390"/>
      <x:c r="D103" s="390"/>
      <x:c r="E103" s="390"/>
      <x:c r="F103" s="390"/>
    </x:row>
    <x:row r="104">
      <x:c r="A104" s="390"/>
      <x:c r="B104" s="390"/>
      <x:c r="C104" s="390"/>
      <x:c r="D104" s="390"/>
      <x:c r="E104" s="390"/>
      <x:c r="F104" s="390"/>
    </x:row>
    <x:row r="105">
      <x:c r="A105" s="390"/>
      <x:c r="B105" s="390"/>
      <x:c r="C105" s="390"/>
      <x:c r="D105" s="390"/>
      <x:c r="E105" s="390"/>
      <x:c r="F105" s="390"/>
    </x:row>
    <x:row r="106">
      <x:c r="A106" s="390"/>
      <x:c r="B106" s="390"/>
      <x:c r="C106" s="390"/>
      <x:c r="D106" s="390"/>
      <x:c r="E106" s="390"/>
      <x:c r="F106" s="390"/>
    </x:row>
    <x:row r="107">
      <x:c r="A107" s="390"/>
      <x:c r="B107" s="390"/>
      <x:c r="C107" s="390"/>
      <x:c r="D107" s="390"/>
      <x:c r="E107" s="390"/>
      <x:c r="F107" s="390"/>
    </x:row>
    <x:row r="108">
      <x:c r="A108" s="390"/>
      <x:c r="B108" s="390"/>
      <x:c r="C108" s="390"/>
      <x:c r="D108" s="390"/>
      <x:c r="E108" s="390"/>
      <x:c r="F108" s="390"/>
    </x:row>
    <x:row r="109">
      <x:c r="A109" s="390"/>
      <x:c r="B109" s="390"/>
      <x:c r="C109" s="390"/>
      <x:c r="D109" s="390"/>
      <x:c r="E109" s="390"/>
      <x:c r="F109" s="390"/>
    </x:row>
    <x:row r="110">
      <x:c r="A110" s="390"/>
      <x:c r="B110" s="390"/>
      <x:c r="C110" s="390"/>
      <x:c r="D110" s="390"/>
      <x:c r="E110" s="390"/>
      <x:c r="F110" s="390"/>
    </x:row>
    <x:row r="111">
      <x:c r="A111" s="390"/>
      <x:c r="B111" s="390"/>
      <x:c r="C111" s="390"/>
      <x:c r="D111" s="390"/>
      <x:c r="E111" s="390"/>
      <x:c r="F111" s="390"/>
    </x:row>
    <x:row r="112">
      <x:c r="A112" s="390"/>
      <x:c r="B112" s="390"/>
      <x:c r="C112" s="390"/>
      <x:c r="D112" s="390"/>
      <x:c r="E112" s="390"/>
      <x:c r="F112" s="390"/>
    </x:row>
    <x:row r="113">
      <x:c r="A113" s="390"/>
      <x:c r="B113" s="390"/>
      <x:c r="C113" s="390"/>
      <x:c r="D113" s="390"/>
      <x:c r="E113" s="390"/>
      <x:c r="F113" s="390"/>
    </x:row>
    <x:row r="114">
      <x:c r="A114" s="390"/>
      <x:c r="B114" s="390"/>
      <x:c r="C114" s="390"/>
      <x:c r="D114" s="390"/>
      <x:c r="E114" s="390"/>
      <x:c r="F114" s="390"/>
    </x:row>
    <x:row r="115">
      <x:c r="A115" s="390"/>
      <x:c r="B115" s="390"/>
      <x:c r="C115" s="390"/>
      <x:c r="D115" s="390"/>
      <x:c r="E115" s="390"/>
      <x:c r="F115" s="390"/>
    </x:row>
    <x:row r="116">
      <x:c r="A116" s="390"/>
      <x:c r="B116" s="390"/>
      <x:c r="C116" s="390"/>
      <x:c r="D116" s="390"/>
      <x:c r="E116" s="390"/>
      <x:c r="F116" s="390"/>
    </x:row>
    <x:row r="117">
      <x:c r="A117" s="390"/>
      <x:c r="B117" s="390"/>
      <x:c r="C117" s="390"/>
      <x:c r="D117" s="390"/>
      <x:c r="E117" s="390"/>
      <x:c r="F117" s="390"/>
    </x:row>
    <x:row r="118">
      <x:c r="A118" s="390"/>
      <x:c r="B118" s="390"/>
      <x:c r="C118" s="390"/>
      <x:c r="D118" s="390"/>
      <x:c r="E118" s="390"/>
      <x:c r="F118" s="390"/>
    </x:row>
    <x:row r="119">
      <x:c r="A119" s="390"/>
      <x:c r="B119" s="390"/>
      <x:c r="C119" s="390"/>
      <x:c r="D119" s="390"/>
      <x:c r="E119" s="390"/>
      <x:c r="F119" s="390"/>
    </x:row>
    <x:row r="120">
      <x:c r="A120" s="390"/>
      <x:c r="B120" s="390"/>
      <x:c r="C120" s="390"/>
      <x:c r="D120" s="390"/>
      <x:c r="E120" s="390"/>
      <x:c r="F120" s="390"/>
    </x:row>
    <x:row r="121">
      <x:c r="A121" s="390"/>
      <x:c r="B121" s="390"/>
      <x:c r="C121" s="390"/>
      <x:c r="D121" s="390"/>
      <x:c r="E121" s="390"/>
      <x:c r="F121" s="390"/>
    </x:row>
    <x:row r="122">
      <x:c r="A122" s="390"/>
      <x:c r="B122" s="390"/>
      <x:c r="C122" s="390"/>
      <x:c r="D122" s="390"/>
      <x:c r="E122" s="390"/>
      <x:c r="F122" s="390"/>
    </x:row>
    <x:row r="123">
      <x:c r="A123" s="390"/>
      <x:c r="B123" s="390"/>
      <x:c r="C123" s="390"/>
      <x:c r="D123" s="390"/>
      <x:c r="E123" s="390"/>
      <x:c r="F123" s="390"/>
    </x:row>
    <x:row r="124">
      <x:c r="A124" s="390"/>
      <x:c r="B124" s="390"/>
      <x:c r="C124" s="390"/>
      <x:c r="D124" s="390"/>
      <x:c r="E124" s="390"/>
      <x:c r="F124" s="390"/>
    </x:row>
    <x:row r="125">
      <x:c r="A125" s="390"/>
      <x:c r="B125" s="390"/>
      <x:c r="C125" s="390"/>
      <x:c r="D125" s="390"/>
      <x:c r="E125" s="390"/>
      <x:c r="F125" s="390"/>
    </x:row>
    <x:row r="126">
      <x:c r="A126" s="390"/>
      <x:c r="B126" s="390"/>
      <x:c r="C126" s="390"/>
      <x:c r="D126" s="390"/>
      <x:c r="E126" s="390"/>
      <x:c r="F126" s="390"/>
    </x:row>
    <x:row r="127">
      <x:c r="A127" s="390"/>
      <x:c r="B127" s="390"/>
      <x:c r="C127" s="390"/>
      <x:c r="D127" s="390"/>
      <x:c r="E127" s="390"/>
      <x:c r="F127" s="390"/>
    </x:row>
    <x:row r="128">
      <x:c r="A128" s="390"/>
      <x:c r="B128" s="390"/>
      <x:c r="C128" s="390"/>
      <x:c r="D128" s="390"/>
      <x:c r="E128" s="390"/>
      <x:c r="F128" s="390"/>
    </x:row>
    <x:row r="129">
      <x:c r="A129" s="390"/>
      <x:c r="B129" s="390"/>
      <x:c r="C129" s="390"/>
      <x:c r="D129" s="390"/>
      <x:c r="E129" s="390"/>
      <x:c r="F129" s="390"/>
    </x:row>
    <x:row r="130">
      <x:c r="A130" s="390"/>
      <x:c r="B130" s="390"/>
      <x:c r="C130" s="390"/>
      <x:c r="D130" s="390"/>
      <x:c r="E130" s="390"/>
      <x:c r="F130" s="390"/>
    </x:row>
    <x:row r="131">
      <x:c r="A131" s="390"/>
      <x:c r="B131" s="390"/>
      <x:c r="C131" s="390"/>
      <x:c r="D131" s="390"/>
      <x:c r="E131" s="390"/>
      <x:c r="F131" s="390"/>
    </x:row>
    <x:row r="132">
      <x:c r="A132" s="390"/>
      <x:c r="B132" s="390"/>
      <x:c r="C132" s="390"/>
      <x:c r="D132" s="390"/>
      <x:c r="E132" s="390"/>
      <x:c r="F132" s="390"/>
    </x:row>
    <x:row r="133">
      <x:c r="A133" s="390"/>
      <x:c r="B133" s="390"/>
      <x:c r="C133" s="390"/>
      <x:c r="D133" s="390"/>
      <x:c r="E133" s="390"/>
      <x:c r="F133" s="390"/>
    </x:row>
    <x:row r="134">
      <x:c r="A134" s="390"/>
      <x:c r="B134" s="390"/>
      <x:c r="C134" s="390"/>
      <x:c r="D134" s="390"/>
      <x:c r="E134" s="390"/>
      <x:c r="F134" s="390"/>
    </x:row>
    <x:row r="135">
      <x:c r="A135" s="390"/>
      <x:c r="B135" s="390"/>
      <x:c r="C135" s="390"/>
      <x:c r="D135" s="390"/>
      <x:c r="E135" s="390"/>
      <x:c r="F135" s="390"/>
    </x:row>
    <x:row r="136">
      <x:c r="A136" s="390"/>
      <x:c r="B136" s="390"/>
      <x:c r="C136" s="390"/>
      <x:c r="D136" s="390"/>
      <x:c r="E136" s="390"/>
      <x:c r="F136" s="390"/>
    </x:row>
    <x:row r="137">
      <x:c r="A137" s="390"/>
      <x:c r="B137" s="390"/>
      <x:c r="C137" s="390"/>
      <x:c r="D137" s="390"/>
      <x:c r="E137" s="390"/>
      <x:c r="F137" s="390"/>
    </x:row>
    <x:row r="138">
      <x:c r="A138" s="390"/>
      <x:c r="B138" s="390"/>
      <x:c r="C138" s="390"/>
      <x:c r="D138" s="390"/>
      <x:c r="E138" s="390"/>
      <x:c r="F138" s="390"/>
    </x:row>
    <x:row r="139">
      <x:c r="A139" s="390"/>
      <x:c r="B139" s="390"/>
      <x:c r="C139" s="390"/>
      <x:c r="D139" s="390"/>
      <x:c r="E139" s="390"/>
      <x:c r="F139" s="390"/>
    </x:row>
    <x:row r="140">
      <x:c r="A140" s="390"/>
      <x:c r="B140" s="390"/>
      <x:c r="C140" s="390"/>
      <x:c r="D140" s="390"/>
      <x:c r="E140" s="390"/>
      <x:c r="F140" s="390"/>
    </x:row>
    <x:row r="141">
      <x:c r="A141" s="390"/>
      <x:c r="B141" s="390"/>
      <x:c r="C141" s="390"/>
      <x:c r="D141" s="390"/>
      <x:c r="E141" s="390"/>
      <x:c r="F141" s="390"/>
    </x:row>
    <x:row r="142">
      <x:c r="A142" s="390"/>
      <x:c r="B142" s="390"/>
      <x:c r="C142" s="390"/>
      <x:c r="D142" s="390"/>
      <x:c r="E142" s="390"/>
      <x:c r="F142" s="390"/>
    </x:row>
    <x:row r="143">
      <x:c r="A143" s="390"/>
      <x:c r="B143" s="390"/>
      <x:c r="C143" s="390"/>
      <x:c r="D143" s="390"/>
      <x:c r="E143" s="390"/>
      <x:c r="F143" s="390"/>
    </x:row>
    <x:row r="144">
      <x:c r="A144" s="390"/>
      <x:c r="B144" s="390"/>
      <x:c r="C144" s="390"/>
      <x:c r="D144" s="390"/>
      <x:c r="E144" s="390"/>
      <x:c r="F144" s="390"/>
    </x:row>
    <x:row r="145">
      <x:c r="A145" s="390"/>
      <x:c r="B145" s="390"/>
      <x:c r="C145" s="390"/>
      <x:c r="D145" s="390"/>
      <x:c r="E145" s="390"/>
      <x:c r="F145" s="390"/>
    </x:row>
    <x:row r="146">
      <x:c r="A146" s="390"/>
      <x:c r="B146" s="390"/>
      <x:c r="C146" s="390"/>
      <x:c r="D146" s="390"/>
      <x:c r="E146" s="390"/>
      <x:c r="F146" s="390"/>
    </x:row>
    <x:row r="147">
      <x:c r="A147" s="390"/>
      <x:c r="B147" s="390"/>
      <x:c r="C147" s="390"/>
      <x:c r="D147" s="390"/>
      <x:c r="E147" s="390"/>
      <x:c r="F147" s="390"/>
    </x:row>
    <x:row r="148">
      <x:c r="A148" s="390"/>
      <x:c r="B148" s="390"/>
      <x:c r="C148" s="390"/>
      <x:c r="D148" s="390"/>
      <x:c r="E148" s="390"/>
      <x:c r="F148" s="390"/>
    </x:row>
    <x:row r="149">
      <x:c r="A149" s="390"/>
      <x:c r="B149" s="390"/>
      <x:c r="C149" s="390"/>
      <x:c r="D149" s="390"/>
      <x:c r="E149" s="390"/>
      <x:c r="F149" s="390"/>
    </x:row>
    <x:row r="150">
      <x:c r="A150" s="390"/>
      <x:c r="B150" s="390"/>
      <x:c r="C150" s="390"/>
      <x:c r="D150" s="390"/>
      <x:c r="E150" s="390"/>
      <x:c r="F150" s="390"/>
    </x:row>
    <x:row r="151">
      <x:c r="A151" s="390"/>
      <x:c r="B151" s="390"/>
      <x:c r="C151" s="390"/>
      <x:c r="D151" s="390"/>
      <x:c r="E151" s="390"/>
      <x:c r="F151" s="390"/>
    </x:row>
    <x:row r="152">
      <x:c r="A152" s="390"/>
      <x:c r="B152" s="390"/>
      <x:c r="C152" s="390"/>
      <x:c r="D152" s="390"/>
      <x:c r="E152" s="390"/>
      <x:c r="F152" s="390"/>
    </x:row>
    <x:row r="153">
      <x:c r="A153" s="390"/>
      <x:c r="B153" s="390"/>
      <x:c r="C153" s="390"/>
      <x:c r="D153" s="390"/>
      <x:c r="E153" s="390"/>
      <x:c r="F153" s="390"/>
    </x:row>
    <x:row r="154">
      <x:c r="A154" s="390"/>
      <x:c r="B154" s="390"/>
      <x:c r="C154" s="390"/>
      <x:c r="D154" s="390"/>
      <x:c r="E154" s="390"/>
      <x:c r="F154" s="390"/>
    </x:row>
    <x:row r="155">
      <x:c r="A155" s="390"/>
      <x:c r="B155" s="390"/>
      <x:c r="C155" s="390"/>
      <x:c r="D155" s="390"/>
      <x:c r="E155" s="390"/>
      <x:c r="F155" s="390"/>
    </x:row>
    <x:row r="156">
      <x:c r="A156" s="390"/>
      <x:c r="B156" s="390"/>
      <x:c r="C156" s="390"/>
      <x:c r="D156" s="390"/>
      <x:c r="E156" s="390"/>
      <x:c r="F156" s="390"/>
    </x:row>
    <x:row r="157">
      <x:c r="A157" s="390"/>
      <x:c r="B157" s="390"/>
      <x:c r="C157" s="390"/>
      <x:c r="D157" s="390"/>
      <x:c r="E157" s="390"/>
      <x:c r="F157" s="390"/>
    </x:row>
    <x:row r="158">
      <x:c r="A158" s="390"/>
      <x:c r="B158" s="390"/>
      <x:c r="C158" s="390"/>
      <x:c r="D158" s="390"/>
      <x:c r="E158" s="390"/>
      <x:c r="F158" s="390"/>
    </x:row>
    <x:row r="159">
      <x:c r="A159" s="390"/>
      <x:c r="B159" s="390"/>
      <x:c r="C159" s="390"/>
      <x:c r="D159" s="390"/>
      <x:c r="E159" s="390"/>
      <x:c r="F159" s="390"/>
    </x:row>
    <x:row r="160">
      <x:c r="A160" s="390"/>
      <x:c r="B160" s="390"/>
      <x:c r="C160" s="390"/>
      <x:c r="D160" s="390"/>
      <x:c r="E160" s="390"/>
      <x:c r="F160" s="390"/>
    </x:row>
    <x:row r="161">
      <x:c r="A161" s="390"/>
      <x:c r="B161" s="390"/>
      <x:c r="C161" s="390"/>
      <x:c r="D161" s="390"/>
      <x:c r="E161" s="390"/>
      <x:c r="F161" s="390"/>
    </x:row>
    <x:row r="162">
      <x:c r="A162" s="390"/>
      <x:c r="B162" s="390"/>
      <x:c r="C162" s="390"/>
      <x:c r="D162" s="390"/>
      <x:c r="E162" s="390"/>
      <x:c r="F162" s="390"/>
    </x:row>
    <x:row r="163">
      <x:c r="A163" s="390"/>
      <x:c r="B163" s="390"/>
      <x:c r="C163" s="390"/>
      <x:c r="D163" s="390"/>
      <x:c r="E163" s="390"/>
      <x:c r="F163" s="390"/>
    </x:row>
    <x:row r="164">
      <x:c r="A164" s="390"/>
      <x:c r="B164" s="390"/>
      <x:c r="C164" s="390"/>
      <x:c r="D164" s="390"/>
      <x:c r="E164" s="390"/>
      <x:c r="F164" s="390"/>
    </x:row>
    <x:row r="165">
      <x:c r="A165" s="390"/>
      <x:c r="B165" s="390"/>
      <x:c r="C165" s="390"/>
      <x:c r="D165" s="390"/>
      <x:c r="E165" s="390"/>
      <x:c r="F165" s="390"/>
    </x:row>
    <x:row r="166">
      <x:c r="A166" s="390"/>
      <x:c r="B166" s="390"/>
      <x:c r="C166" s="390"/>
      <x:c r="D166" s="390"/>
      <x:c r="E166" s="390"/>
      <x:c r="F166" s="390"/>
    </x:row>
    <x:row r="167">
      <x:c r="A167" s="390"/>
      <x:c r="B167" s="390"/>
      <x:c r="C167" s="390"/>
      <x:c r="D167" s="390"/>
      <x:c r="E167" s="390"/>
      <x:c r="F167" s="390"/>
    </x:row>
    <x:row r="168">
      <x:c r="A168" s="390"/>
      <x:c r="B168" s="390"/>
      <x:c r="C168" s="390"/>
      <x:c r="D168" s="390"/>
      <x:c r="E168" s="390"/>
      <x:c r="F168" s="390"/>
    </x:row>
    <x:row r="169">
      <x:c r="A169" s="390"/>
      <x:c r="B169" s="390"/>
      <x:c r="C169" s="390"/>
      <x:c r="D169" s="390"/>
      <x:c r="E169" s="390"/>
      <x:c r="F169" s="390"/>
    </x:row>
    <x:row r="170">
      <x:c r="A170" s="390"/>
      <x:c r="B170" s="390"/>
      <x:c r="C170" s="390"/>
      <x:c r="D170" s="390"/>
      <x:c r="E170" s="390"/>
      <x:c r="F170" s="390"/>
    </x:row>
    <x:row r="171">
      <x:c r="A171" s="390"/>
      <x:c r="B171" s="390"/>
      <x:c r="C171" s="390"/>
      <x:c r="D171" s="390"/>
      <x:c r="E171" s="390"/>
      <x:c r="F171" s="390"/>
    </x:row>
    <x:row r="172">
      <x:c r="A172" s="390"/>
      <x:c r="B172" s="390"/>
      <x:c r="C172" s="390"/>
      <x:c r="D172" s="390"/>
      <x:c r="E172" s="390"/>
      <x:c r="F172" s="390"/>
    </x:row>
    <x:row r="173">
      <x:c r="A173" s="390"/>
      <x:c r="B173" s="390"/>
      <x:c r="C173" s="390"/>
      <x:c r="D173" s="390"/>
      <x:c r="E173" s="390"/>
      <x:c r="F173" s="390"/>
    </x:row>
    <x:row r="174">
      <x:c r="A174" s="390"/>
      <x:c r="B174" s="390"/>
      <x:c r="C174" s="390"/>
      <x:c r="D174" s="390"/>
      <x:c r="E174" s="390"/>
      <x:c r="F174" s="390"/>
    </x:row>
    <x:row r="175">
      <x:c r="A175" s="390"/>
      <x:c r="B175" s="390"/>
      <x:c r="C175" s="390"/>
      <x:c r="D175" s="390"/>
      <x:c r="E175" s="390"/>
      <x:c r="F175" s="390"/>
    </x:row>
    <x:row r="176">
      <x:c r="A176" s="390"/>
      <x:c r="B176" s="390"/>
      <x:c r="C176" s="390"/>
      <x:c r="D176" s="390"/>
      <x:c r="E176" s="390"/>
      <x:c r="F176" s="390"/>
    </x:row>
    <x:row r="177">
      <x:c r="A177" s="390"/>
      <x:c r="B177" s="390"/>
      <x:c r="C177" s="390"/>
      <x:c r="D177" s="390"/>
      <x:c r="E177" s="390"/>
      <x:c r="F177" s="390"/>
    </x:row>
    <x:row r="178">
      <x:c r="A178" s="390"/>
      <x:c r="B178" s="390"/>
      <x:c r="C178" s="390"/>
      <x:c r="D178" s="390"/>
      <x:c r="E178" s="390"/>
      <x:c r="F178" s="390"/>
    </x:row>
    <x:row r="179">
      <x:c r="A179" s="390"/>
      <x:c r="B179" s="390"/>
      <x:c r="C179" s="390"/>
      <x:c r="D179" s="390"/>
      <x:c r="E179" s="390"/>
      <x:c r="F179" s="390"/>
    </x:row>
    <x:row r="180">
      <x:c r="A180" s="390"/>
      <x:c r="B180" s="390"/>
      <x:c r="C180" s="390"/>
      <x:c r="D180" s="390"/>
      <x:c r="E180" s="390"/>
      <x:c r="F180" s="390"/>
    </x:row>
    <x:row r="181">
      <x:c r="A181" s="390"/>
      <x:c r="B181" s="390"/>
      <x:c r="C181" s="390"/>
      <x:c r="D181" s="390"/>
      <x:c r="E181" s="390"/>
      <x:c r="F181" s="390"/>
    </x:row>
    <x:row r="182">
      <x:c r="A182" s="390"/>
      <x:c r="B182" s="390"/>
      <x:c r="C182" s="390"/>
      <x:c r="D182" s="390"/>
      <x:c r="E182" s="390"/>
      <x:c r="F182" s="390"/>
    </x:row>
    <x:row r="183">
      <x:c r="A183" s="390"/>
      <x:c r="B183" s="390"/>
      <x:c r="C183" s="390"/>
      <x:c r="D183" s="390"/>
      <x:c r="E183" s="390"/>
      <x:c r="F183" s="390"/>
    </x:row>
    <x:row r="184">
      <x:c r="A184" s="390"/>
      <x:c r="B184" s="390"/>
      <x:c r="C184" s="390"/>
      <x:c r="D184" s="390"/>
      <x:c r="E184" s="390"/>
      <x:c r="F184" s="390"/>
    </x:row>
    <x:row r="185">
      <x:c r="A185" s="390"/>
      <x:c r="B185" s="390"/>
      <x:c r="C185" s="390"/>
      <x:c r="D185" s="390"/>
      <x:c r="E185" s="390"/>
      <x:c r="F185" s="390"/>
    </x:row>
    <x:row r="186">
      <x:c r="A186" s="390"/>
      <x:c r="B186" s="390"/>
      <x:c r="C186" s="390"/>
      <x:c r="D186" s="390"/>
      <x:c r="E186" s="390"/>
      <x:c r="F186" s="390"/>
    </x:row>
    <x:row r="187">
      <x:c r="A187" s="390"/>
      <x:c r="B187" s="390"/>
      <x:c r="C187" s="390"/>
      <x:c r="D187" s="390"/>
      <x:c r="E187" s="390"/>
      <x:c r="F187" s="390"/>
    </x:row>
    <x:row r="188">
      <x:c r="A188" s="390"/>
      <x:c r="B188" s="390"/>
      <x:c r="C188" s="390"/>
      <x:c r="D188" s="390"/>
      <x:c r="E188" s="390"/>
      <x:c r="F188" s="390"/>
    </x:row>
    <x:row r="189">
      <x:c r="A189" s="390"/>
      <x:c r="B189" s="390"/>
      <x:c r="C189" s="390"/>
      <x:c r="D189" s="390"/>
      <x:c r="E189" s="390"/>
      <x:c r="F189" s="390"/>
    </x:row>
    <x:row r="190">
      <x:c r="A190" s="390"/>
      <x:c r="B190" s="390"/>
      <x:c r="C190" s="390"/>
      <x:c r="D190" s="390"/>
      <x:c r="E190" s="390"/>
      <x:c r="F190" s="390"/>
    </x:row>
    <x:row r="191">
      <x:c r="A191" s="390"/>
      <x:c r="B191" s="390"/>
      <x:c r="C191" s="390"/>
      <x:c r="D191" s="390"/>
      <x:c r="E191" s="390"/>
      <x:c r="F191" s="390"/>
    </x:row>
    <x:row r="192">
      <x:c r="A192" s="390"/>
      <x:c r="B192" s="390"/>
      <x:c r="C192" s="390"/>
      <x:c r="D192" s="390"/>
      <x:c r="E192" s="390"/>
      <x:c r="F192" s="390"/>
    </x:row>
    <x:row r="193">
      <x:c r="A193" s="390"/>
      <x:c r="B193" s="390"/>
      <x:c r="C193" s="390"/>
      <x:c r="D193" s="390"/>
      <x:c r="E193" s="390"/>
      <x:c r="F193" s="390"/>
    </x:row>
    <x:row r="194">
      <x:c r="A194" s="390"/>
      <x:c r="B194" s="390"/>
      <x:c r="C194" s="390"/>
      <x:c r="D194" s="390"/>
      <x:c r="E194" s="390"/>
      <x:c r="F194" s="390"/>
    </x:row>
    <x:row r="195">
      <x:c r="A195" s="390"/>
      <x:c r="B195" s="390"/>
      <x:c r="C195" s="390"/>
      <x:c r="D195" s="390"/>
      <x:c r="E195" s="390"/>
      <x:c r="F195" s="390"/>
    </x:row>
    <x:row r="196">
      <x:c r="A196" s="390"/>
      <x:c r="B196" s="390"/>
      <x:c r="C196" s="390"/>
      <x:c r="D196" s="390"/>
      <x:c r="E196" s="390"/>
      <x:c r="F196" s="390"/>
    </x:row>
    <x:row r="197">
      <x:c r="A197" s="390"/>
      <x:c r="B197" s="390"/>
      <x:c r="C197" s="390"/>
      <x:c r="D197" s="390"/>
      <x:c r="E197" s="390"/>
      <x:c r="F197" s="390"/>
    </x:row>
    <x:row r="198">
      <x:c r="A198" s="390"/>
      <x:c r="B198" s="390"/>
      <x:c r="C198" s="390"/>
      <x:c r="D198" s="390"/>
      <x:c r="E198" s="390"/>
      <x:c r="F198" s="390"/>
    </x:row>
    <x:row r="199">
      <x:c r="A199" s="390"/>
      <x:c r="B199" s="390"/>
      <x:c r="C199" s="390"/>
      <x:c r="D199" s="390"/>
      <x:c r="E199" s="390"/>
      <x:c r="F199" s="390"/>
    </x:row>
    <x:row r="200">
      <x:c r="A200" s="390"/>
      <x:c r="B200" s="390"/>
      <x:c r="C200" s="390"/>
      <x:c r="D200" s="390"/>
      <x:c r="E200" s="390"/>
      <x:c r="F200" s="390"/>
    </x:row>
    <x:row r="201">
      <x:c r="A201" s="390"/>
      <x:c r="B201" s="390"/>
      <x:c r="C201" s="390"/>
      <x:c r="D201" s="390"/>
      <x:c r="E201" s="390"/>
      <x:c r="F201" s="390"/>
    </x:row>
    <x:row r="202">
      <x:c r="A202" s="390"/>
      <x:c r="B202" s="390"/>
      <x:c r="C202" s="390"/>
      <x:c r="D202" s="390"/>
      <x:c r="E202" s="390"/>
      <x:c r="F202" s="390"/>
    </x:row>
    <x:row r="203">
      <x:c r="A203" s="390"/>
      <x:c r="B203" s="390"/>
      <x:c r="C203" s="390"/>
      <x:c r="D203" s="390"/>
      <x:c r="E203" s="390"/>
      <x:c r="F203" s="390"/>
    </x:row>
    <x:row r="204">
      <x:c r="A204" s="390"/>
      <x:c r="B204" s="390"/>
      <x:c r="C204" s="390"/>
      <x:c r="D204" s="390"/>
      <x:c r="E204" s="390"/>
      <x:c r="F204" s="390"/>
    </x:row>
    <x:row r="205">
      <x:c r="A205" s="390"/>
      <x:c r="B205" s="390"/>
      <x:c r="C205" s="390"/>
      <x:c r="D205" s="390"/>
      <x:c r="E205" s="390"/>
      <x:c r="F205" s="390"/>
    </x:row>
    <x:row r="206">
      <x:c r="A206" s="390"/>
      <x:c r="B206" s="390"/>
      <x:c r="C206" s="390"/>
      <x:c r="D206" s="390"/>
      <x:c r="E206" s="390"/>
      <x:c r="F206" s="390"/>
    </x:row>
    <x:row r="207">
      <x:c r="A207" s="390"/>
      <x:c r="B207" s="390"/>
      <x:c r="C207" s="390"/>
      <x:c r="D207" s="390"/>
      <x:c r="E207" s="390"/>
      <x:c r="F207" s="390"/>
    </x:row>
    <x:row r="208">
      <x:c r="A208" s="390"/>
      <x:c r="B208" s="390"/>
      <x:c r="C208" s="390"/>
      <x:c r="D208" s="390"/>
      <x:c r="E208" s="390"/>
      <x:c r="F208" s="390"/>
    </x:row>
    <x:row r="209">
      <x:c r="A209" s="390"/>
      <x:c r="B209" s="390"/>
      <x:c r="C209" s="390"/>
      <x:c r="D209" s="390"/>
      <x:c r="E209" s="390"/>
      <x:c r="F209" s="390"/>
    </x:row>
    <x:row r="210">
      <x:c r="A210" s="390"/>
      <x:c r="B210" s="390"/>
      <x:c r="C210" s="390"/>
      <x:c r="D210" s="390"/>
      <x:c r="E210" s="390"/>
      <x:c r="F210" s="390"/>
    </x:row>
    <x:row r="211">
      <x:c r="A211" s="390"/>
      <x:c r="B211" s="390"/>
      <x:c r="C211" s="390"/>
      <x:c r="D211" s="390"/>
      <x:c r="E211" s="390"/>
      <x:c r="F211" s="390"/>
    </x:row>
    <x:row r="212">
      <x:c r="A212" s="390"/>
      <x:c r="B212" s="390"/>
      <x:c r="C212" s="390"/>
      <x:c r="D212" s="390"/>
      <x:c r="E212" s="390"/>
      <x:c r="F212" s="390"/>
    </x:row>
    <x:row r="213">
      <x:c r="A213" s="390"/>
      <x:c r="B213" s="390"/>
      <x:c r="C213" s="390"/>
      <x:c r="D213" s="390"/>
      <x:c r="E213" s="390"/>
      <x:c r="F213" s="390"/>
    </x:row>
    <x:row r="214">
      <x:c r="A214" s="390"/>
      <x:c r="B214" s="390"/>
      <x:c r="C214" s="390"/>
      <x:c r="D214" s="390"/>
      <x:c r="E214" s="390"/>
      <x:c r="F214" s="390"/>
    </x:row>
    <x:row r="215">
      <x:c r="A215" s="390"/>
      <x:c r="B215" s="390"/>
      <x:c r="C215" s="390"/>
      <x:c r="D215" s="390"/>
      <x:c r="E215" s="390"/>
      <x:c r="F215" s="390"/>
    </x:row>
    <x:row r="216">
      <x:c r="A216" s="390"/>
      <x:c r="B216" s="390"/>
      <x:c r="C216" s="390"/>
      <x:c r="D216" s="390"/>
      <x:c r="E216" s="390"/>
      <x:c r="F216" s="390"/>
    </x:row>
    <x:row r="217">
      <x:c r="A217" s="390"/>
      <x:c r="B217" s="390"/>
      <x:c r="C217" s="390"/>
      <x:c r="D217" s="390"/>
      <x:c r="E217" s="390"/>
      <x:c r="F217" s="390"/>
    </x:row>
    <x:row r="218">
      <x:c r="A218" s="390"/>
      <x:c r="B218" s="390"/>
      <x:c r="C218" s="390"/>
      <x:c r="D218" s="390"/>
      <x:c r="E218" s="390"/>
      <x:c r="F218" s="390"/>
    </x:row>
    <x:row r="219">
      <x:c r="A219" s="390"/>
      <x:c r="B219" s="390"/>
      <x:c r="C219" s="390"/>
      <x:c r="D219" s="390"/>
      <x:c r="E219" s="390"/>
      <x:c r="F219" s="390"/>
    </x:row>
    <x:row r="220">
      <x:c r="A220" s="390"/>
      <x:c r="B220" s="390"/>
      <x:c r="C220" s="390"/>
      <x:c r="D220" s="390"/>
      <x:c r="E220" s="390"/>
      <x:c r="F220" s="390"/>
    </x:row>
  </x:sheetData>
  <x:mergeCells>
    <x:mergeCell ref="A3:F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12" hidden="0" customWidth="1"/>
    <x:col min="5" max="5" width="28" hidden="0" customWidth="1"/>
    <x:col min="6" max="6" width="46" hidden="0" customWidth="1"/>
    <x:col min="7" max="7" width="24" hidden="0" customWidth="1"/>
  </x:cols>
  <x:sheetData>
    <x:row r="1">
      <x:c r="A1" s="393" t="str">
        <x:v>🧳 Trip Data Index</x:v>
      </x:c>
      <x:c r="B1" s="393"/>
      <x:c r="C1" s="393"/>
      <x:c r="D1" s="393"/>
      <x:c r="E1" s="393"/>
      <x:c r="F1" s="393"/>
      <x:c r="G1" s="393"/>
    </x:row>
    <x:row r="2">
      <x:c r="A2" s="393"/>
      <x:c r="B2" s="393"/>
      <x:c r="C2" s="393"/>
      <x:c r="D2" s="393"/>
      <x:c r="E2" s="393"/>
      <x:c r="F2" s="393"/>
      <x:c r="G2" s="393"/>
    </x:row>
    <x:row r="3">
      <x:c r="A3" s="394" t="str">
        <x:v>Trip data changes often and should remain easy for David/Noelle to edit before and during the trip.</x:v>
      </x:c>
      <x:c r="B3" s="394"/>
      <x:c r="C3" s="394"/>
      <x:c r="D3" s="394"/>
      <x:c r="E3" s="394"/>
      <x:c r="F3" s="394"/>
      <x:c r="G3" s="394"/>
    </x:row>
    <x:row r="4">
      <x:c r="A4" s="390"/>
      <x:c r="B4" s="390"/>
      <x:c r="C4" s="390"/>
      <x:c r="D4" s="390"/>
      <x:c r="E4" s="390"/>
      <x:c r="F4" s="390"/>
      <x:c r="G4" s="390"/>
    </x:row>
    <x:row r="5">
      <x:c r="A5" s="397" t="str">
        <x:v>Sheet</x:v>
      </x:c>
      <x:c r="B5" s="397" t="str">
        <x:v>Layer</x:v>
      </x:c>
      <x:c r="C5" s="397" t="str">
        <x:v>Purpose</x:v>
      </x:c>
      <x:c r="D5" s="397" t="str">
        <x:v>Priority</x:v>
      </x:c>
      <x:c r="E5" s="397" t="str">
        <x:v>Used By</x:v>
      </x:c>
      <x:c r="F5" s="397" t="str">
        <x:v>Key Fields</x:v>
      </x:c>
      <x:c r="G5" s="397" t="str">
        <x:v>Compatibility Note</x:v>
      </x:c>
    </x:row>
    <x:row r="6">
      <x:c r="A6" s="398" t="str">
        <x:v>📅 Master Itinerary</x:v>
      </x:c>
      <x:c r="B6" s="398" t="str">
        <x:v>Trip</x:v>
      </x:c>
      <x:c r="C6" s="398" t="str">
        <x:v>Core daily plan</x:v>
      </x:c>
      <x:c r="D6" s="398" t="str">
        <x:v>High</x:v>
      </x:c>
      <x:c r="E6" s="398" t="str">
        <x:v>Startup</x:v>
      </x:c>
      <x:c r="F6" s="398" t="str">
        <x:v>Daily plan, city, hotel, energy, walking, notes</x:v>
      </x:c>
      <x:c r="G6" s="398" t="str">
        <x:v>Do not rename</x:v>
      </x:c>
    </x:row>
    <x:row r="7">
      <x:c r="A7" s="398" t="str">
        <x:v>🎟 Reservations</x:v>
      </x:c>
      <x:c r="B7" s="398" t="str">
        <x:v>Trip</x:v>
      </x:c>
      <x:c r="C7" s="398" t="str">
        <x:v>Booking tracker</x:v>
      </x:c>
      <x:c r="D7" s="398" t="str">
        <x:v>High</x:v>
      </x:c>
      <x:c r="E7" s="398" t="str">
        <x:v>D+N / Timeline</x:v>
      </x:c>
      <x:c r="F7" s="398" t="str">
        <x:v>Status, urgency, confirmation notes</x:v>
      </x:c>
      <x:c r="G7" s="398" t="str">
        <x:v>Do not rename</x:v>
      </x:c>
    </x:row>
    <x:row r="8">
      <x:c r="A8" s="398" t="str">
        <x:v>✈️ Flights</x:v>
      </x:c>
      <x:c r="B8" s="398" t="str">
        <x:v>Trip</x:v>
      </x:c>
      <x:c r="C8" s="398" t="str">
        <x:v>Flight details</x:v>
      </x:c>
      <x:c r="D8" s="398" t="str">
        <x:v>Medium</x:v>
      </x:c>
      <x:c r="E8" s="398" t="str">
        <x:v>Reservations Plus</x:v>
      </x:c>
      <x:c r="F8" s="398" t="str">
        <x:v>JAL flights, LAX/BOS/NRT</x:v>
      </x:c>
      <x:c r="G8" s="398" t="str">
        <x:v>Do not rename</x:v>
      </x:c>
    </x:row>
    <x:row r="9">
      <x:c r="A9" s="398" t="str">
        <x:v>🏨 Hotels</x:v>
      </x:c>
      <x:c r="B9" s="398" t="str">
        <x:v>Trip</x:v>
      </x:c>
      <x:c r="C9" s="398" t="str">
        <x:v>Hotel details</x:v>
      </x:c>
      <x:c r="D9" s="398" t="str">
        <x:v>High</x:v>
      </x:c>
      <x:c r="E9" s="398" t="str">
        <x:v>Hilda/Lost/Maps</x:v>
      </x:c>
      <x:c r="F9" s="398" t="str">
        <x:v>Name, address, phone, nearest station</x:v>
      </x:c>
      <x:c r="G9" s="398" t="str">
        <x:v>Do not rename</x:v>
      </x:c>
    </x:row>
    <x:row r="10">
      <x:c r="A10" s="398" t="str">
        <x:v>🚆 Transit</x:v>
      </x:c>
      <x:c r="B10" s="398" t="str">
        <x:v>Trip</x:v>
      </x:c>
      <x:c r="C10" s="398" t="str">
        <x:v>Major transfer notes</x:v>
      </x:c>
      <x:c r="D10" s="398" t="str">
        <x:v>Medium</x:v>
      </x:c>
      <x:c r="E10" s="398" t="str">
        <x:v>Transit</x:v>
      </x:c>
      <x:c r="F10" s="398" t="str">
        <x:v>Airport, Shinkansen, Hakone, Kyoto transfers</x:v>
      </x:c>
      <x:c r="G10" s="398" t="str">
        <x:v>Do not rename</x:v>
      </x:c>
    </x:row>
    <x:row r="11">
      <x:c r="A11" s="398" t="str">
        <x:v>🚉 Transit Cards</x:v>
      </x:c>
      <x:c r="B11" s="398" t="str">
        <x:v>Trip</x:v>
      </x:c>
      <x:c r="C11" s="398" t="str">
        <x:v>Step-by-step transit cards</x:v>
      </x:c>
      <x:c r="D11" s="398" t="str">
        <x:v>High</x:v>
      </x:c>
      <x:c r="E11" s="398" t="str">
        <x:v>Transit/Suica</x:v>
      </x:c>
      <x:c r="F11" s="398" t="str">
        <x:v>Routes, methods, luggage, reservation needs</x:v>
      </x:c>
      <x:c r="G11" s="398" t="str">
        <x:v>Do not rename</x:v>
      </x:c>
    </x:row>
    <x:row r="12">
      <x:c r="A12" s="398" t="str">
        <x:v>🧳 Packing</x:v>
      </x:c>
      <x:c r="B12" s="398" t="str">
        <x:v>Trip</x:v>
      </x:c>
      <x:c r="C12" s="398" t="str">
        <x:v>Packing checklist</x:v>
      </x:c>
      <x:c r="D12" s="398" t="str">
        <x:v>Medium</x:v>
      </x:c>
      <x:c r="E12" s="398" t="str">
        <x:v>Packing</x:v>
      </x:c>
      <x:c r="F12" s="398" t="str">
        <x:v>Who, status, category</x:v>
      </x:c>
      <x:c r="G12" s="398" t="str">
        <x:v>Do not rename</x:v>
      </x:c>
    </x:row>
    <x:row r="13">
      <x:c r="A13" s="398" t="str">
        <x:v>🧳 Luggage</x:v>
      </x:c>
      <x:c r="B13" s="398" t="str">
        <x:v>Trip</x:v>
      </x:c>
      <x:c r="C13" s="398" t="str">
        <x:v>Luggage forwarding/checks</x:v>
      </x:c>
      <x:c r="D13" s="398" t="str">
        <x:v>Medium</x:v>
      </x:c>
      <x:c r="E13" s="398" t="str">
        <x:v>Packing/Transit</x:v>
      </x:c>
      <x:c r="F13" s="398" t="str">
        <x:v>Forwarding, carry-on, hotel delivery</x:v>
      </x:c>
      <x:c r="G13" s="398" t="str">
        <x:v>Do not rename</x:v>
      </x:c>
    </x:row>
    <x:row r="14">
      <x:c r="A14" s="398" t="str">
        <x:v>💴 Budget</x:v>
      </x:c>
      <x:c r="B14" s="398" t="str">
        <x:v>Trip</x:v>
      </x:c>
      <x:c r="C14" s="398" t="str">
        <x:v>Estimated/actual spend</x:v>
      </x:c>
      <x:c r="D14" s="398" t="str">
        <x:v>Medium</x:v>
      </x:c>
      <x:c r="E14" s="398" t="str">
        <x:v>Budget/Currency</x:v>
      </x:c>
      <x:c r="F14" s="398" t="str">
        <x:v>Costs, categories, owner</x:v>
      </x:c>
      <x:c r="G14" s="398" t="str">
        <x:v>Do not rename</x:v>
      </x:c>
    </x:row>
    <x:row r="15">
      <x:c r="A15" s="398" t="str">
        <x:v>💳 Money</x:v>
      </x:c>
      <x:c r="B15" s="398" t="str">
        <x:v>Trip/Reference</x:v>
      </x:c>
      <x:c r="C15" s="398" t="str">
        <x:v>Cash/Suica/card notes</x:v>
      </x:c>
      <x:c r="D15" s="398" t="str">
        <x:v>Medium</x:v>
      </x:c>
      <x:c r="E15" s="398" t="str">
        <x:v>Budget/Suica</x:v>
      </x:c>
      <x:c r="F15" s="398" t="str">
        <x:v>Cash, Suica, ATMs, exchange</x:v>
      </x:c>
      <x:c r="G15" s="398" t="str">
        <x:v>Do not rename</x:v>
      </x:c>
    </x:row>
    <x:row r="16">
      <x:c r="A16" s="398" t="str">
        <x:v>📷 Journal</x:v>
      </x:c>
      <x:c r="B16" s="398" t="str">
        <x:v>Memory</x:v>
      </x:c>
      <x:c r="C16" s="398" t="str">
        <x:v>Daily journal</x:v>
      </x:c>
      <x:c r="D16" s="398" t="str">
        <x:v>Low until trip</x:v>
      </x:c>
      <x:c r="E16" s="398" t="str">
        <x:v>Journal/Memory Book</x:v>
      </x:c>
      <x:c r="F16" s="398" t="str">
        <x:v>Favorite meal/photo/moment</x:v>
      </x:c>
      <x:c r="G16" s="398" t="str">
        <x:v>Do not rename</x:v>
      </x:c>
    </x:row>
    <x:row r="17">
      <x:c r="A17" s="398" t="str">
        <x:v>🛍 Shopping</x:v>
      </x:c>
      <x:c r="B17" s="398" t="str">
        <x:v>Trip</x:v>
      </x:c>
      <x:c r="C17" s="398" t="str">
        <x:v>Shopping/souvenirs</x:v>
      </x:c>
      <x:c r="D17" s="398" t="str">
        <x:v>Medium</x:v>
      </x:c>
      <x:c r="E17" s="398" t="str">
        <x:v>Shopping/Souvenirs</x:v>
      </x:c>
      <x:c r="F17" s="398" t="str">
        <x:v>Store/item, who, priority, bought status</x:v>
      </x:c>
      <x:c r="G17" s="398" t="str">
        <x:v>Do not rename</x:v>
      </x:c>
    </x:row>
    <x:row r="18">
      <x:c r="A18" s="398" t="str">
        <x:v>📍 Maps</x:v>
      </x:c>
      <x:c r="B18" s="398" t="str">
        <x:v>Trip/Reference</x:v>
      </x:c>
      <x:c r="C18" s="398" t="str">
        <x:v>Important locations</x:v>
      </x:c>
      <x:c r="D18" s="398" t="str">
        <x:v>High</x:v>
      </x:c>
      <x:c r="E18" s="398" t="str">
        <x:v>Maps/Search</x:v>
      </x:c>
      <x:c r="F18" s="398" t="str">
        <x:v>Google Maps links, station, notes</x:v>
      </x:c>
      <x:c r="G18" s="398" t="str">
        <x:v>Do not rename</x:v>
      </x:c>
    </x:row>
    <x:row r="19">
      <x:c r="A19" s="398" t="str">
        <x:v>🍽 Restaurants</x:v>
      </x:c>
      <x:c r="B19" s="398" t="str">
        <x:v>Trip/Reference</x:v>
      </x:c>
      <x:c r="C19" s="398" t="str">
        <x:v>Food shortlist</x:v>
      </x:c>
      <x:c r="D19" s="398" t="str">
        <x:v>High</x:v>
      </x:c>
      <x:c r="E19" s="398" t="str">
        <x:v>Food/Search/Favorites</x:v>
      </x:c>
      <x:c r="F19" s="398" t="str">
        <x:v>Cuisine, must order, reservation, area</x:v>
      </x:c>
      <x:c r="G19" s="398" t="str">
        <x:v>Do not rename</x:v>
      </x:c>
    </x:row>
    <x:row r="20">
      <x:c r="A20" s="398" t="str">
        <x:v>☔ Rain Mode</x:v>
      </x:c>
      <x:c r="B20" s="398" t="str">
        <x:v>Trip/Reference</x:v>
      </x:c>
      <x:c r="C20" s="398" t="str">
        <x:v>Rain backups</x:v>
      </x:c>
      <x:c r="D20" s="398" t="str">
        <x:v>Medium</x:v>
      </x:c>
      <x:c r="E20" s="398" t="str">
        <x:v>Rain Mode</x:v>
      </x:c>
      <x:c r="F20" s="398" t="str">
        <x:v>Outdoor plan vs indoor backup</x:v>
      </x:c>
      <x:c r="G20" s="398" t="str">
        <x:v>Do not rename</x:v>
      </x:c>
    </x:row>
    <x:row r="21">
      <x:c r="A21" s="390"/>
      <x:c r="B21" s="390"/>
      <x:c r="C21" s="390"/>
      <x:c r="D21" s="390"/>
      <x:c r="E21" s="390"/>
      <x:c r="F21" s="390"/>
      <x:c r="G21" s="390"/>
    </x:row>
    <x:row r="22">
      <x:c r="A22" s="390"/>
      <x:c r="B22" s="390"/>
      <x:c r="C22" s="390"/>
      <x:c r="D22" s="390"/>
      <x:c r="E22" s="390"/>
      <x:c r="F22" s="390"/>
      <x:c r="G22" s="390"/>
    </x:row>
    <x:row r="23">
      <x:c r="A23" s="390"/>
      <x:c r="B23" s="390"/>
      <x:c r="C23" s="390"/>
      <x:c r="D23" s="390"/>
      <x:c r="E23" s="390"/>
      <x:c r="F23" s="390"/>
      <x:c r="G23" s="390"/>
    </x:row>
    <x:row r="24">
      <x:c r="A24" s="390"/>
      <x:c r="B24" s="390"/>
      <x:c r="C24" s="390"/>
      <x:c r="D24" s="390"/>
      <x:c r="E24" s="390"/>
      <x:c r="F24" s="390"/>
      <x:c r="G24" s="390"/>
    </x:row>
    <x:row r="25">
      <x:c r="A25" s="390"/>
      <x:c r="B25" s="390"/>
      <x:c r="C25" s="390"/>
      <x:c r="D25" s="390"/>
      <x:c r="E25" s="390"/>
      <x:c r="F25" s="390"/>
      <x:c r="G25" s="390"/>
    </x:row>
    <x:row r="26">
      <x:c r="A26" s="390"/>
      <x:c r="B26" s="390"/>
      <x:c r="C26" s="390"/>
      <x:c r="D26" s="390"/>
      <x:c r="E26" s="390"/>
      <x:c r="F26" s="390"/>
      <x:c r="G26" s="390"/>
    </x:row>
    <x:row r="27">
      <x:c r="A27" s="390"/>
      <x:c r="B27" s="390"/>
      <x:c r="C27" s="390"/>
      <x:c r="D27" s="390"/>
      <x:c r="E27" s="390"/>
      <x:c r="F27" s="390"/>
      <x:c r="G27" s="390"/>
    </x:row>
    <x:row r="28">
      <x:c r="A28" s="390"/>
      <x:c r="B28" s="390"/>
      <x:c r="C28" s="390"/>
      <x:c r="D28" s="390"/>
      <x:c r="E28" s="390"/>
      <x:c r="F28" s="390"/>
      <x:c r="G28" s="390"/>
    </x:row>
    <x:row r="29">
      <x:c r="A29" s="390"/>
      <x:c r="B29" s="390"/>
      <x:c r="C29" s="390"/>
      <x:c r="D29" s="390"/>
      <x:c r="E29" s="390"/>
      <x:c r="F29" s="390"/>
      <x:c r="G29" s="390"/>
    </x:row>
    <x:row r="30">
      <x:c r="A30" s="390"/>
      <x:c r="B30" s="390"/>
      <x:c r="C30" s="390"/>
      <x:c r="D30" s="390"/>
      <x:c r="E30" s="390"/>
      <x:c r="F30" s="390"/>
      <x:c r="G30" s="390"/>
    </x:row>
    <x:row r="31">
      <x:c r="A31" s="390"/>
      <x:c r="B31" s="390"/>
      <x:c r="C31" s="390"/>
      <x:c r="D31" s="390"/>
      <x:c r="E31" s="390"/>
      <x:c r="F31" s="390"/>
      <x:c r="G31" s="390"/>
    </x:row>
    <x:row r="32">
      <x:c r="A32" s="390"/>
      <x:c r="B32" s="390"/>
      <x:c r="C32" s="390"/>
      <x:c r="D32" s="390"/>
      <x:c r="E32" s="390"/>
      <x:c r="F32" s="390"/>
      <x:c r="G32" s="390"/>
    </x:row>
    <x:row r="33">
      <x:c r="A33" s="390"/>
      <x:c r="B33" s="390"/>
      <x:c r="C33" s="390"/>
      <x:c r="D33" s="390"/>
      <x:c r="E33" s="390"/>
      <x:c r="F33" s="390"/>
      <x:c r="G33" s="390"/>
    </x:row>
    <x:row r="34">
      <x:c r="A34" s="390"/>
      <x:c r="B34" s="390"/>
      <x:c r="C34" s="390"/>
      <x:c r="D34" s="390"/>
      <x:c r="E34" s="390"/>
      <x:c r="F34" s="390"/>
      <x:c r="G34" s="390"/>
    </x:row>
    <x:row r="35">
      <x:c r="A35" s="390"/>
      <x:c r="B35" s="390"/>
      <x:c r="C35" s="390"/>
      <x:c r="D35" s="390"/>
      <x:c r="E35" s="390"/>
      <x:c r="F35" s="390"/>
      <x:c r="G35" s="390"/>
    </x:row>
    <x:row r="36">
      <x:c r="A36" s="390"/>
      <x:c r="B36" s="390"/>
      <x:c r="C36" s="390"/>
      <x:c r="D36" s="390"/>
      <x:c r="E36" s="390"/>
      <x:c r="F36" s="390"/>
      <x:c r="G36" s="390"/>
    </x:row>
    <x:row r="37">
      <x:c r="A37" s="390"/>
      <x:c r="B37" s="390"/>
      <x:c r="C37" s="390"/>
      <x:c r="D37" s="390"/>
      <x:c r="E37" s="390"/>
      <x:c r="F37" s="390"/>
      <x:c r="G37" s="390"/>
    </x:row>
    <x:row r="38">
      <x:c r="A38" s="390"/>
      <x:c r="B38" s="390"/>
      <x:c r="C38" s="390"/>
      <x:c r="D38" s="390"/>
      <x:c r="E38" s="390"/>
      <x:c r="F38" s="390"/>
      <x:c r="G38" s="390"/>
    </x:row>
    <x:row r="39">
      <x:c r="A39" s="390"/>
      <x:c r="B39" s="390"/>
      <x:c r="C39" s="390"/>
      <x:c r="D39" s="390"/>
      <x:c r="E39" s="390"/>
      <x:c r="F39" s="390"/>
      <x:c r="G39" s="390"/>
    </x:row>
    <x:row r="40">
      <x:c r="A40" s="390"/>
      <x:c r="B40" s="390"/>
      <x:c r="C40" s="390"/>
      <x:c r="D40" s="390"/>
      <x:c r="E40" s="390"/>
      <x:c r="F40" s="390"/>
      <x:c r="G40" s="390"/>
    </x:row>
    <x:row r="41">
      <x:c r="A41" s="390"/>
      <x:c r="B41" s="390"/>
      <x:c r="C41" s="390"/>
      <x:c r="D41" s="390"/>
      <x:c r="E41" s="390"/>
      <x:c r="F41" s="390"/>
      <x:c r="G41" s="390"/>
    </x:row>
    <x:row r="42">
      <x:c r="A42" s="390"/>
      <x:c r="B42" s="390"/>
      <x:c r="C42" s="390"/>
      <x:c r="D42" s="390"/>
      <x:c r="E42" s="390"/>
      <x:c r="F42" s="390"/>
      <x:c r="G42" s="390"/>
    </x:row>
    <x:row r="43">
      <x:c r="A43" s="390"/>
      <x:c r="B43" s="390"/>
      <x:c r="C43" s="390"/>
      <x:c r="D43" s="390"/>
      <x:c r="E43" s="390"/>
      <x:c r="F43" s="390"/>
      <x:c r="G43" s="390"/>
    </x:row>
    <x:row r="44">
      <x:c r="A44" s="390"/>
      <x:c r="B44" s="390"/>
      <x:c r="C44" s="390"/>
      <x:c r="D44" s="390"/>
      <x:c r="E44" s="390"/>
      <x:c r="F44" s="390"/>
      <x:c r="G44" s="390"/>
    </x:row>
    <x:row r="45">
      <x:c r="A45" s="390"/>
      <x:c r="B45" s="390"/>
      <x:c r="C45" s="390"/>
      <x:c r="D45" s="390"/>
      <x:c r="E45" s="390"/>
      <x:c r="F45" s="390"/>
      <x:c r="G45" s="390"/>
    </x:row>
    <x:row r="46">
      <x:c r="A46" s="390"/>
      <x:c r="B46" s="390"/>
      <x:c r="C46" s="390"/>
      <x:c r="D46" s="390"/>
      <x:c r="E46" s="390"/>
      <x:c r="F46" s="390"/>
      <x:c r="G46" s="390"/>
    </x:row>
    <x:row r="47">
      <x:c r="A47" s="390"/>
      <x:c r="B47" s="390"/>
      <x:c r="C47" s="390"/>
      <x:c r="D47" s="390"/>
      <x:c r="E47" s="390"/>
      <x:c r="F47" s="390"/>
      <x:c r="G47" s="390"/>
    </x:row>
    <x:row r="48">
      <x:c r="A48" s="390"/>
      <x:c r="B48" s="390"/>
      <x:c r="C48" s="390"/>
      <x:c r="D48" s="390"/>
      <x:c r="E48" s="390"/>
      <x:c r="F48" s="390"/>
      <x:c r="G48" s="390"/>
    </x:row>
    <x:row r="49">
      <x:c r="A49" s="390"/>
      <x:c r="B49" s="390"/>
      <x:c r="C49" s="390"/>
      <x:c r="D49" s="390"/>
      <x:c r="E49" s="390"/>
      <x:c r="F49" s="390"/>
      <x:c r="G49" s="390"/>
    </x:row>
    <x:row r="50">
      <x:c r="A50" s="390"/>
      <x:c r="B50" s="390"/>
      <x:c r="C50" s="390"/>
      <x:c r="D50" s="390"/>
      <x:c r="E50" s="390"/>
      <x:c r="F50" s="390"/>
      <x:c r="G50" s="390"/>
    </x:row>
    <x:row r="51">
      <x:c r="A51" s="390"/>
      <x:c r="B51" s="390"/>
      <x:c r="C51" s="390"/>
      <x:c r="D51" s="390"/>
      <x:c r="E51" s="390"/>
      <x:c r="F51" s="390"/>
      <x:c r="G51" s="390"/>
    </x:row>
    <x:row r="52">
      <x:c r="A52" s="390"/>
      <x:c r="B52" s="390"/>
      <x:c r="C52" s="390"/>
      <x:c r="D52" s="390"/>
      <x:c r="E52" s="390"/>
      <x:c r="F52" s="390"/>
      <x:c r="G52" s="390"/>
    </x:row>
    <x:row r="53">
      <x:c r="A53" s="390"/>
      <x:c r="B53" s="390"/>
      <x:c r="C53" s="390"/>
      <x:c r="D53" s="390"/>
      <x:c r="E53" s="390"/>
      <x:c r="F53" s="390"/>
      <x:c r="G53" s="390"/>
    </x:row>
    <x:row r="54">
      <x:c r="A54" s="390"/>
      <x:c r="B54" s="390"/>
      <x:c r="C54" s="390"/>
      <x:c r="D54" s="390"/>
      <x:c r="E54" s="390"/>
      <x:c r="F54" s="390"/>
      <x:c r="G54" s="390"/>
    </x:row>
    <x:row r="55">
      <x:c r="A55" s="390"/>
      <x:c r="B55" s="390"/>
      <x:c r="C55" s="390"/>
      <x:c r="D55" s="390"/>
      <x:c r="E55" s="390"/>
      <x:c r="F55" s="390"/>
      <x:c r="G55" s="390"/>
    </x:row>
    <x:row r="56">
      <x:c r="A56" s="390"/>
      <x:c r="B56" s="390"/>
      <x:c r="C56" s="390"/>
      <x:c r="D56" s="390"/>
      <x:c r="E56" s="390"/>
      <x:c r="F56" s="390"/>
      <x:c r="G56" s="390"/>
    </x:row>
    <x:row r="57">
      <x:c r="A57" s="390"/>
      <x:c r="B57" s="390"/>
      <x:c r="C57" s="390"/>
      <x:c r="D57" s="390"/>
      <x:c r="E57" s="390"/>
      <x:c r="F57" s="390"/>
      <x:c r="G57" s="390"/>
    </x:row>
    <x:row r="58">
      <x:c r="A58" s="390"/>
      <x:c r="B58" s="390"/>
      <x:c r="C58" s="390"/>
      <x:c r="D58" s="390"/>
      <x:c r="E58" s="390"/>
      <x:c r="F58" s="390"/>
      <x:c r="G58" s="390"/>
    </x:row>
    <x:row r="59">
      <x:c r="A59" s="390"/>
      <x:c r="B59" s="390"/>
      <x:c r="C59" s="390"/>
      <x:c r="D59" s="390"/>
      <x:c r="E59" s="390"/>
      <x:c r="F59" s="390"/>
      <x:c r="G59" s="390"/>
    </x:row>
    <x:row r="60">
      <x:c r="A60" s="390"/>
      <x:c r="B60" s="390"/>
      <x:c r="C60" s="390"/>
      <x:c r="D60" s="390"/>
      <x:c r="E60" s="390"/>
      <x:c r="F60" s="390"/>
      <x:c r="G60" s="390"/>
    </x:row>
    <x:row r="61">
      <x:c r="A61" s="390"/>
      <x:c r="B61" s="390"/>
      <x:c r="C61" s="390"/>
      <x:c r="D61" s="390"/>
      <x:c r="E61" s="390"/>
      <x:c r="F61" s="390"/>
      <x:c r="G61" s="390"/>
    </x:row>
    <x:row r="62">
      <x:c r="A62" s="390"/>
      <x:c r="B62" s="390"/>
      <x:c r="C62" s="390"/>
      <x:c r="D62" s="390"/>
      <x:c r="E62" s="390"/>
      <x:c r="F62" s="390"/>
      <x:c r="G62" s="390"/>
    </x:row>
    <x:row r="63">
      <x:c r="A63" s="390"/>
      <x:c r="B63" s="390"/>
      <x:c r="C63" s="390"/>
      <x:c r="D63" s="390"/>
      <x:c r="E63" s="390"/>
      <x:c r="F63" s="390"/>
      <x:c r="G63" s="390"/>
    </x:row>
    <x:row r="64">
      <x:c r="A64" s="390"/>
      <x:c r="B64" s="390"/>
      <x:c r="C64" s="390"/>
      <x:c r="D64" s="390"/>
      <x:c r="E64" s="390"/>
      <x:c r="F64" s="390"/>
      <x:c r="G64" s="390"/>
    </x:row>
    <x:row r="65">
      <x:c r="A65" s="390"/>
      <x:c r="B65" s="390"/>
      <x:c r="C65" s="390"/>
      <x:c r="D65" s="390"/>
      <x:c r="E65" s="390"/>
      <x:c r="F65" s="390"/>
      <x:c r="G65" s="390"/>
    </x:row>
    <x:row r="66">
      <x:c r="A66" s="390"/>
      <x:c r="B66" s="390"/>
      <x:c r="C66" s="390"/>
      <x:c r="D66" s="390"/>
      <x:c r="E66" s="390"/>
      <x:c r="F66" s="390"/>
      <x:c r="G66" s="390"/>
    </x:row>
    <x:row r="67">
      <x:c r="A67" s="390"/>
      <x:c r="B67" s="390"/>
      <x:c r="C67" s="390"/>
      <x:c r="D67" s="390"/>
      <x:c r="E67" s="390"/>
      <x:c r="F67" s="390"/>
      <x:c r="G67" s="390"/>
    </x:row>
    <x:row r="68">
      <x:c r="A68" s="390"/>
      <x:c r="B68" s="390"/>
      <x:c r="C68" s="390"/>
      <x:c r="D68" s="390"/>
      <x:c r="E68" s="390"/>
      <x:c r="F68" s="390"/>
      <x:c r="G68" s="390"/>
    </x:row>
    <x:row r="69">
      <x:c r="A69" s="390"/>
      <x:c r="B69" s="390"/>
      <x:c r="C69" s="390"/>
      <x:c r="D69" s="390"/>
      <x:c r="E69" s="390"/>
      <x:c r="F69" s="390"/>
      <x:c r="G69" s="390"/>
    </x:row>
    <x:row r="70">
      <x:c r="A70" s="390"/>
      <x:c r="B70" s="390"/>
      <x:c r="C70" s="390"/>
      <x:c r="D70" s="390"/>
      <x:c r="E70" s="390"/>
      <x:c r="F70" s="390"/>
      <x:c r="G70" s="390"/>
    </x:row>
    <x:row r="71">
      <x:c r="A71" s="390"/>
      <x:c r="B71" s="390"/>
      <x:c r="C71" s="390"/>
      <x:c r="D71" s="390"/>
      <x:c r="E71" s="390"/>
      <x:c r="F71" s="390"/>
      <x:c r="G71" s="390"/>
    </x:row>
    <x:row r="72">
      <x:c r="A72" s="390"/>
      <x:c r="B72" s="390"/>
      <x:c r="C72" s="390"/>
      <x:c r="D72" s="390"/>
      <x:c r="E72" s="390"/>
      <x:c r="F72" s="390"/>
      <x:c r="G72" s="390"/>
    </x:row>
    <x:row r="73">
      <x:c r="A73" s="390"/>
      <x:c r="B73" s="390"/>
      <x:c r="C73" s="390"/>
      <x:c r="D73" s="390"/>
      <x:c r="E73" s="390"/>
      <x:c r="F73" s="390"/>
      <x:c r="G73" s="390"/>
    </x:row>
    <x:row r="74">
      <x:c r="A74" s="390"/>
      <x:c r="B74" s="390"/>
      <x:c r="C74" s="390"/>
      <x:c r="D74" s="390"/>
      <x:c r="E74" s="390"/>
      <x:c r="F74" s="390"/>
      <x:c r="G74" s="390"/>
    </x:row>
    <x:row r="75">
      <x:c r="A75" s="390"/>
      <x:c r="B75" s="390"/>
      <x:c r="C75" s="390"/>
      <x:c r="D75" s="390"/>
      <x:c r="E75" s="390"/>
      <x:c r="F75" s="390"/>
      <x:c r="G75" s="390"/>
    </x:row>
    <x:row r="76">
      <x:c r="A76" s="390"/>
      <x:c r="B76" s="390"/>
      <x:c r="C76" s="390"/>
      <x:c r="D76" s="390"/>
      <x:c r="E76" s="390"/>
      <x:c r="F76" s="390"/>
      <x:c r="G76" s="390"/>
    </x:row>
    <x:row r="77">
      <x:c r="A77" s="390"/>
      <x:c r="B77" s="390"/>
      <x:c r="C77" s="390"/>
      <x:c r="D77" s="390"/>
      <x:c r="E77" s="390"/>
      <x:c r="F77" s="390"/>
      <x:c r="G77" s="390"/>
    </x:row>
    <x:row r="78">
      <x:c r="A78" s="390"/>
      <x:c r="B78" s="390"/>
      <x:c r="C78" s="390"/>
      <x:c r="D78" s="390"/>
      <x:c r="E78" s="390"/>
      <x:c r="F78" s="390"/>
      <x:c r="G78" s="390"/>
    </x:row>
    <x:row r="79">
      <x:c r="A79" s="390"/>
      <x:c r="B79" s="390"/>
      <x:c r="C79" s="390"/>
      <x:c r="D79" s="390"/>
      <x:c r="E79" s="390"/>
      <x:c r="F79" s="390"/>
      <x:c r="G79" s="390"/>
    </x:row>
    <x:row r="80">
      <x:c r="A80" s="390"/>
      <x:c r="B80" s="390"/>
      <x:c r="C80" s="390"/>
      <x:c r="D80" s="390"/>
      <x:c r="E80" s="390"/>
      <x:c r="F80" s="390"/>
      <x:c r="G80" s="390"/>
    </x:row>
    <x:row r="81">
      <x:c r="A81" s="390"/>
      <x:c r="B81" s="390"/>
      <x:c r="C81" s="390"/>
      <x:c r="D81" s="390"/>
      <x:c r="E81" s="390"/>
      <x:c r="F81" s="390"/>
      <x:c r="G81" s="390"/>
    </x:row>
    <x:row r="82">
      <x:c r="A82" s="390"/>
      <x:c r="B82" s="390"/>
      <x:c r="C82" s="390"/>
      <x:c r="D82" s="390"/>
      <x:c r="E82" s="390"/>
      <x:c r="F82" s="390"/>
      <x:c r="G82" s="390"/>
    </x:row>
    <x:row r="83">
      <x:c r="A83" s="390"/>
      <x:c r="B83" s="390"/>
      <x:c r="C83" s="390"/>
      <x:c r="D83" s="390"/>
      <x:c r="E83" s="390"/>
      <x:c r="F83" s="390"/>
      <x:c r="G83" s="390"/>
    </x:row>
    <x:row r="84">
      <x:c r="A84" s="390"/>
      <x:c r="B84" s="390"/>
      <x:c r="C84" s="390"/>
      <x:c r="D84" s="390"/>
      <x:c r="E84" s="390"/>
      <x:c r="F84" s="390"/>
      <x:c r="G84" s="390"/>
    </x:row>
    <x:row r="85">
      <x:c r="A85" s="390"/>
      <x:c r="B85" s="390"/>
      <x:c r="C85" s="390"/>
      <x:c r="D85" s="390"/>
      <x:c r="E85" s="390"/>
      <x:c r="F85" s="390"/>
      <x:c r="G85" s="390"/>
    </x:row>
    <x:row r="86">
      <x:c r="A86" s="390"/>
      <x:c r="B86" s="390"/>
      <x:c r="C86" s="390"/>
      <x:c r="D86" s="390"/>
      <x:c r="E86" s="390"/>
      <x:c r="F86" s="390"/>
      <x:c r="G86" s="390"/>
    </x:row>
    <x:row r="87">
      <x:c r="A87" s="390"/>
      <x:c r="B87" s="390"/>
      <x:c r="C87" s="390"/>
      <x:c r="D87" s="390"/>
      <x:c r="E87" s="390"/>
      <x:c r="F87" s="390"/>
      <x:c r="G87" s="390"/>
    </x:row>
    <x:row r="88">
      <x:c r="A88" s="390"/>
      <x:c r="B88" s="390"/>
      <x:c r="C88" s="390"/>
      <x:c r="D88" s="390"/>
      <x:c r="E88" s="390"/>
      <x:c r="F88" s="390"/>
      <x:c r="G88" s="390"/>
    </x:row>
    <x:row r="89">
      <x:c r="A89" s="390"/>
      <x:c r="B89" s="390"/>
      <x:c r="C89" s="390"/>
      <x:c r="D89" s="390"/>
      <x:c r="E89" s="390"/>
      <x:c r="F89" s="390"/>
      <x:c r="G89" s="390"/>
    </x:row>
    <x:row r="90">
      <x:c r="A90" s="390"/>
      <x:c r="B90" s="390"/>
      <x:c r="C90" s="390"/>
      <x:c r="D90" s="390"/>
      <x:c r="E90" s="390"/>
      <x:c r="F90" s="390"/>
      <x:c r="G90" s="390"/>
    </x:row>
    <x:row r="91">
      <x:c r="A91" s="390"/>
      <x:c r="B91" s="390"/>
      <x:c r="C91" s="390"/>
      <x:c r="D91" s="390"/>
      <x:c r="E91" s="390"/>
      <x:c r="F91" s="390"/>
      <x:c r="G91" s="390"/>
    </x:row>
    <x:row r="92">
      <x:c r="A92" s="390"/>
      <x:c r="B92" s="390"/>
      <x:c r="C92" s="390"/>
      <x:c r="D92" s="390"/>
      <x:c r="E92" s="390"/>
      <x:c r="F92" s="390"/>
      <x:c r="G92" s="390"/>
    </x:row>
    <x:row r="93">
      <x:c r="A93" s="390"/>
      <x:c r="B93" s="390"/>
      <x:c r="C93" s="390"/>
      <x:c r="D93" s="390"/>
      <x:c r="E93" s="390"/>
      <x:c r="F93" s="390"/>
      <x:c r="G93" s="390"/>
    </x:row>
    <x:row r="94">
      <x:c r="A94" s="390"/>
      <x:c r="B94" s="390"/>
      <x:c r="C94" s="390"/>
      <x:c r="D94" s="390"/>
      <x:c r="E94" s="390"/>
      <x:c r="F94" s="390"/>
      <x:c r="G94" s="390"/>
    </x:row>
    <x:row r="95">
      <x:c r="A95" s="390"/>
      <x:c r="B95" s="390"/>
      <x:c r="C95" s="390"/>
      <x:c r="D95" s="390"/>
      <x:c r="E95" s="390"/>
      <x:c r="F95" s="390"/>
      <x:c r="G95" s="390"/>
    </x:row>
    <x:row r="96">
      <x:c r="A96" s="390"/>
      <x:c r="B96" s="390"/>
      <x:c r="C96" s="390"/>
      <x:c r="D96" s="390"/>
      <x:c r="E96" s="390"/>
      <x:c r="F96" s="390"/>
      <x:c r="G96" s="390"/>
    </x:row>
    <x:row r="97">
      <x:c r="A97" s="390"/>
      <x:c r="B97" s="390"/>
      <x:c r="C97" s="390"/>
      <x:c r="D97" s="390"/>
      <x:c r="E97" s="390"/>
      <x:c r="F97" s="390"/>
      <x:c r="G97" s="390"/>
    </x:row>
    <x:row r="98">
      <x:c r="A98" s="390"/>
      <x:c r="B98" s="390"/>
      <x:c r="C98" s="390"/>
      <x:c r="D98" s="390"/>
      <x:c r="E98" s="390"/>
      <x:c r="F98" s="390"/>
      <x:c r="G98" s="390"/>
    </x:row>
    <x:row r="99">
      <x:c r="A99" s="390"/>
      <x:c r="B99" s="390"/>
      <x:c r="C99" s="390"/>
      <x:c r="D99" s="390"/>
      <x:c r="E99" s="390"/>
      <x:c r="F99" s="390"/>
      <x:c r="G99" s="390"/>
    </x:row>
    <x:row r="100">
      <x:c r="A100" s="390"/>
      <x:c r="B100" s="390"/>
      <x:c r="C100" s="390"/>
      <x:c r="D100" s="390"/>
      <x:c r="E100" s="390"/>
      <x:c r="F100" s="390"/>
      <x:c r="G100" s="390"/>
    </x:row>
    <x:row r="101">
      <x:c r="A101" s="390"/>
      <x:c r="B101" s="390"/>
      <x:c r="C101" s="390"/>
      <x:c r="D101" s="390"/>
      <x:c r="E101" s="390"/>
      <x:c r="F101" s="390"/>
      <x:c r="G101" s="390"/>
    </x:row>
    <x:row r="102">
      <x:c r="A102" s="390"/>
      <x:c r="B102" s="390"/>
      <x:c r="C102" s="390"/>
      <x:c r="D102" s="390"/>
      <x:c r="E102" s="390"/>
      <x:c r="F102" s="390"/>
      <x:c r="G102" s="390"/>
    </x:row>
    <x:row r="103">
      <x:c r="A103" s="390"/>
      <x:c r="B103" s="390"/>
      <x:c r="C103" s="390"/>
      <x:c r="D103" s="390"/>
      <x:c r="E103" s="390"/>
      <x:c r="F103" s="390"/>
      <x:c r="G103" s="390"/>
    </x:row>
    <x:row r="104">
      <x:c r="A104" s="390"/>
      <x:c r="B104" s="390"/>
      <x:c r="C104" s="390"/>
      <x:c r="D104" s="390"/>
      <x:c r="E104" s="390"/>
      <x:c r="F104" s="390"/>
      <x:c r="G104" s="390"/>
    </x:row>
    <x:row r="105">
      <x:c r="A105" s="390"/>
      <x:c r="B105" s="390"/>
      <x:c r="C105" s="390"/>
      <x:c r="D105" s="390"/>
      <x:c r="E105" s="390"/>
      <x:c r="F105" s="390"/>
      <x:c r="G105" s="390"/>
    </x:row>
    <x:row r="106">
      <x:c r="A106" s="390"/>
      <x:c r="B106" s="390"/>
      <x:c r="C106" s="390"/>
      <x:c r="D106" s="390"/>
      <x:c r="E106" s="390"/>
      <x:c r="F106" s="390"/>
      <x:c r="G106" s="390"/>
    </x:row>
    <x:row r="107">
      <x:c r="A107" s="390"/>
      <x:c r="B107" s="390"/>
      <x:c r="C107" s="390"/>
      <x:c r="D107" s="390"/>
      <x:c r="E107" s="390"/>
      <x:c r="F107" s="390"/>
      <x:c r="G107" s="390"/>
    </x:row>
    <x:row r="108">
      <x:c r="A108" s="390"/>
      <x:c r="B108" s="390"/>
      <x:c r="C108" s="390"/>
      <x:c r="D108" s="390"/>
      <x:c r="E108" s="390"/>
      <x:c r="F108" s="390"/>
      <x:c r="G108" s="390"/>
    </x:row>
    <x:row r="109">
      <x:c r="A109" s="390"/>
      <x:c r="B109" s="390"/>
      <x:c r="C109" s="390"/>
      <x:c r="D109" s="390"/>
      <x:c r="E109" s="390"/>
      <x:c r="F109" s="390"/>
      <x:c r="G109" s="390"/>
    </x:row>
    <x:row r="110">
      <x:c r="A110" s="390"/>
      <x:c r="B110" s="390"/>
      <x:c r="C110" s="390"/>
      <x:c r="D110" s="390"/>
      <x:c r="E110" s="390"/>
      <x:c r="F110" s="390"/>
      <x:c r="G110" s="390"/>
    </x:row>
    <x:row r="111">
      <x:c r="A111" s="390"/>
      <x:c r="B111" s="390"/>
      <x:c r="C111" s="390"/>
      <x:c r="D111" s="390"/>
      <x:c r="E111" s="390"/>
      <x:c r="F111" s="390"/>
      <x:c r="G111" s="390"/>
    </x:row>
    <x:row r="112">
      <x:c r="A112" s="390"/>
      <x:c r="B112" s="390"/>
      <x:c r="C112" s="390"/>
      <x:c r="D112" s="390"/>
      <x:c r="E112" s="390"/>
      <x:c r="F112" s="390"/>
      <x:c r="G112" s="390"/>
    </x:row>
    <x:row r="113">
      <x:c r="A113" s="390"/>
      <x:c r="B113" s="390"/>
      <x:c r="C113" s="390"/>
      <x:c r="D113" s="390"/>
      <x:c r="E113" s="390"/>
      <x:c r="F113" s="390"/>
      <x:c r="G113" s="390"/>
    </x:row>
    <x:row r="114">
      <x:c r="A114" s="390"/>
      <x:c r="B114" s="390"/>
      <x:c r="C114" s="390"/>
      <x:c r="D114" s="390"/>
      <x:c r="E114" s="390"/>
      <x:c r="F114" s="390"/>
      <x:c r="G114" s="390"/>
    </x:row>
    <x:row r="115">
      <x:c r="A115" s="390"/>
      <x:c r="B115" s="390"/>
      <x:c r="C115" s="390"/>
      <x:c r="D115" s="390"/>
      <x:c r="E115" s="390"/>
      <x:c r="F115" s="390"/>
      <x:c r="G115" s="390"/>
    </x:row>
    <x:row r="116">
      <x:c r="A116" s="390"/>
      <x:c r="B116" s="390"/>
      <x:c r="C116" s="390"/>
      <x:c r="D116" s="390"/>
      <x:c r="E116" s="390"/>
      <x:c r="F116" s="390"/>
      <x:c r="G116" s="390"/>
    </x:row>
    <x:row r="117">
      <x:c r="A117" s="390"/>
      <x:c r="B117" s="390"/>
      <x:c r="C117" s="390"/>
      <x:c r="D117" s="390"/>
      <x:c r="E117" s="390"/>
      <x:c r="F117" s="390"/>
      <x:c r="G117" s="390"/>
    </x:row>
    <x:row r="118">
      <x:c r="A118" s="390"/>
      <x:c r="B118" s="390"/>
      <x:c r="C118" s="390"/>
      <x:c r="D118" s="390"/>
      <x:c r="E118" s="390"/>
      <x:c r="F118" s="390"/>
      <x:c r="G118" s="390"/>
    </x:row>
    <x:row r="119">
      <x:c r="A119" s="390"/>
      <x:c r="B119" s="390"/>
      <x:c r="C119" s="390"/>
      <x:c r="D119" s="390"/>
      <x:c r="E119" s="390"/>
      <x:c r="F119" s="390"/>
      <x:c r="G119" s="390"/>
    </x:row>
    <x:row r="120">
      <x:c r="A120" s="390"/>
      <x:c r="B120" s="390"/>
      <x:c r="C120" s="390"/>
      <x:c r="D120" s="390"/>
      <x:c r="E120" s="390"/>
      <x:c r="F120" s="390"/>
      <x:c r="G120" s="390"/>
    </x:row>
    <x:row r="121">
      <x:c r="A121" s="390"/>
      <x:c r="B121" s="390"/>
      <x:c r="C121" s="390"/>
      <x:c r="D121" s="390"/>
      <x:c r="E121" s="390"/>
      <x:c r="F121" s="390"/>
      <x:c r="G121" s="390"/>
    </x:row>
    <x:row r="122">
      <x:c r="A122" s="390"/>
      <x:c r="B122" s="390"/>
      <x:c r="C122" s="390"/>
      <x:c r="D122" s="390"/>
      <x:c r="E122" s="390"/>
      <x:c r="F122" s="390"/>
      <x:c r="G122" s="390"/>
    </x:row>
    <x:row r="123">
      <x:c r="A123" s="390"/>
      <x:c r="B123" s="390"/>
      <x:c r="C123" s="390"/>
      <x:c r="D123" s="390"/>
      <x:c r="E123" s="390"/>
      <x:c r="F123" s="390"/>
      <x:c r="G123" s="390"/>
    </x:row>
    <x:row r="124">
      <x:c r="A124" s="390"/>
      <x:c r="B124" s="390"/>
      <x:c r="C124" s="390"/>
      <x:c r="D124" s="390"/>
      <x:c r="E124" s="390"/>
      <x:c r="F124" s="390"/>
      <x:c r="G124" s="390"/>
    </x:row>
    <x:row r="125">
      <x:c r="A125" s="390"/>
      <x:c r="B125" s="390"/>
      <x:c r="C125" s="390"/>
      <x:c r="D125" s="390"/>
      <x:c r="E125" s="390"/>
      <x:c r="F125" s="390"/>
      <x:c r="G125" s="390"/>
    </x:row>
    <x:row r="126">
      <x:c r="A126" s="390"/>
      <x:c r="B126" s="390"/>
      <x:c r="C126" s="390"/>
      <x:c r="D126" s="390"/>
      <x:c r="E126" s="390"/>
      <x:c r="F126" s="390"/>
      <x:c r="G126" s="390"/>
    </x:row>
    <x:row r="127">
      <x:c r="A127" s="390"/>
      <x:c r="B127" s="390"/>
      <x:c r="C127" s="390"/>
      <x:c r="D127" s="390"/>
      <x:c r="E127" s="390"/>
      <x:c r="F127" s="390"/>
      <x:c r="G127" s="390"/>
    </x:row>
    <x:row r="128">
      <x:c r="A128" s="390"/>
      <x:c r="B128" s="390"/>
      <x:c r="C128" s="390"/>
      <x:c r="D128" s="390"/>
      <x:c r="E128" s="390"/>
      <x:c r="F128" s="390"/>
      <x:c r="G128" s="390"/>
    </x:row>
    <x:row r="129">
      <x:c r="A129" s="390"/>
      <x:c r="B129" s="390"/>
      <x:c r="C129" s="390"/>
      <x:c r="D129" s="390"/>
      <x:c r="E129" s="390"/>
      <x:c r="F129" s="390"/>
      <x:c r="G129" s="390"/>
    </x:row>
    <x:row r="130">
      <x:c r="A130" s="390"/>
      <x:c r="B130" s="390"/>
      <x:c r="C130" s="390"/>
      <x:c r="D130" s="390"/>
      <x:c r="E130" s="390"/>
      <x:c r="F130" s="390"/>
      <x:c r="G130" s="390"/>
    </x:row>
    <x:row r="131">
      <x:c r="A131" s="390"/>
      <x:c r="B131" s="390"/>
      <x:c r="C131" s="390"/>
      <x:c r="D131" s="390"/>
      <x:c r="E131" s="390"/>
      <x:c r="F131" s="390"/>
      <x:c r="G131" s="390"/>
    </x:row>
    <x:row r="132">
      <x:c r="A132" s="390"/>
      <x:c r="B132" s="390"/>
      <x:c r="C132" s="390"/>
      <x:c r="D132" s="390"/>
      <x:c r="E132" s="390"/>
      <x:c r="F132" s="390"/>
      <x:c r="G132" s="390"/>
    </x:row>
    <x:row r="133">
      <x:c r="A133" s="390"/>
      <x:c r="B133" s="390"/>
      <x:c r="C133" s="390"/>
      <x:c r="D133" s="390"/>
      <x:c r="E133" s="390"/>
      <x:c r="F133" s="390"/>
      <x:c r="G133" s="390"/>
    </x:row>
    <x:row r="134">
      <x:c r="A134" s="390"/>
      <x:c r="B134" s="390"/>
      <x:c r="C134" s="390"/>
      <x:c r="D134" s="390"/>
      <x:c r="E134" s="390"/>
      <x:c r="F134" s="390"/>
      <x:c r="G134" s="390"/>
    </x:row>
    <x:row r="135">
      <x:c r="A135" s="390"/>
      <x:c r="B135" s="390"/>
      <x:c r="C135" s="390"/>
      <x:c r="D135" s="390"/>
      <x:c r="E135" s="390"/>
      <x:c r="F135" s="390"/>
      <x:c r="G135" s="390"/>
    </x:row>
    <x:row r="136">
      <x:c r="A136" s="390"/>
      <x:c r="B136" s="390"/>
      <x:c r="C136" s="390"/>
      <x:c r="D136" s="390"/>
      <x:c r="E136" s="390"/>
      <x:c r="F136" s="390"/>
      <x:c r="G136" s="390"/>
    </x:row>
    <x:row r="137">
      <x:c r="A137" s="390"/>
      <x:c r="B137" s="390"/>
      <x:c r="C137" s="390"/>
      <x:c r="D137" s="390"/>
      <x:c r="E137" s="390"/>
      <x:c r="F137" s="390"/>
      <x:c r="G137" s="390"/>
    </x:row>
    <x:row r="138">
      <x:c r="A138" s="390"/>
      <x:c r="B138" s="390"/>
      <x:c r="C138" s="390"/>
      <x:c r="D138" s="390"/>
      <x:c r="E138" s="390"/>
      <x:c r="F138" s="390"/>
      <x:c r="G138" s="390"/>
    </x:row>
    <x:row r="139">
      <x:c r="A139" s="390"/>
      <x:c r="B139" s="390"/>
      <x:c r="C139" s="390"/>
      <x:c r="D139" s="390"/>
      <x:c r="E139" s="390"/>
      <x:c r="F139" s="390"/>
      <x:c r="G139" s="390"/>
    </x:row>
    <x:row r="140">
      <x:c r="A140" s="390"/>
      <x:c r="B140" s="390"/>
      <x:c r="C140" s="390"/>
      <x:c r="D140" s="390"/>
      <x:c r="E140" s="390"/>
      <x:c r="F140" s="390"/>
      <x:c r="G140" s="390"/>
    </x:row>
    <x:row r="141">
      <x:c r="A141" s="390"/>
      <x:c r="B141" s="390"/>
      <x:c r="C141" s="390"/>
      <x:c r="D141" s="390"/>
      <x:c r="E141" s="390"/>
      <x:c r="F141" s="390"/>
      <x:c r="G141" s="390"/>
    </x:row>
    <x:row r="142">
      <x:c r="A142" s="390"/>
      <x:c r="B142" s="390"/>
      <x:c r="C142" s="390"/>
      <x:c r="D142" s="390"/>
      <x:c r="E142" s="390"/>
      <x:c r="F142" s="390"/>
      <x:c r="G142" s="390"/>
    </x:row>
    <x:row r="143">
      <x:c r="A143" s="390"/>
      <x:c r="B143" s="390"/>
      <x:c r="C143" s="390"/>
      <x:c r="D143" s="390"/>
      <x:c r="E143" s="390"/>
      <x:c r="F143" s="390"/>
      <x:c r="G143" s="390"/>
    </x:row>
    <x:row r="144">
      <x:c r="A144" s="390"/>
      <x:c r="B144" s="390"/>
      <x:c r="C144" s="390"/>
      <x:c r="D144" s="390"/>
      <x:c r="E144" s="390"/>
      <x:c r="F144" s="390"/>
      <x:c r="G144" s="390"/>
    </x:row>
    <x:row r="145">
      <x:c r="A145" s="390"/>
      <x:c r="B145" s="390"/>
      <x:c r="C145" s="390"/>
      <x:c r="D145" s="390"/>
      <x:c r="E145" s="390"/>
      <x:c r="F145" s="390"/>
      <x:c r="G145" s="390"/>
    </x:row>
    <x:row r="146">
      <x:c r="A146" s="390"/>
      <x:c r="B146" s="390"/>
      <x:c r="C146" s="390"/>
      <x:c r="D146" s="390"/>
      <x:c r="E146" s="390"/>
      <x:c r="F146" s="390"/>
      <x:c r="G146" s="390"/>
    </x:row>
    <x:row r="147">
      <x:c r="A147" s="390"/>
      <x:c r="B147" s="390"/>
      <x:c r="C147" s="390"/>
      <x:c r="D147" s="390"/>
      <x:c r="E147" s="390"/>
      <x:c r="F147" s="390"/>
      <x:c r="G147" s="390"/>
    </x:row>
    <x:row r="148">
      <x:c r="A148" s="390"/>
      <x:c r="B148" s="390"/>
      <x:c r="C148" s="390"/>
      <x:c r="D148" s="390"/>
      <x:c r="E148" s="390"/>
      <x:c r="F148" s="390"/>
      <x:c r="G148" s="390"/>
    </x:row>
    <x:row r="149">
      <x:c r="A149" s="390"/>
      <x:c r="B149" s="390"/>
      <x:c r="C149" s="390"/>
      <x:c r="D149" s="390"/>
      <x:c r="E149" s="390"/>
      <x:c r="F149" s="390"/>
      <x:c r="G149" s="390"/>
    </x:row>
    <x:row r="150">
      <x:c r="A150" s="390"/>
      <x:c r="B150" s="390"/>
      <x:c r="C150" s="390"/>
      <x:c r="D150" s="390"/>
      <x:c r="E150" s="390"/>
      <x:c r="F150" s="390"/>
      <x:c r="G150" s="390"/>
    </x:row>
    <x:row r="151">
      <x:c r="A151" s="390"/>
      <x:c r="B151" s="390"/>
      <x:c r="C151" s="390"/>
      <x:c r="D151" s="390"/>
      <x:c r="E151" s="390"/>
      <x:c r="F151" s="390"/>
      <x:c r="G151" s="390"/>
    </x:row>
    <x:row r="152">
      <x:c r="A152" s="390"/>
      <x:c r="B152" s="390"/>
      <x:c r="C152" s="390"/>
      <x:c r="D152" s="390"/>
      <x:c r="E152" s="390"/>
      <x:c r="F152" s="390"/>
      <x:c r="G152" s="390"/>
    </x:row>
    <x:row r="153">
      <x:c r="A153" s="390"/>
      <x:c r="B153" s="390"/>
      <x:c r="C153" s="390"/>
      <x:c r="D153" s="390"/>
      <x:c r="E153" s="390"/>
      <x:c r="F153" s="390"/>
      <x:c r="G153" s="390"/>
    </x:row>
    <x:row r="154">
      <x:c r="A154" s="390"/>
      <x:c r="B154" s="390"/>
      <x:c r="C154" s="390"/>
      <x:c r="D154" s="390"/>
      <x:c r="E154" s="390"/>
      <x:c r="F154" s="390"/>
      <x:c r="G154" s="390"/>
    </x:row>
    <x:row r="155">
      <x:c r="A155" s="390"/>
      <x:c r="B155" s="390"/>
      <x:c r="C155" s="390"/>
      <x:c r="D155" s="390"/>
      <x:c r="E155" s="390"/>
      <x:c r="F155" s="390"/>
      <x:c r="G155" s="390"/>
    </x:row>
    <x:row r="156">
      <x:c r="A156" s="390"/>
      <x:c r="B156" s="390"/>
      <x:c r="C156" s="390"/>
      <x:c r="D156" s="390"/>
      <x:c r="E156" s="390"/>
      <x:c r="F156" s="390"/>
      <x:c r="G156" s="390"/>
    </x:row>
    <x:row r="157">
      <x:c r="A157" s="390"/>
      <x:c r="B157" s="390"/>
      <x:c r="C157" s="390"/>
      <x:c r="D157" s="390"/>
      <x:c r="E157" s="390"/>
      <x:c r="F157" s="390"/>
      <x:c r="G157" s="390"/>
    </x:row>
    <x:row r="158">
      <x:c r="A158" s="390"/>
      <x:c r="B158" s="390"/>
      <x:c r="C158" s="390"/>
      <x:c r="D158" s="390"/>
      <x:c r="E158" s="390"/>
      <x:c r="F158" s="390"/>
      <x:c r="G158" s="390"/>
    </x:row>
    <x:row r="159">
      <x:c r="A159" s="390"/>
      <x:c r="B159" s="390"/>
      <x:c r="C159" s="390"/>
      <x:c r="D159" s="390"/>
      <x:c r="E159" s="390"/>
      <x:c r="F159" s="390"/>
      <x:c r="G159" s="390"/>
    </x:row>
    <x:row r="160">
      <x:c r="A160" s="390"/>
      <x:c r="B160" s="390"/>
      <x:c r="C160" s="390"/>
      <x:c r="D160" s="390"/>
      <x:c r="E160" s="390"/>
      <x:c r="F160" s="390"/>
      <x:c r="G160" s="390"/>
    </x:row>
    <x:row r="161">
      <x:c r="A161" s="390"/>
      <x:c r="B161" s="390"/>
      <x:c r="C161" s="390"/>
      <x:c r="D161" s="390"/>
      <x:c r="E161" s="390"/>
      <x:c r="F161" s="390"/>
      <x:c r="G161" s="390"/>
    </x:row>
    <x:row r="162">
      <x:c r="A162" s="390"/>
      <x:c r="B162" s="390"/>
      <x:c r="C162" s="390"/>
      <x:c r="D162" s="390"/>
      <x:c r="E162" s="390"/>
      <x:c r="F162" s="390"/>
      <x:c r="G162" s="390"/>
    </x:row>
    <x:row r="163">
      <x:c r="A163" s="390"/>
      <x:c r="B163" s="390"/>
      <x:c r="C163" s="390"/>
      <x:c r="D163" s="390"/>
      <x:c r="E163" s="390"/>
      <x:c r="F163" s="390"/>
      <x:c r="G163" s="390"/>
    </x:row>
    <x:row r="164">
      <x:c r="A164" s="390"/>
      <x:c r="B164" s="390"/>
      <x:c r="C164" s="390"/>
      <x:c r="D164" s="390"/>
      <x:c r="E164" s="390"/>
      <x:c r="F164" s="390"/>
      <x:c r="G164" s="390"/>
    </x:row>
    <x:row r="165">
      <x:c r="A165" s="390"/>
      <x:c r="B165" s="390"/>
      <x:c r="C165" s="390"/>
      <x:c r="D165" s="390"/>
      <x:c r="E165" s="390"/>
      <x:c r="F165" s="390"/>
      <x:c r="G165" s="390"/>
    </x:row>
    <x:row r="166">
      <x:c r="A166" s="390"/>
      <x:c r="B166" s="390"/>
      <x:c r="C166" s="390"/>
      <x:c r="D166" s="390"/>
      <x:c r="E166" s="390"/>
      <x:c r="F166" s="390"/>
      <x:c r="G166" s="390"/>
    </x:row>
    <x:row r="167">
      <x:c r="A167" s="390"/>
      <x:c r="B167" s="390"/>
      <x:c r="C167" s="390"/>
      <x:c r="D167" s="390"/>
      <x:c r="E167" s="390"/>
      <x:c r="F167" s="390"/>
      <x:c r="G167" s="390"/>
    </x:row>
    <x:row r="168">
      <x:c r="A168" s="390"/>
      <x:c r="B168" s="390"/>
      <x:c r="C168" s="390"/>
      <x:c r="D168" s="390"/>
      <x:c r="E168" s="390"/>
      <x:c r="F168" s="390"/>
      <x:c r="G168" s="390"/>
    </x:row>
    <x:row r="169">
      <x:c r="A169" s="390"/>
      <x:c r="B169" s="390"/>
      <x:c r="C169" s="390"/>
      <x:c r="D169" s="390"/>
      <x:c r="E169" s="390"/>
      <x:c r="F169" s="390"/>
      <x:c r="G169" s="390"/>
    </x:row>
    <x:row r="170">
      <x:c r="A170" s="390"/>
      <x:c r="B170" s="390"/>
      <x:c r="C170" s="390"/>
      <x:c r="D170" s="390"/>
      <x:c r="E170" s="390"/>
      <x:c r="F170" s="390"/>
      <x:c r="G170" s="390"/>
    </x:row>
    <x:row r="171">
      <x:c r="A171" s="390"/>
      <x:c r="B171" s="390"/>
      <x:c r="C171" s="390"/>
      <x:c r="D171" s="390"/>
      <x:c r="E171" s="390"/>
      <x:c r="F171" s="390"/>
      <x:c r="G171" s="390"/>
    </x:row>
    <x:row r="172">
      <x:c r="A172" s="390"/>
      <x:c r="B172" s="390"/>
      <x:c r="C172" s="390"/>
      <x:c r="D172" s="390"/>
      <x:c r="E172" s="390"/>
      <x:c r="F172" s="390"/>
      <x:c r="G172" s="390"/>
    </x:row>
    <x:row r="173">
      <x:c r="A173" s="390"/>
      <x:c r="B173" s="390"/>
      <x:c r="C173" s="390"/>
      <x:c r="D173" s="390"/>
      <x:c r="E173" s="390"/>
      <x:c r="F173" s="390"/>
      <x:c r="G173" s="390"/>
    </x:row>
    <x:row r="174">
      <x:c r="A174" s="390"/>
      <x:c r="B174" s="390"/>
      <x:c r="C174" s="390"/>
      <x:c r="D174" s="390"/>
      <x:c r="E174" s="390"/>
      <x:c r="F174" s="390"/>
      <x:c r="G174" s="390"/>
    </x:row>
    <x:row r="175">
      <x:c r="A175" s="390"/>
      <x:c r="B175" s="390"/>
      <x:c r="C175" s="390"/>
      <x:c r="D175" s="390"/>
      <x:c r="E175" s="390"/>
      <x:c r="F175" s="390"/>
      <x:c r="G175" s="390"/>
    </x:row>
    <x:row r="176">
      <x:c r="A176" s="390"/>
      <x:c r="B176" s="390"/>
      <x:c r="C176" s="390"/>
      <x:c r="D176" s="390"/>
      <x:c r="E176" s="390"/>
      <x:c r="F176" s="390"/>
      <x:c r="G176" s="390"/>
    </x:row>
    <x:row r="177">
      <x:c r="A177" s="390"/>
      <x:c r="B177" s="390"/>
      <x:c r="C177" s="390"/>
      <x:c r="D177" s="390"/>
      <x:c r="E177" s="390"/>
      <x:c r="F177" s="390"/>
      <x:c r="G177" s="390"/>
    </x:row>
    <x:row r="178">
      <x:c r="A178" s="390"/>
      <x:c r="B178" s="390"/>
      <x:c r="C178" s="390"/>
      <x:c r="D178" s="390"/>
      <x:c r="E178" s="390"/>
      <x:c r="F178" s="390"/>
      <x:c r="G178" s="390"/>
    </x:row>
    <x:row r="179">
      <x:c r="A179" s="390"/>
      <x:c r="B179" s="390"/>
      <x:c r="C179" s="390"/>
      <x:c r="D179" s="390"/>
      <x:c r="E179" s="390"/>
      <x:c r="F179" s="390"/>
      <x:c r="G179" s="390"/>
    </x:row>
    <x:row r="180">
      <x:c r="A180" s="390"/>
      <x:c r="B180" s="390"/>
      <x:c r="C180" s="390"/>
      <x:c r="D180" s="390"/>
      <x:c r="E180" s="390"/>
      <x:c r="F180" s="390"/>
      <x:c r="G180" s="390"/>
    </x:row>
    <x:row r="181">
      <x:c r="A181" s="390"/>
      <x:c r="B181" s="390"/>
      <x:c r="C181" s="390"/>
      <x:c r="D181" s="390"/>
      <x:c r="E181" s="390"/>
      <x:c r="F181" s="390"/>
      <x:c r="G181" s="390"/>
    </x:row>
    <x:row r="182">
      <x:c r="A182" s="390"/>
      <x:c r="B182" s="390"/>
      <x:c r="C182" s="390"/>
      <x:c r="D182" s="390"/>
      <x:c r="E182" s="390"/>
      <x:c r="F182" s="390"/>
      <x:c r="G182" s="390"/>
    </x:row>
    <x:row r="183">
      <x:c r="A183" s="390"/>
      <x:c r="B183" s="390"/>
      <x:c r="C183" s="390"/>
      <x:c r="D183" s="390"/>
      <x:c r="E183" s="390"/>
      <x:c r="F183" s="390"/>
      <x:c r="G183" s="390"/>
    </x:row>
    <x:row r="184">
      <x:c r="A184" s="390"/>
      <x:c r="B184" s="390"/>
      <x:c r="C184" s="390"/>
      <x:c r="D184" s="390"/>
      <x:c r="E184" s="390"/>
      <x:c r="F184" s="390"/>
      <x:c r="G184" s="390"/>
    </x:row>
    <x:row r="185">
      <x:c r="A185" s="390"/>
      <x:c r="B185" s="390"/>
      <x:c r="C185" s="390"/>
      <x:c r="D185" s="390"/>
      <x:c r="E185" s="390"/>
      <x:c r="F185" s="390"/>
      <x:c r="G185" s="390"/>
    </x:row>
    <x:row r="186">
      <x:c r="A186" s="390"/>
      <x:c r="B186" s="390"/>
      <x:c r="C186" s="390"/>
      <x:c r="D186" s="390"/>
      <x:c r="E186" s="390"/>
      <x:c r="F186" s="390"/>
      <x:c r="G186" s="390"/>
    </x:row>
    <x:row r="187">
      <x:c r="A187" s="390"/>
      <x:c r="B187" s="390"/>
      <x:c r="C187" s="390"/>
      <x:c r="D187" s="390"/>
      <x:c r="E187" s="390"/>
      <x:c r="F187" s="390"/>
      <x:c r="G187" s="390"/>
    </x:row>
    <x:row r="188">
      <x:c r="A188" s="390"/>
      <x:c r="B188" s="390"/>
      <x:c r="C188" s="390"/>
      <x:c r="D188" s="390"/>
      <x:c r="E188" s="390"/>
      <x:c r="F188" s="390"/>
      <x:c r="G188" s="390"/>
    </x:row>
    <x:row r="189">
      <x:c r="A189" s="390"/>
      <x:c r="B189" s="390"/>
      <x:c r="C189" s="390"/>
      <x:c r="D189" s="390"/>
      <x:c r="E189" s="390"/>
      <x:c r="F189" s="390"/>
      <x:c r="G189" s="390"/>
    </x:row>
    <x:row r="190">
      <x:c r="A190" s="390"/>
      <x:c r="B190" s="390"/>
      <x:c r="C190" s="390"/>
      <x:c r="D190" s="390"/>
      <x:c r="E190" s="390"/>
      <x:c r="F190" s="390"/>
      <x:c r="G190" s="390"/>
    </x:row>
    <x:row r="191">
      <x:c r="A191" s="390"/>
      <x:c r="B191" s="390"/>
      <x:c r="C191" s="390"/>
      <x:c r="D191" s="390"/>
      <x:c r="E191" s="390"/>
      <x:c r="F191" s="390"/>
      <x:c r="G191" s="390"/>
    </x:row>
    <x:row r="192">
      <x:c r="A192" s="390"/>
      <x:c r="B192" s="390"/>
      <x:c r="C192" s="390"/>
      <x:c r="D192" s="390"/>
      <x:c r="E192" s="390"/>
      <x:c r="F192" s="390"/>
      <x:c r="G192" s="390"/>
    </x:row>
    <x:row r="193">
      <x:c r="A193" s="390"/>
      <x:c r="B193" s="390"/>
      <x:c r="C193" s="390"/>
      <x:c r="D193" s="390"/>
      <x:c r="E193" s="390"/>
      <x:c r="F193" s="390"/>
      <x:c r="G193" s="390"/>
    </x:row>
    <x:row r="194">
      <x:c r="A194" s="390"/>
      <x:c r="B194" s="390"/>
      <x:c r="C194" s="390"/>
      <x:c r="D194" s="390"/>
      <x:c r="E194" s="390"/>
      <x:c r="F194" s="390"/>
      <x:c r="G194" s="390"/>
    </x:row>
    <x:row r="195">
      <x:c r="A195" s="390"/>
      <x:c r="B195" s="390"/>
      <x:c r="C195" s="390"/>
      <x:c r="D195" s="390"/>
      <x:c r="E195" s="390"/>
      <x:c r="F195" s="390"/>
      <x:c r="G195" s="390"/>
    </x:row>
    <x:row r="196">
      <x:c r="A196" s="390"/>
      <x:c r="B196" s="390"/>
      <x:c r="C196" s="390"/>
      <x:c r="D196" s="390"/>
      <x:c r="E196" s="390"/>
      <x:c r="F196" s="390"/>
      <x:c r="G196" s="390"/>
    </x:row>
    <x:row r="197">
      <x:c r="A197" s="390"/>
      <x:c r="B197" s="390"/>
      <x:c r="C197" s="390"/>
      <x:c r="D197" s="390"/>
      <x:c r="E197" s="390"/>
      <x:c r="F197" s="390"/>
      <x:c r="G197" s="390"/>
    </x:row>
    <x:row r="198">
      <x:c r="A198" s="390"/>
      <x:c r="B198" s="390"/>
      <x:c r="C198" s="390"/>
      <x:c r="D198" s="390"/>
      <x:c r="E198" s="390"/>
      <x:c r="F198" s="390"/>
      <x:c r="G198" s="390"/>
    </x:row>
    <x:row r="199">
      <x:c r="A199" s="390"/>
      <x:c r="B199" s="390"/>
      <x:c r="C199" s="390"/>
      <x:c r="D199" s="390"/>
      <x:c r="E199" s="390"/>
      <x:c r="F199" s="390"/>
      <x:c r="G199" s="390"/>
    </x:row>
    <x:row r="200">
      <x:c r="A200" s="390"/>
      <x:c r="B200" s="390"/>
      <x:c r="C200" s="390"/>
      <x:c r="D200" s="390"/>
      <x:c r="E200" s="390"/>
      <x:c r="F200" s="390"/>
      <x:c r="G200" s="390"/>
    </x:row>
    <x:row r="201">
      <x:c r="A201" s="390"/>
      <x:c r="B201" s="390"/>
      <x:c r="C201" s="390"/>
      <x:c r="D201" s="390"/>
      <x:c r="E201" s="390"/>
      <x:c r="F201" s="390"/>
      <x:c r="G201" s="390"/>
    </x:row>
    <x:row r="202">
      <x:c r="A202" s="390"/>
      <x:c r="B202" s="390"/>
      <x:c r="C202" s="390"/>
      <x:c r="D202" s="390"/>
      <x:c r="E202" s="390"/>
      <x:c r="F202" s="390"/>
      <x:c r="G202" s="390"/>
    </x:row>
    <x:row r="203">
      <x:c r="A203" s="390"/>
      <x:c r="B203" s="390"/>
      <x:c r="C203" s="390"/>
      <x:c r="D203" s="390"/>
      <x:c r="E203" s="390"/>
      <x:c r="F203" s="390"/>
      <x:c r="G203" s="390"/>
    </x:row>
    <x:row r="204">
      <x:c r="A204" s="390"/>
      <x:c r="B204" s="390"/>
      <x:c r="C204" s="390"/>
      <x:c r="D204" s="390"/>
      <x:c r="E204" s="390"/>
      <x:c r="F204" s="390"/>
      <x:c r="G204" s="390"/>
    </x:row>
    <x:row r="205">
      <x:c r="A205" s="390"/>
      <x:c r="B205" s="390"/>
      <x:c r="C205" s="390"/>
      <x:c r="D205" s="390"/>
      <x:c r="E205" s="390"/>
      <x:c r="F205" s="390"/>
      <x:c r="G205" s="390"/>
    </x:row>
    <x:row r="206">
      <x:c r="A206" s="390"/>
      <x:c r="B206" s="390"/>
      <x:c r="C206" s="390"/>
      <x:c r="D206" s="390"/>
      <x:c r="E206" s="390"/>
      <x:c r="F206" s="390"/>
      <x:c r="G206" s="390"/>
    </x:row>
    <x:row r="207">
      <x:c r="A207" s="390"/>
      <x:c r="B207" s="390"/>
      <x:c r="C207" s="390"/>
      <x:c r="D207" s="390"/>
      <x:c r="E207" s="390"/>
      <x:c r="F207" s="390"/>
      <x:c r="G207" s="390"/>
    </x:row>
    <x:row r="208">
      <x:c r="A208" s="390"/>
      <x:c r="B208" s="390"/>
      <x:c r="C208" s="390"/>
      <x:c r="D208" s="390"/>
      <x:c r="E208" s="390"/>
      <x:c r="F208" s="390"/>
      <x:c r="G208" s="390"/>
    </x:row>
    <x:row r="209">
      <x:c r="A209" s="390"/>
      <x:c r="B209" s="390"/>
      <x:c r="C209" s="390"/>
      <x:c r="D209" s="390"/>
      <x:c r="E209" s="390"/>
      <x:c r="F209" s="390"/>
      <x:c r="G209" s="390"/>
    </x:row>
    <x:row r="210">
      <x:c r="A210" s="390"/>
      <x:c r="B210" s="390"/>
      <x:c r="C210" s="390"/>
      <x:c r="D210" s="390"/>
      <x:c r="E210" s="390"/>
      <x:c r="F210" s="390"/>
      <x:c r="G210" s="390"/>
    </x:row>
    <x:row r="211">
      <x:c r="A211" s="390"/>
      <x:c r="B211" s="390"/>
      <x:c r="C211" s="390"/>
      <x:c r="D211" s="390"/>
      <x:c r="E211" s="390"/>
      <x:c r="F211" s="390"/>
      <x:c r="G211" s="390"/>
    </x:row>
    <x:row r="212">
      <x:c r="A212" s="390"/>
      <x:c r="B212" s="390"/>
      <x:c r="C212" s="390"/>
      <x:c r="D212" s="390"/>
      <x:c r="E212" s="390"/>
      <x:c r="F212" s="390"/>
      <x:c r="G212" s="390"/>
    </x:row>
    <x:row r="213">
      <x:c r="A213" s="390"/>
      <x:c r="B213" s="390"/>
      <x:c r="C213" s="390"/>
      <x:c r="D213" s="390"/>
      <x:c r="E213" s="390"/>
      <x:c r="F213" s="390"/>
      <x:c r="G213" s="390"/>
    </x:row>
    <x:row r="214">
      <x:c r="A214" s="390"/>
      <x:c r="B214" s="390"/>
      <x:c r="C214" s="390"/>
      <x:c r="D214" s="390"/>
      <x:c r="E214" s="390"/>
      <x:c r="F214" s="390"/>
      <x:c r="G214" s="390"/>
    </x:row>
    <x:row r="215">
      <x:c r="A215" s="390"/>
      <x:c r="B215" s="390"/>
      <x:c r="C215" s="390"/>
      <x:c r="D215" s="390"/>
      <x:c r="E215" s="390"/>
      <x:c r="F215" s="390"/>
      <x:c r="G215" s="390"/>
    </x:row>
    <x:row r="216">
      <x:c r="A216" s="390"/>
      <x:c r="B216" s="390"/>
      <x:c r="C216" s="390"/>
      <x:c r="D216" s="390"/>
      <x:c r="E216" s="390"/>
      <x:c r="F216" s="390"/>
      <x:c r="G216" s="390"/>
    </x:row>
    <x:row r="217">
      <x:c r="A217" s="390"/>
      <x:c r="B217" s="390"/>
      <x:c r="C217" s="390"/>
      <x:c r="D217" s="390"/>
      <x:c r="E217" s="390"/>
      <x:c r="F217" s="390"/>
      <x:c r="G217" s="390"/>
    </x:row>
    <x:row r="218">
      <x:c r="A218" s="390"/>
      <x:c r="B218" s="390"/>
      <x:c r="C218" s="390"/>
      <x:c r="D218" s="390"/>
      <x:c r="E218" s="390"/>
      <x:c r="F218" s="390"/>
      <x:c r="G218" s="390"/>
    </x:row>
    <x:row r="219">
      <x:c r="A219" s="390"/>
      <x:c r="B219" s="390"/>
      <x:c r="C219" s="390"/>
      <x:c r="D219" s="390"/>
      <x:c r="E219" s="390"/>
      <x:c r="F219" s="390"/>
      <x:c r="G219" s="390"/>
    </x:row>
    <x:row r="220">
      <x:c r="A220" s="390"/>
      <x:c r="B220" s="390"/>
      <x:c r="C220" s="390"/>
      <x:c r="D220" s="390"/>
      <x:c r="E220" s="390"/>
      <x:c r="F220" s="390"/>
      <x:c r="G220" s="390"/>
    </x:row>
  </x:sheetData>
  <x:mergeCells>
    <x:mergeCell ref="A3:G3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2" hidden="0" customWidth="1"/>
    <x:col min="4" max="4" width="12" hidden="0" customWidth="1"/>
    <x:col min="5" max="5" width="28" hidden="0" customWidth="1"/>
    <x:col min="6" max="6" width="46" hidden="0" customWidth="1"/>
    <x:col min="7" max="7" width="24" hidden="0" customWidth="1"/>
  </x:cols>
  <x:sheetData>
    <x:row r="1">
      <x:c r="A1" s="393" t="str">
        <x:v>📚 Reference Data Index</x:v>
      </x:c>
      <x:c r="B1" s="393"/>
      <x:c r="C1" s="393"/>
      <x:c r="D1" s="393"/>
      <x:c r="E1" s="393"/>
      <x:c r="F1" s="393"/>
      <x:c r="G1" s="393"/>
    </x:row>
    <x:row r="2">
      <x:c r="A2" s="393"/>
      <x:c r="B2" s="393"/>
      <x:c r="C2" s="393"/>
      <x:c r="D2" s="393"/>
      <x:c r="E2" s="393"/>
      <x:c r="F2" s="393"/>
      <x:c r="G2" s="393"/>
    </x:row>
    <x:row r="3">
      <x:c r="A3" s="394" t="str">
        <x:v>Reference data should be stable, reusable, and cache-friendly. This is the content that can carry forward to future Japan trips.</x:v>
      </x:c>
      <x:c r="B3" s="394"/>
      <x:c r="C3" s="394"/>
      <x:c r="D3" s="394"/>
      <x:c r="E3" s="394"/>
      <x:c r="F3" s="394"/>
      <x:c r="G3" s="394"/>
    </x:row>
    <x:row r="4">
      <x:c r="A4" s="390"/>
      <x:c r="B4" s="390"/>
      <x:c r="C4" s="390"/>
      <x:c r="D4" s="390"/>
      <x:c r="E4" s="390"/>
      <x:c r="F4" s="390"/>
      <x:c r="G4" s="390"/>
    </x:row>
    <x:row r="5">
      <x:c r="A5" s="397" t="str">
        <x:v>Sheet</x:v>
      </x:c>
      <x:c r="B5" s="397" t="str">
        <x:v>Layer</x:v>
      </x:c>
      <x:c r="C5" s="397" t="str">
        <x:v>Purpose</x:v>
      </x:c>
      <x:c r="D5" s="397" t="str">
        <x:v>Priority</x:v>
      </x:c>
      <x:c r="E5" s="397" t="str">
        <x:v>Used By</x:v>
      </x:c>
      <x:c r="F5" s="397" t="str">
        <x:v>Key Fields</x:v>
      </x:c>
      <x:c r="G5" s="397" t="str">
        <x:v>Reuse Note</x:v>
      </x:c>
    </x:row>
    <x:row r="6">
      <x:c r="A6" s="398" t="str">
        <x:v>🇯🇵 Phrases</x:v>
      </x:c>
      <x:c r="B6" s="398" t="str">
        <x:v>Reference</x:v>
      </x:c>
      <x:c r="C6" s="398" t="str">
        <x:v>Phrasebook</x:v>
      </x:c>
      <x:c r="D6" s="398" t="str">
        <x:v>High</x:v>
      </x:c>
      <x:c r="E6" s="398" t="str">
        <x:v>Phrases/Search</x:v>
      </x:c>
      <x:c r="F6" s="398" t="str">
        <x:v>English, Japanese, romaji, phonetics, use case</x:v>
      </x:c>
      <x:c r="G6" s="398" t="str">
        <x:v>Reusable</x:v>
      </x:c>
    </x:row>
    <x:row r="7">
      <x:c r="A7" s="398" t="str">
        <x:v>⭐ Phrase Favorites</x:v>
      </x:c>
      <x:c r="B7" s="398" t="str">
        <x:v>Reference</x:v>
      </x:c>
      <x:c r="C7" s="398" t="str">
        <x:v>Top phrases</x:v>
      </x:c>
      <x:c r="D7" s="398" t="str">
        <x:v>High</x:v>
      </x:c>
      <x:c r="E7" s="398" t="str">
        <x:v>Phrases/Home</x:v>
      </x:c>
      <x:c r="F7" s="398" t="str">
        <x:v>Most useful phrases surfaced first</x:v>
      </x:c>
      <x:c r="G7" s="398" t="str">
        <x:v>Reusable</x:v>
      </x:c>
    </x:row>
    <x:row r="8">
      <x:c r="A8" s="398" t="str">
        <x:v>🙏 Etiquette</x:v>
      </x:c>
      <x:c r="B8" s="398" t="str">
        <x:v>Reference</x:v>
      </x:c>
      <x:c r="C8" s="398" t="str">
        <x:v>Etiquette guide</x:v>
      </x:c>
      <x:c r="D8" s="398" t="str">
        <x:v>Medium</x:v>
      </x:c>
      <x:c r="E8" s="398" t="str">
        <x:v>Useful/Academy</x:v>
      </x:c>
      <x:c r="F8" s="398" t="str">
        <x:v>Do/don't cultural tips</x:v>
      </x:c>
      <x:c r="G8" s="398" t="str">
        <x:v>Reusable</x:v>
      </x:c>
    </x:row>
    <x:row r="9">
      <x:c r="A9" s="398" t="str">
        <x:v>🎌 Etiquette Cards</x:v>
      </x:c>
      <x:c r="B9" s="398" t="str">
        <x:v>Reference</x:v>
      </x:c>
      <x:c r="C9" s="398" t="str">
        <x:v>Bite-sized etiquette cards</x:v>
      </x:c>
      <x:c r="D9" s="398" t="str">
        <x:v>Medium</x:v>
      </x:c>
      <x:c r="E9" s="398" t="str">
        <x:v>Useful</x:v>
      </x:c>
      <x:c r="F9" s="398" t="str">
        <x:v>Quick cards for first-timers</x:v>
      </x:c>
      <x:c r="G9" s="398" t="str">
        <x:v>Reusable</x:v>
      </x:c>
    </x:row>
    <x:row r="10">
      <x:c r="A10" s="398" t="str">
        <x:v>🏪 Konbini</x:v>
      </x:c>
      <x:c r="B10" s="398" t="str">
        <x:v>Reference</x:v>
      </x:c>
      <x:c r="C10" s="398" t="str">
        <x:v>Convenience store tips</x:v>
      </x:c>
      <x:c r="D10" s="398" t="str">
        <x:v>Medium</x:v>
      </x:c>
      <x:c r="E10" s="398" t="str">
        <x:v>Konbini Explorer</x:v>
      </x:c>
      <x:c r="F10" s="398" t="str">
        <x:v>What to buy/use</x:v>
      </x:c>
      <x:c r="G10" s="398" t="str">
        <x:v>Reusable</x:v>
      </x:c>
    </x:row>
    <x:row r="11">
      <x:c r="A11" s="398" t="str">
        <x:v>🍱 Konbini Guide</x:v>
      </x:c>
      <x:c r="B11" s="398" t="str">
        <x:v>Reference</x:v>
      </x:c>
      <x:c r="C11" s="398" t="str">
        <x:v>Detailed konbini guide</x:v>
      </x:c>
      <x:c r="D11" s="398" t="str">
        <x:v>Medium</x:v>
      </x:c>
      <x:c r="E11" s="398" t="str">
        <x:v>Konbini Explorer</x:v>
      </x:c>
      <x:c r="F11" s="398" t="str">
        <x:v>Recommendations and phrases</x:v>
      </x:c>
      <x:c r="G11" s="398" t="str">
        <x:v>Reusable</x:v>
      </x:c>
    </x:row>
    <x:row r="12">
      <x:c r="A12" s="398" t="str">
        <x:v>🚽 Bathroom</x:v>
      </x:c>
      <x:c r="B12" s="398" t="str">
        <x:v>Reference</x:v>
      </x:c>
      <x:c r="C12" s="398" t="str">
        <x:v>Bathroom guide</x:v>
      </x:c>
      <x:c r="D12" s="398" t="str">
        <x:v>High</x:v>
      </x:c>
      <x:c r="E12" s="398" t="str">
        <x:v>Bathroom Finder/Hilda</x:v>
      </x:c>
      <x:c r="F12" s="398" t="str">
        <x:v>Where to find, toilet controls</x:v>
      </x:c>
      <x:c r="G12" s="398" t="str">
        <x:v>Reusable</x:v>
      </x:c>
    </x:row>
    <x:row r="13">
      <x:c r="A13" s="398" t="str">
        <x:v>🌸 Seasonal</x:v>
      </x:c>
      <x:c r="B13" s="398" t="str">
        <x:v>Reference</x:v>
      </x:c>
      <x:c r="C13" s="398" t="str">
        <x:v>October guide</x:v>
      </x:c>
      <x:c r="D13" s="398" t="str">
        <x:v>Medium</x:v>
      </x:c>
      <x:c r="E13" s="398" t="str">
        <x:v>Seasonal/Rain</x:v>
      </x:c>
      <x:c r="F13" s="398" t="str">
        <x:v>Weather, clothing, crowds</x:v>
      </x:c>
      <x:c r="G13" s="398" t="str">
        <x:v>Reusable</x:v>
      </x:c>
    </x:row>
    <x:row r="14">
      <x:c r="A14" s="398" t="str">
        <x:v>🎓 First-Time Japan</x:v>
      </x:c>
      <x:c r="B14" s="398" t="str">
        <x:v>Reference</x:v>
      </x:c>
      <x:c r="C14" s="398" t="str">
        <x:v>Short lessons for Nick/Hilda</x:v>
      </x:c>
      <x:c r="D14" s="398" t="str">
        <x:v>High</x:v>
      </x:c>
      <x:c r="E14" s="398" t="str">
        <x:v>Academy</x:v>
      </x:c>
      <x:c r="F14" s="398" t="str">
        <x:v>Contextual first-time tips</x:v>
      </x:c>
      <x:c r="G14" s="398" t="str">
        <x:v>Reusable</x:v>
      </x:c>
    </x:row>
    <x:row r="15">
      <x:c r="A15" s="398" t="str">
        <x:v>🚨 Emergency</x:v>
      </x:c>
      <x:c r="B15" s="398" t="str">
        <x:v>Reference/Sensitive</x:v>
      </x:c>
      <x:c r="C15" s="398" t="str">
        <x:v>Emergency info</x:v>
      </x:c>
      <x:c r="D15" s="398" t="str">
        <x:v>High</x:v>
      </x:c>
      <x:c r="E15" s="398" t="str">
        <x:v>SOS/Medical</x:v>
      </x:c>
      <x:c r="F15" s="398" t="str">
        <x:v>Numbers, embassy, phrases</x:v>
      </x:c>
      <x:c r="G15" s="398" t="str">
        <x:v>Keep minimal</x:v>
      </x:c>
    </x:row>
    <x:row r="16">
      <x:c r="A16" s="398" t="str">
        <x:v>🆘 Lost Mode</x:v>
      </x:c>
      <x:c r="B16" s="398" t="str">
        <x:v>Reference/Sensitive</x:v>
      </x:c>
      <x:c r="C16" s="398" t="str">
        <x:v>Lost person flow</x:v>
      </x:c>
      <x:c r="D16" s="398" t="str">
        <x:v>High</x:v>
      </x:c>
      <x:c r="E16" s="398" t="str">
        <x:v>Lost/Hilda</x:v>
      </x:c>
      <x:c r="F16" s="398" t="str">
        <x:v>Hotel, help phrases, emergency actions</x:v>
      </x:c>
      <x:c r="G16" s="398" t="str">
        <x:v>Keep minimal</x:v>
      </x:c>
    </x:row>
    <x:row r="17">
      <x:c r="A17" s="398" t="str">
        <x:v>♨ Hakone + Nara</x:v>
      </x:c>
      <x:c r="B17" s="398" t="str">
        <x:v>Reference</x:v>
      </x:c>
      <x:c r="C17" s="398" t="str">
        <x:v>Area guide</x:v>
      </x:c>
      <x:c r="D17" s="398" t="str">
        <x:v>Medium</x:v>
      </x:c>
      <x:c r="E17" s="398" t="str">
        <x:v>Explore</x:v>
      </x:c>
      <x:c r="F17" s="398" t="str">
        <x:v>Hakone/Nara notes</x:v>
      </x:c>
      <x:c r="G17" s="398" t="str">
        <x:v>Reusable</x:v>
      </x:c>
    </x:row>
    <x:row r="18">
      <x:c r="A18" s="398" t="str">
        <x:v>🗾 Tokyo Guide</x:v>
      </x:c>
      <x:c r="B18" s="398" t="str">
        <x:v>Reference</x:v>
      </x:c>
      <x:c r="C18" s="398" t="str">
        <x:v>Tokyo guide</x:v>
      </x:c>
      <x:c r="D18" s="398" t="str">
        <x:v>Medium</x:v>
      </x:c>
      <x:c r="E18" s="398" t="str">
        <x:v>Explore</x:v>
      </x:c>
      <x:c r="F18" s="398" t="str">
        <x:v>Neighborhoods and tips</x:v>
      </x:c>
      <x:c r="G18" s="398" t="str">
        <x:v>Reusable</x:v>
      </x:c>
    </x:row>
    <x:row r="19">
      <x:c r="A19" s="398" t="str">
        <x:v>⛩ Kyoto Guide</x:v>
      </x:c>
      <x:c r="B19" s="398" t="str">
        <x:v>Reference</x:v>
      </x:c>
      <x:c r="C19" s="398" t="str">
        <x:v>Kyoto guide</x:v>
      </x:c>
      <x:c r="D19" s="398" t="str">
        <x:v>Medium</x:v>
      </x:c>
      <x:c r="E19" s="398" t="str">
        <x:v>Explore</x:v>
      </x:c>
      <x:c r="F19" s="398" t="str">
        <x:v>Temples, routes, tips</x:v>
      </x:c>
      <x:c r="G19" s="398" t="str">
        <x:v>Reusable</x:v>
      </x:c>
    </x:row>
    <x:row r="20">
      <x:c r="A20" s="424" t="str">
        <x:v>📱 Apple Wallet Suica</x:v>
      </x:c>
      <x:c r="B20" s="424" t="str">
        <x:v>Reference/Trip</x:v>
      </x:c>
      <x:c r="C20" s="424" t="str">
        <x:v>Primary Suica setup</x:v>
      </x:c>
      <x:c r="D20" s="424" t="str">
        <x:v>High</x:v>
      </x:c>
      <x:c r="E20" s="424" t="str">
        <x:v>Suica/Transit</x:v>
      </x:c>
      <x:c r="F20" s="424" t="str">
        <x:v>Apple Wallet setup, top-up, Express Transit, backup card notes</x:v>
      </x:c>
      <x:c r="G20" s="424" t="str">
        <x:v>Trip-specific reference</x:v>
      </x:c>
    </x:row>
    <x:row r="21">
      <x:c r="A21" s="390"/>
      <x:c r="B21" s="390"/>
      <x:c r="C21" s="390"/>
      <x:c r="D21" s="390"/>
      <x:c r="E21" s="390"/>
      <x:c r="F21" s="390"/>
      <x:c r="G21" s="390"/>
    </x:row>
    <x:row r="22">
      <x:c r="A22" s="390"/>
      <x:c r="B22" s="390"/>
      <x:c r="C22" s="390"/>
      <x:c r="D22" s="390"/>
      <x:c r="E22" s="390"/>
      <x:c r="F22" s="390"/>
      <x:c r="G22" s="390"/>
    </x:row>
    <x:row r="23">
      <x:c r="A23" s="390"/>
      <x:c r="B23" s="390"/>
      <x:c r="C23" s="390"/>
      <x:c r="D23" s="390"/>
      <x:c r="E23" s="390"/>
      <x:c r="F23" s="390"/>
      <x:c r="G23" s="390"/>
    </x:row>
    <x:row r="24">
      <x:c r="A24" s="390"/>
      <x:c r="B24" s="390"/>
      <x:c r="C24" s="390"/>
      <x:c r="D24" s="390"/>
      <x:c r="E24" s="390"/>
      <x:c r="F24" s="390"/>
      <x:c r="G24" s="390"/>
    </x:row>
    <x:row r="25">
      <x:c r="A25" s="390"/>
      <x:c r="B25" s="390"/>
      <x:c r="C25" s="390"/>
      <x:c r="D25" s="390"/>
      <x:c r="E25" s="390"/>
      <x:c r="F25" s="390"/>
      <x:c r="G25" s="390"/>
    </x:row>
    <x:row r="26">
      <x:c r="A26" s="390"/>
      <x:c r="B26" s="390"/>
      <x:c r="C26" s="390"/>
      <x:c r="D26" s="390"/>
      <x:c r="E26" s="390"/>
      <x:c r="F26" s="390"/>
      <x:c r="G26" s="390"/>
    </x:row>
    <x:row r="27">
      <x:c r="A27" s="390"/>
      <x:c r="B27" s="390"/>
      <x:c r="C27" s="390"/>
      <x:c r="D27" s="390"/>
      <x:c r="E27" s="390"/>
      <x:c r="F27" s="390"/>
      <x:c r="G27" s="390"/>
    </x:row>
    <x:row r="28">
      <x:c r="A28" s="390"/>
      <x:c r="B28" s="390"/>
      <x:c r="C28" s="390"/>
      <x:c r="D28" s="390"/>
      <x:c r="E28" s="390"/>
      <x:c r="F28" s="390"/>
      <x:c r="G28" s="390"/>
    </x:row>
    <x:row r="29">
      <x:c r="A29" s="390"/>
      <x:c r="B29" s="390"/>
      <x:c r="C29" s="390"/>
      <x:c r="D29" s="390"/>
      <x:c r="E29" s="390"/>
      <x:c r="F29" s="390"/>
      <x:c r="G29" s="390"/>
    </x:row>
    <x:row r="30">
      <x:c r="A30" s="390"/>
      <x:c r="B30" s="390"/>
      <x:c r="C30" s="390"/>
      <x:c r="D30" s="390"/>
      <x:c r="E30" s="390"/>
      <x:c r="F30" s="390"/>
      <x:c r="G30" s="390"/>
    </x:row>
    <x:row r="31">
      <x:c r="A31" s="390"/>
      <x:c r="B31" s="390"/>
      <x:c r="C31" s="390"/>
      <x:c r="D31" s="390"/>
      <x:c r="E31" s="390"/>
      <x:c r="F31" s="390"/>
      <x:c r="G31" s="390"/>
    </x:row>
    <x:row r="32">
      <x:c r="A32" s="390"/>
      <x:c r="B32" s="390"/>
      <x:c r="C32" s="390"/>
      <x:c r="D32" s="390"/>
      <x:c r="E32" s="390"/>
      <x:c r="F32" s="390"/>
      <x:c r="G32" s="390"/>
    </x:row>
    <x:row r="33">
      <x:c r="A33" s="390"/>
      <x:c r="B33" s="390"/>
      <x:c r="C33" s="390"/>
      <x:c r="D33" s="390"/>
      <x:c r="E33" s="390"/>
      <x:c r="F33" s="390"/>
      <x:c r="G33" s="390"/>
    </x:row>
    <x:row r="34">
      <x:c r="A34" s="390"/>
      <x:c r="B34" s="390"/>
      <x:c r="C34" s="390"/>
      <x:c r="D34" s="390"/>
      <x:c r="E34" s="390"/>
      <x:c r="F34" s="390"/>
      <x:c r="G34" s="390"/>
    </x:row>
    <x:row r="35">
      <x:c r="A35" s="390"/>
      <x:c r="B35" s="390"/>
      <x:c r="C35" s="390"/>
      <x:c r="D35" s="390"/>
      <x:c r="E35" s="390"/>
      <x:c r="F35" s="390"/>
      <x:c r="G35" s="390"/>
    </x:row>
    <x:row r="36">
      <x:c r="A36" s="390"/>
      <x:c r="B36" s="390"/>
      <x:c r="C36" s="390"/>
      <x:c r="D36" s="390"/>
      <x:c r="E36" s="390"/>
      <x:c r="F36" s="390"/>
      <x:c r="G36" s="390"/>
    </x:row>
    <x:row r="37">
      <x:c r="A37" s="390"/>
      <x:c r="B37" s="390"/>
      <x:c r="C37" s="390"/>
      <x:c r="D37" s="390"/>
      <x:c r="E37" s="390"/>
      <x:c r="F37" s="390"/>
      <x:c r="G37" s="390"/>
    </x:row>
    <x:row r="38">
      <x:c r="A38" s="390"/>
      <x:c r="B38" s="390"/>
      <x:c r="C38" s="390"/>
      <x:c r="D38" s="390"/>
      <x:c r="E38" s="390"/>
      <x:c r="F38" s="390"/>
      <x:c r="G38" s="390"/>
    </x:row>
    <x:row r="39">
      <x:c r="A39" s="390"/>
      <x:c r="B39" s="390"/>
      <x:c r="C39" s="390"/>
      <x:c r="D39" s="390"/>
      <x:c r="E39" s="390"/>
      <x:c r="F39" s="390"/>
      <x:c r="G39" s="390"/>
    </x:row>
    <x:row r="40">
      <x:c r="A40" s="390"/>
      <x:c r="B40" s="390"/>
      <x:c r="C40" s="390"/>
      <x:c r="D40" s="390"/>
      <x:c r="E40" s="390"/>
      <x:c r="F40" s="390"/>
      <x:c r="G40" s="390"/>
    </x:row>
    <x:row r="41">
      <x:c r="A41" s="390"/>
      <x:c r="B41" s="390"/>
      <x:c r="C41" s="390"/>
      <x:c r="D41" s="390"/>
      <x:c r="E41" s="390"/>
      <x:c r="F41" s="390"/>
      <x:c r="G41" s="390"/>
    </x:row>
    <x:row r="42">
      <x:c r="A42" s="390"/>
      <x:c r="B42" s="390"/>
      <x:c r="C42" s="390"/>
      <x:c r="D42" s="390"/>
      <x:c r="E42" s="390"/>
      <x:c r="F42" s="390"/>
      <x:c r="G42" s="390"/>
    </x:row>
    <x:row r="43">
      <x:c r="A43" s="390"/>
      <x:c r="B43" s="390"/>
      <x:c r="C43" s="390"/>
      <x:c r="D43" s="390"/>
      <x:c r="E43" s="390"/>
      <x:c r="F43" s="390"/>
      <x:c r="G43" s="390"/>
    </x:row>
    <x:row r="44">
      <x:c r="A44" s="390"/>
      <x:c r="B44" s="390"/>
      <x:c r="C44" s="390"/>
      <x:c r="D44" s="390"/>
      <x:c r="E44" s="390"/>
      <x:c r="F44" s="390"/>
      <x:c r="G44" s="390"/>
    </x:row>
    <x:row r="45">
      <x:c r="A45" s="390"/>
      <x:c r="B45" s="390"/>
      <x:c r="C45" s="390"/>
      <x:c r="D45" s="390"/>
      <x:c r="E45" s="390"/>
      <x:c r="F45" s="390"/>
      <x:c r="G45" s="390"/>
    </x:row>
    <x:row r="46">
      <x:c r="A46" s="390"/>
      <x:c r="B46" s="390"/>
      <x:c r="C46" s="390"/>
      <x:c r="D46" s="390"/>
      <x:c r="E46" s="390"/>
      <x:c r="F46" s="390"/>
      <x:c r="G46" s="390"/>
    </x:row>
    <x:row r="47">
      <x:c r="A47" s="390"/>
      <x:c r="B47" s="390"/>
      <x:c r="C47" s="390"/>
      <x:c r="D47" s="390"/>
      <x:c r="E47" s="390"/>
      <x:c r="F47" s="390"/>
      <x:c r="G47" s="390"/>
    </x:row>
    <x:row r="48">
      <x:c r="A48" s="390"/>
      <x:c r="B48" s="390"/>
      <x:c r="C48" s="390"/>
      <x:c r="D48" s="390"/>
      <x:c r="E48" s="390"/>
      <x:c r="F48" s="390"/>
      <x:c r="G48" s="390"/>
    </x:row>
    <x:row r="49">
      <x:c r="A49" s="390"/>
      <x:c r="B49" s="390"/>
      <x:c r="C49" s="390"/>
      <x:c r="D49" s="390"/>
      <x:c r="E49" s="390"/>
      <x:c r="F49" s="390"/>
      <x:c r="G49" s="390"/>
    </x:row>
    <x:row r="50">
      <x:c r="A50" s="390"/>
      <x:c r="B50" s="390"/>
      <x:c r="C50" s="390"/>
      <x:c r="D50" s="390"/>
      <x:c r="E50" s="390"/>
      <x:c r="F50" s="390"/>
      <x:c r="G50" s="390"/>
    </x:row>
    <x:row r="51">
      <x:c r="A51" s="390"/>
      <x:c r="B51" s="390"/>
      <x:c r="C51" s="390"/>
      <x:c r="D51" s="390"/>
      <x:c r="E51" s="390"/>
      <x:c r="F51" s="390"/>
      <x:c r="G51" s="390"/>
    </x:row>
    <x:row r="52">
      <x:c r="A52" s="390"/>
      <x:c r="B52" s="390"/>
      <x:c r="C52" s="390"/>
      <x:c r="D52" s="390"/>
      <x:c r="E52" s="390"/>
      <x:c r="F52" s="390"/>
      <x:c r="G52" s="390"/>
    </x:row>
    <x:row r="53">
      <x:c r="A53" s="390"/>
      <x:c r="B53" s="390"/>
      <x:c r="C53" s="390"/>
      <x:c r="D53" s="390"/>
      <x:c r="E53" s="390"/>
      <x:c r="F53" s="390"/>
      <x:c r="G53" s="390"/>
    </x:row>
    <x:row r="54">
      <x:c r="A54" s="390"/>
      <x:c r="B54" s="390"/>
      <x:c r="C54" s="390"/>
      <x:c r="D54" s="390"/>
      <x:c r="E54" s="390"/>
      <x:c r="F54" s="390"/>
      <x:c r="G54" s="390"/>
    </x:row>
    <x:row r="55">
      <x:c r="A55" s="390"/>
      <x:c r="B55" s="390"/>
      <x:c r="C55" s="390"/>
      <x:c r="D55" s="390"/>
      <x:c r="E55" s="390"/>
      <x:c r="F55" s="390"/>
      <x:c r="G55" s="390"/>
    </x:row>
    <x:row r="56">
      <x:c r="A56" s="390"/>
      <x:c r="B56" s="390"/>
      <x:c r="C56" s="390"/>
      <x:c r="D56" s="390"/>
      <x:c r="E56" s="390"/>
      <x:c r="F56" s="390"/>
      <x:c r="G56" s="390"/>
    </x:row>
    <x:row r="57">
      <x:c r="A57" s="390"/>
      <x:c r="B57" s="390"/>
      <x:c r="C57" s="390"/>
      <x:c r="D57" s="390"/>
      <x:c r="E57" s="390"/>
      <x:c r="F57" s="390"/>
      <x:c r="G57" s="390"/>
    </x:row>
    <x:row r="58">
      <x:c r="A58" s="390"/>
      <x:c r="B58" s="390"/>
      <x:c r="C58" s="390"/>
      <x:c r="D58" s="390"/>
      <x:c r="E58" s="390"/>
      <x:c r="F58" s="390"/>
      <x:c r="G58" s="390"/>
    </x:row>
    <x:row r="59">
      <x:c r="A59" s="390"/>
      <x:c r="B59" s="390"/>
      <x:c r="C59" s="390"/>
      <x:c r="D59" s="390"/>
      <x:c r="E59" s="390"/>
      <x:c r="F59" s="390"/>
      <x:c r="G59" s="390"/>
    </x:row>
    <x:row r="60">
      <x:c r="A60" s="390"/>
      <x:c r="B60" s="390"/>
      <x:c r="C60" s="390"/>
      <x:c r="D60" s="390"/>
      <x:c r="E60" s="390"/>
      <x:c r="F60" s="390"/>
      <x:c r="G60" s="390"/>
    </x:row>
    <x:row r="61">
      <x:c r="A61" s="390"/>
      <x:c r="B61" s="390"/>
      <x:c r="C61" s="390"/>
      <x:c r="D61" s="390"/>
      <x:c r="E61" s="390"/>
      <x:c r="F61" s="390"/>
      <x:c r="G61" s="390"/>
    </x:row>
    <x:row r="62">
      <x:c r="A62" s="390"/>
      <x:c r="B62" s="390"/>
      <x:c r="C62" s="390"/>
      <x:c r="D62" s="390"/>
      <x:c r="E62" s="390"/>
      <x:c r="F62" s="390"/>
      <x:c r="G62" s="390"/>
    </x:row>
    <x:row r="63">
      <x:c r="A63" s="390"/>
      <x:c r="B63" s="390"/>
      <x:c r="C63" s="390"/>
      <x:c r="D63" s="390"/>
      <x:c r="E63" s="390"/>
      <x:c r="F63" s="390"/>
      <x:c r="G63" s="390"/>
    </x:row>
    <x:row r="64">
      <x:c r="A64" s="390"/>
      <x:c r="B64" s="390"/>
      <x:c r="C64" s="390"/>
      <x:c r="D64" s="390"/>
      <x:c r="E64" s="390"/>
      <x:c r="F64" s="390"/>
      <x:c r="G64" s="390"/>
    </x:row>
    <x:row r="65">
      <x:c r="A65" s="390"/>
      <x:c r="B65" s="390"/>
      <x:c r="C65" s="390"/>
      <x:c r="D65" s="390"/>
      <x:c r="E65" s="390"/>
      <x:c r="F65" s="390"/>
      <x:c r="G65" s="390"/>
    </x:row>
    <x:row r="66">
      <x:c r="A66" s="390"/>
      <x:c r="B66" s="390"/>
      <x:c r="C66" s="390"/>
      <x:c r="D66" s="390"/>
      <x:c r="E66" s="390"/>
      <x:c r="F66" s="390"/>
      <x:c r="G66" s="390"/>
    </x:row>
    <x:row r="67">
      <x:c r="A67" s="390"/>
      <x:c r="B67" s="390"/>
      <x:c r="C67" s="390"/>
      <x:c r="D67" s="390"/>
      <x:c r="E67" s="390"/>
      <x:c r="F67" s="390"/>
      <x:c r="G67" s="390"/>
    </x:row>
    <x:row r="68">
      <x:c r="A68" s="390"/>
      <x:c r="B68" s="390"/>
      <x:c r="C68" s="390"/>
      <x:c r="D68" s="390"/>
      <x:c r="E68" s="390"/>
      <x:c r="F68" s="390"/>
      <x:c r="G68" s="390"/>
    </x:row>
    <x:row r="69">
      <x:c r="A69" s="390"/>
      <x:c r="B69" s="390"/>
      <x:c r="C69" s="390"/>
      <x:c r="D69" s="390"/>
      <x:c r="E69" s="390"/>
      <x:c r="F69" s="390"/>
      <x:c r="G69" s="390"/>
    </x:row>
    <x:row r="70">
      <x:c r="A70" s="390"/>
      <x:c r="B70" s="390"/>
      <x:c r="C70" s="390"/>
      <x:c r="D70" s="390"/>
      <x:c r="E70" s="390"/>
      <x:c r="F70" s="390"/>
      <x:c r="G70" s="390"/>
    </x:row>
    <x:row r="71">
      <x:c r="A71" s="390"/>
      <x:c r="B71" s="390"/>
      <x:c r="C71" s="390"/>
      <x:c r="D71" s="390"/>
      <x:c r="E71" s="390"/>
      <x:c r="F71" s="390"/>
      <x:c r="G71" s="390"/>
    </x:row>
    <x:row r="72">
      <x:c r="A72" s="390"/>
      <x:c r="B72" s="390"/>
      <x:c r="C72" s="390"/>
      <x:c r="D72" s="390"/>
      <x:c r="E72" s="390"/>
      <x:c r="F72" s="390"/>
      <x:c r="G72" s="390"/>
    </x:row>
    <x:row r="73">
      <x:c r="A73" s="390"/>
      <x:c r="B73" s="390"/>
      <x:c r="C73" s="390"/>
      <x:c r="D73" s="390"/>
      <x:c r="E73" s="390"/>
      <x:c r="F73" s="390"/>
      <x:c r="G73" s="390"/>
    </x:row>
    <x:row r="74">
      <x:c r="A74" s="390"/>
      <x:c r="B74" s="390"/>
      <x:c r="C74" s="390"/>
      <x:c r="D74" s="390"/>
      <x:c r="E74" s="390"/>
      <x:c r="F74" s="390"/>
      <x:c r="G74" s="390"/>
    </x:row>
    <x:row r="75">
      <x:c r="A75" s="390"/>
      <x:c r="B75" s="390"/>
      <x:c r="C75" s="390"/>
      <x:c r="D75" s="390"/>
      <x:c r="E75" s="390"/>
      <x:c r="F75" s="390"/>
      <x:c r="G75" s="390"/>
    </x:row>
    <x:row r="76">
      <x:c r="A76" s="390"/>
      <x:c r="B76" s="390"/>
      <x:c r="C76" s="390"/>
      <x:c r="D76" s="390"/>
      <x:c r="E76" s="390"/>
      <x:c r="F76" s="390"/>
      <x:c r="G76" s="390"/>
    </x:row>
    <x:row r="77">
      <x:c r="A77" s="390"/>
      <x:c r="B77" s="390"/>
      <x:c r="C77" s="390"/>
      <x:c r="D77" s="390"/>
      <x:c r="E77" s="390"/>
      <x:c r="F77" s="390"/>
      <x:c r="G77" s="390"/>
    </x:row>
    <x:row r="78">
      <x:c r="A78" s="390"/>
      <x:c r="B78" s="390"/>
      <x:c r="C78" s="390"/>
      <x:c r="D78" s="390"/>
      <x:c r="E78" s="390"/>
      <x:c r="F78" s="390"/>
      <x:c r="G78" s="390"/>
    </x:row>
    <x:row r="79">
      <x:c r="A79" s="390"/>
      <x:c r="B79" s="390"/>
      <x:c r="C79" s="390"/>
      <x:c r="D79" s="390"/>
      <x:c r="E79" s="390"/>
      <x:c r="F79" s="390"/>
      <x:c r="G79" s="390"/>
    </x:row>
    <x:row r="80">
      <x:c r="A80" s="390"/>
      <x:c r="B80" s="390"/>
      <x:c r="C80" s="390"/>
      <x:c r="D80" s="390"/>
      <x:c r="E80" s="390"/>
      <x:c r="F80" s="390"/>
      <x:c r="G80" s="390"/>
    </x:row>
    <x:row r="81">
      <x:c r="A81" s="390"/>
      <x:c r="B81" s="390"/>
      <x:c r="C81" s="390"/>
      <x:c r="D81" s="390"/>
      <x:c r="E81" s="390"/>
      <x:c r="F81" s="390"/>
      <x:c r="G81" s="390"/>
    </x:row>
    <x:row r="82">
      <x:c r="A82" s="390"/>
      <x:c r="B82" s="390"/>
      <x:c r="C82" s="390"/>
      <x:c r="D82" s="390"/>
      <x:c r="E82" s="390"/>
      <x:c r="F82" s="390"/>
      <x:c r="G82" s="390"/>
    </x:row>
    <x:row r="83">
      <x:c r="A83" s="390"/>
      <x:c r="B83" s="390"/>
      <x:c r="C83" s="390"/>
      <x:c r="D83" s="390"/>
      <x:c r="E83" s="390"/>
      <x:c r="F83" s="390"/>
      <x:c r="G83" s="390"/>
    </x:row>
    <x:row r="84">
      <x:c r="A84" s="390"/>
      <x:c r="B84" s="390"/>
      <x:c r="C84" s="390"/>
      <x:c r="D84" s="390"/>
      <x:c r="E84" s="390"/>
      <x:c r="F84" s="390"/>
      <x:c r="G84" s="390"/>
    </x:row>
    <x:row r="85">
      <x:c r="A85" s="390"/>
      <x:c r="B85" s="390"/>
      <x:c r="C85" s="390"/>
      <x:c r="D85" s="390"/>
      <x:c r="E85" s="390"/>
      <x:c r="F85" s="390"/>
      <x:c r="G85" s="390"/>
    </x:row>
    <x:row r="86">
      <x:c r="A86" s="390"/>
      <x:c r="B86" s="390"/>
      <x:c r="C86" s="390"/>
      <x:c r="D86" s="390"/>
      <x:c r="E86" s="390"/>
      <x:c r="F86" s="390"/>
      <x:c r="G86" s="390"/>
    </x:row>
    <x:row r="87">
      <x:c r="A87" s="390"/>
      <x:c r="B87" s="390"/>
      <x:c r="C87" s="390"/>
      <x:c r="D87" s="390"/>
      <x:c r="E87" s="390"/>
      <x:c r="F87" s="390"/>
      <x:c r="G87" s="390"/>
    </x:row>
    <x:row r="88">
      <x:c r="A88" s="390"/>
      <x:c r="B88" s="390"/>
      <x:c r="C88" s="390"/>
      <x:c r="D88" s="390"/>
      <x:c r="E88" s="390"/>
      <x:c r="F88" s="390"/>
      <x:c r="G88" s="390"/>
    </x:row>
    <x:row r="89">
      <x:c r="A89" s="390"/>
      <x:c r="B89" s="390"/>
      <x:c r="C89" s="390"/>
      <x:c r="D89" s="390"/>
      <x:c r="E89" s="390"/>
      <x:c r="F89" s="390"/>
      <x:c r="G89" s="390"/>
    </x:row>
    <x:row r="90">
      <x:c r="A90" s="390"/>
      <x:c r="B90" s="390"/>
      <x:c r="C90" s="390"/>
      <x:c r="D90" s="390"/>
      <x:c r="E90" s="390"/>
      <x:c r="F90" s="390"/>
      <x:c r="G90" s="390"/>
    </x:row>
    <x:row r="91">
      <x:c r="A91" s="390"/>
      <x:c r="B91" s="390"/>
      <x:c r="C91" s="390"/>
      <x:c r="D91" s="390"/>
      <x:c r="E91" s="390"/>
      <x:c r="F91" s="390"/>
      <x:c r="G91" s="390"/>
    </x:row>
    <x:row r="92">
      <x:c r="A92" s="390"/>
      <x:c r="B92" s="390"/>
      <x:c r="C92" s="390"/>
      <x:c r="D92" s="390"/>
      <x:c r="E92" s="390"/>
      <x:c r="F92" s="390"/>
      <x:c r="G92" s="390"/>
    </x:row>
    <x:row r="93">
      <x:c r="A93" s="390"/>
      <x:c r="B93" s="390"/>
      <x:c r="C93" s="390"/>
      <x:c r="D93" s="390"/>
      <x:c r="E93" s="390"/>
      <x:c r="F93" s="390"/>
      <x:c r="G93" s="390"/>
    </x:row>
    <x:row r="94">
      <x:c r="A94" s="390"/>
      <x:c r="B94" s="390"/>
      <x:c r="C94" s="390"/>
      <x:c r="D94" s="390"/>
      <x:c r="E94" s="390"/>
      <x:c r="F94" s="390"/>
      <x:c r="G94" s="390"/>
    </x:row>
    <x:row r="95">
      <x:c r="A95" s="390"/>
      <x:c r="B95" s="390"/>
      <x:c r="C95" s="390"/>
      <x:c r="D95" s="390"/>
      <x:c r="E95" s="390"/>
      <x:c r="F95" s="390"/>
      <x:c r="G95" s="390"/>
    </x:row>
    <x:row r="96">
      <x:c r="A96" s="390"/>
      <x:c r="B96" s="390"/>
      <x:c r="C96" s="390"/>
      <x:c r="D96" s="390"/>
      <x:c r="E96" s="390"/>
      <x:c r="F96" s="390"/>
      <x:c r="G96" s="390"/>
    </x:row>
    <x:row r="97">
      <x:c r="A97" s="390"/>
      <x:c r="B97" s="390"/>
      <x:c r="C97" s="390"/>
      <x:c r="D97" s="390"/>
      <x:c r="E97" s="390"/>
      <x:c r="F97" s="390"/>
      <x:c r="G97" s="390"/>
    </x:row>
    <x:row r="98">
      <x:c r="A98" s="390"/>
      <x:c r="B98" s="390"/>
      <x:c r="C98" s="390"/>
      <x:c r="D98" s="390"/>
      <x:c r="E98" s="390"/>
      <x:c r="F98" s="390"/>
      <x:c r="G98" s="390"/>
    </x:row>
    <x:row r="99">
      <x:c r="A99" s="390"/>
      <x:c r="B99" s="390"/>
      <x:c r="C99" s="390"/>
      <x:c r="D99" s="390"/>
      <x:c r="E99" s="390"/>
      <x:c r="F99" s="390"/>
      <x:c r="G99" s="390"/>
    </x:row>
    <x:row r="100">
      <x:c r="A100" s="390"/>
      <x:c r="B100" s="390"/>
      <x:c r="C100" s="390"/>
      <x:c r="D100" s="390"/>
      <x:c r="E100" s="390"/>
      <x:c r="F100" s="390"/>
      <x:c r="G100" s="390"/>
    </x:row>
    <x:row r="101">
      <x:c r="A101" s="390"/>
      <x:c r="B101" s="390"/>
      <x:c r="C101" s="390"/>
      <x:c r="D101" s="390"/>
      <x:c r="E101" s="390"/>
      <x:c r="F101" s="390"/>
      <x:c r="G101" s="390"/>
    </x:row>
    <x:row r="102">
      <x:c r="A102" s="390"/>
      <x:c r="B102" s="390"/>
      <x:c r="C102" s="390"/>
      <x:c r="D102" s="390"/>
      <x:c r="E102" s="390"/>
      <x:c r="F102" s="390"/>
      <x:c r="G102" s="390"/>
    </x:row>
    <x:row r="103">
      <x:c r="A103" s="390"/>
      <x:c r="B103" s="390"/>
      <x:c r="C103" s="390"/>
      <x:c r="D103" s="390"/>
      <x:c r="E103" s="390"/>
      <x:c r="F103" s="390"/>
      <x:c r="G103" s="390"/>
    </x:row>
    <x:row r="104">
      <x:c r="A104" s="390"/>
      <x:c r="B104" s="390"/>
      <x:c r="C104" s="390"/>
      <x:c r="D104" s="390"/>
      <x:c r="E104" s="390"/>
      <x:c r="F104" s="390"/>
      <x:c r="G104" s="390"/>
    </x:row>
    <x:row r="105">
      <x:c r="A105" s="390"/>
      <x:c r="B105" s="390"/>
      <x:c r="C105" s="390"/>
      <x:c r="D105" s="390"/>
      <x:c r="E105" s="390"/>
      <x:c r="F105" s="390"/>
      <x:c r="G105" s="390"/>
    </x:row>
    <x:row r="106">
      <x:c r="A106" s="390"/>
      <x:c r="B106" s="390"/>
      <x:c r="C106" s="390"/>
      <x:c r="D106" s="390"/>
      <x:c r="E106" s="390"/>
      <x:c r="F106" s="390"/>
      <x:c r="G106" s="390"/>
    </x:row>
    <x:row r="107">
      <x:c r="A107" s="390"/>
      <x:c r="B107" s="390"/>
      <x:c r="C107" s="390"/>
      <x:c r="D107" s="390"/>
      <x:c r="E107" s="390"/>
      <x:c r="F107" s="390"/>
      <x:c r="G107" s="390"/>
    </x:row>
    <x:row r="108">
      <x:c r="A108" s="390"/>
      <x:c r="B108" s="390"/>
      <x:c r="C108" s="390"/>
      <x:c r="D108" s="390"/>
      <x:c r="E108" s="390"/>
      <x:c r="F108" s="390"/>
      <x:c r="G108" s="390"/>
    </x:row>
    <x:row r="109">
      <x:c r="A109" s="390"/>
      <x:c r="B109" s="390"/>
      <x:c r="C109" s="390"/>
      <x:c r="D109" s="390"/>
      <x:c r="E109" s="390"/>
      <x:c r="F109" s="390"/>
      <x:c r="G109" s="390"/>
    </x:row>
    <x:row r="110">
      <x:c r="A110" s="390"/>
      <x:c r="B110" s="390"/>
      <x:c r="C110" s="390"/>
      <x:c r="D110" s="390"/>
      <x:c r="E110" s="390"/>
      <x:c r="F110" s="390"/>
      <x:c r="G110" s="390"/>
    </x:row>
    <x:row r="111">
      <x:c r="A111" s="390"/>
      <x:c r="B111" s="390"/>
      <x:c r="C111" s="390"/>
      <x:c r="D111" s="390"/>
      <x:c r="E111" s="390"/>
      <x:c r="F111" s="390"/>
      <x:c r="G111" s="390"/>
    </x:row>
    <x:row r="112">
      <x:c r="A112" s="390"/>
      <x:c r="B112" s="390"/>
      <x:c r="C112" s="390"/>
      <x:c r="D112" s="390"/>
      <x:c r="E112" s="390"/>
      <x:c r="F112" s="390"/>
      <x:c r="G112" s="390"/>
    </x:row>
    <x:row r="113">
      <x:c r="A113" s="390"/>
      <x:c r="B113" s="390"/>
      <x:c r="C113" s="390"/>
      <x:c r="D113" s="390"/>
      <x:c r="E113" s="390"/>
      <x:c r="F113" s="390"/>
      <x:c r="G113" s="390"/>
    </x:row>
    <x:row r="114">
      <x:c r="A114" s="390"/>
      <x:c r="B114" s="390"/>
      <x:c r="C114" s="390"/>
      <x:c r="D114" s="390"/>
      <x:c r="E114" s="390"/>
      <x:c r="F114" s="390"/>
      <x:c r="G114" s="390"/>
    </x:row>
    <x:row r="115">
      <x:c r="A115" s="390"/>
      <x:c r="B115" s="390"/>
      <x:c r="C115" s="390"/>
      <x:c r="D115" s="390"/>
      <x:c r="E115" s="390"/>
      <x:c r="F115" s="390"/>
      <x:c r="G115" s="390"/>
    </x:row>
    <x:row r="116">
      <x:c r="A116" s="390"/>
      <x:c r="B116" s="390"/>
      <x:c r="C116" s="390"/>
      <x:c r="D116" s="390"/>
      <x:c r="E116" s="390"/>
      <x:c r="F116" s="390"/>
      <x:c r="G116" s="390"/>
    </x:row>
    <x:row r="117">
      <x:c r="A117" s="390"/>
      <x:c r="B117" s="390"/>
      <x:c r="C117" s="390"/>
      <x:c r="D117" s="390"/>
      <x:c r="E117" s="390"/>
      <x:c r="F117" s="390"/>
      <x:c r="G117" s="390"/>
    </x:row>
    <x:row r="118">
      <x:c r="A118" s="390"/>
      <x:c r="B118" s="390"/>
      <x:c r="C118" s="390"/>
      <x:c r="D118" s="390"/>
      <x:c r="E118" s="390"/>
      <x:c r="F118" s="390"/>
      <x:c r="G118" s="390"/>
    </x:row>
    <x:row r="119">
      <x:c r="A119" s="390"/>
      <x:c r="B119" s="390"/>
      <x:c r="C119" s="390"/>
      <x:c r="D119" s="390"/>
      <x:c r="E119" s="390"/>
      <x:c r="F119" s="390"/>
      <x:c r="G119" s="390"/>
    </x:row>
    <x:row r="120">
      <x:c r="A120" s="390"/>
      <x:c r="B120" s="390"/>
      <x:c r="C120" s="390"/>
      <x:c r="D120" s="390"/>
      <x:c r="E120" s="390"/>
      <x:c r="F120" s="390"/>
      <x:c r="G120" s="390"/>
    </x:row>
    <x:row r="121">
      <x:c r="A121" s="390"/>
      <x:c r="B121" s="390"/>
      <x:c r="C121" s="390"/>
      <x:c r="D121" s="390"/>
      <x:c r="E121" s="390"/>
      <x:c r="F121" s="390"/>
      <x:c r="G121" s="390"/>
    </x:row>
    <x:row r="122">
      <x:c r="A122" s="390"/>
      <x:c r="B122" s="390"/>
      <x:c r="C122" s="390"/>
      <x:c r="D122" s="390"/>
      <x:c r="E122" s="390"/>
      <x:c r="F122" s="390"/>
      <x:c r="G122" s="390"/>
    </x:row>
    <x:row r="123">
      <x:c r="A123" s="390"/>
      <x:c r="B123" s="390"/>
      <x:c r="C123" s="390"/>
      <x:c r="D123" s="390"/>
      <x:c r="E123" s="390"/>
      <x:c r="F123" s="390"/>
      <x:c r="G123" s="390"/>
    </x:row>
    <x:row r="124">
      <x:c r="A124" s="390"/>
      <x:c r="B124" s="390"/>
      <x:c r="C124" s="390"/>
      <x:c r="D124" s="390"/>
      <x:c r="E124" s="390"/>
      <x:c r="F124" s="390"/>
      <x:c r="G124" s="390"/>
    </x:row>
    <x:row r="125">
      <x:c r="A125" s="390"/>
      <x:c r="B125" s="390"/>
      <x:c r="C125" s="390"/>
      <x:c r="D125" s="390"/>
      <x:c r="E125" s="390"/>
      <x:c r="F125" s="390"/>
      <x:c r="G125" s="390"/>
    </x:row>
    <x:row r="126">
      <x:c r="A126" s="390"/>
      <x:c r="B126" s="390"/>
      <x:c r="C126" s="390"/>
      <x:c r="D126" s="390"/>
      <x:c r="E126" s="390"/>
      <x:c r="F126" s="390"/>
      <x:c r="G126" s="390"/>
    </x:row>
    <x:row r="127">
      <x:c r="A127" s="390"/>
      <x:c r="B127" s="390"/>
      <x:c r="C127" s="390"/>
      <x:c r="D127" s="390"/>
      <x:c r="E127" s="390"/>
      <x:c r="F127" s="390"/>
      <x:c r="G127" s="390"/>
    </x:row>
    <x:row r="128">
      <x:c r="A128" s="390"/>
      <x:c r="B128" s="390"/>
      <x:c r="C128" s="390"/>
      <x:c r="D128" s="390"/>
      <x:c r="E128" s="390"/>
      <x:c r="F128" s="390"/>
      <x:c r="G128" s="390"/>
    </x:row>
    <x:row r="129">
      <x:c r="A129" s="390"/>
      <x:c r="B129" s="390"/>
      <x:c r="C129" s="390"/>
      <x:c r="D129" s="390"/>
      <x:c r="E129" s="390"/>
      <x:c r="F129" s="390"/>
      <x:c r="G129" s="390"/>
    </x:row>
    <x:row r="130">
      <x:c r="A130" s="390"/>
      <x:c r="B130" s="390"/>
      <x:c r="C130" s="390"/>
      <x:c r="D130" s="390"/>
      <x:c r="E130" s="390"/>
      <x:c r="F130" s="390"/>
      <x:c r="G130" s="390"/>
    </x:row>
    <x:row r="131">
      <x:c r="A131" s="390"/>
      <x:c r="B131" s="390"/>
      <x:c r="C131" s="390"/>
      <x:c r="D131" s="390"/>
      <x:c r="E131" s="390"/>
      <x:c r="F131" s="390"/>
      <x:c r="G131" s="390"/>
    </x:row>
    <x:row r="132">
      <x:c r="A132" s="390"/>
      <x:c r="B132" s="390"/>
      <x:c r="C132" s="390"/>
      <x:c r="D132" s="390"/>
      <x:c r="E132" s="390"/>
      <x:c r="F132" s="390"/>
      <x:c r="G132" s="390"/>
    </x:row>
    <x:row r="133">
      <x:c r="A133" s="390"/>
      <x:c r="B133" s="390"/>
      <x:c r="C133" s="390"/>
      <x:c r="D133" s="390"/>
      <x:c r="E133" s="390"/>
      <x:c r="F133" s="390"/>
      <x:c r="G133" s="390"/>
    </x:row>
    <x:row r="134">
      <x:c r="A134" s="390"/>
      <x:c r="B134" s="390"/>
      <x:c r="C134" s="390"/>
      <x:c r="D134" s="390"/>
      <x:c r="E134" s="390"/>
      <x:c r="F134" s="390"/>
      <x:c r="G134" s="390"/>
    </x:row>
    <x:row r="135">
      <x:c r="A135" s="390"/>
      <x:c r="B135" s="390"/>
      <x:c r="C135" s="390"/>
      <x:c r="D135" s="390"/>
      <x:c r="E135" s="390"/>
      <x:c r="F135" s="390"/>
      <x:c r="G135" s="390"/>
    </x:row>
    <x:row r="136">
      <x:c r="A136" s="390"/>
      <x:c r="B136" s="390"/>
      <x:c r="C136" s="390"/>
      <x:c r="D136" s="390"/>
      <x:c r="E136" s="390"/>
      <x:c r="F136" s="390"/>
      <x:c r="G136" s="390"/>
    </x:row>
    <x:row r="137">
      <x:c r="A137" s="390"/>
      <x:c r="B137" s="390"/>
      <x:c r="C137" s="390"/>
      <x:c r="D137" s="390"/>
      <x:c r="E137" s="390"/>
      <x:c r="F137" s="390"/>
      <x:c r="G137" s="390"/>
    </x:row>
    <x:row r="138">
      <x:c r="A138" s="390"/>
      <x:c r="B138" s="390"/>
      <x:c r="C138" s="390"/>
      <x:c r="D138" s="390"/>
      <x:c r="E138" s="390"/>
      <x:c r="F138" s="390"/>
      <x:c r="G138" s="390"/>
    </x:row>
    <x:row r="139">
      <x:c r="A139" s="390"/>
      <x:c r="B139" s="390"/>
      <x:c r="C139" s="390"/>
      <x:c r="D139" s="390"/>
      <x:c r="E139" s="390"/>
      <x:c r="F139" s="390"/>
      <x:c r="G139" s="390"/>
    </x:row>
    <x:row r="140">
      <x:c r="A140" s="390"/>
      <x:c r="B140" s="390"/>
      <x:c r="C140" s="390"/>
      <x:c r="D140" s="390"/>
      <x:c r="E140" s="390"/>
      <x:c r="F140" s="390"/>
      <x:c r="G140" s="390"/>
    </x:row>
    <x:row r="141">
      <x:c r="A141" s="390"/>
      <x:c r="B141" s="390"/>
      <x:c r="C141" s="390"/>
      <x:c r="D141" s="390"/>
      <x:c r="E141" s="390"/>
      <x:c r="F141" s="390"/>
      <x:c r="G141" s="390"/>
    </x:row>
    <x:row r="142">
      <x:c r="A142" s="390"/>
      <x:c r="B142" s="390"/>
      <x:c r="C142" s="390"/>
      <x:c r="D142" s="390"/>
      <x:c r="E142" s="390"/>
      <x:c r="F142" s="390"/>
      <x:c r="G142" s="390"/>
    </x:row>
    <x:row r="143">
      <x:c r="A143" s="390"/>
      <x:c r="B143" s="390"/>
      <x:c r="C143" s="390"/>
      <x:c r="D143" s="390"/>
      <x:c r="E143" s="390"/>
      <x:c r="F143" s="390"/>
      <x:c r="G143" s="390"/>
    </x:row>
    <x:row r="144">
      <x:c r="A144" s="390"/>
      <x:c r="B144" s="390"/>
      <x:c r="C144" s="390"/>
      <x:c r="D144" s="390"/>
      <x:c r="E144" s="390"/>
      <x:c r="F144" s="390"/>
      <x:c r="G144" s="390"/>
    </x:row>
    <x:row r="145">
      <x:c r="A145" s="390"/>
      <x:c r="B145" s="390"/>
      <x:c r="C145" s="390"/>
      <x:c r="D145" s="390"/>
      <x:c r="E145" s="390"/>
      <x:c r="F145" s="390"/>
      <x:c r="G145" s="390"/>
    </x:row>
    <x:row r="146">
      <x:c r="A146" s="390"/>
      <x:c r="B146" s="390"/>
      <x:c r="C146" s="390"/>
      <x:c r="D146" s="390"/>
      <x:c r="E146" s="390"/>
      <x:c r="F146" s="390"/>
      <x:c r="G146" s="390"/>
    </x:row>
    <x:row r="147">
      <x:c r="A147" s="390"/>
      <x:c r="B147" s="390"/>
      <x:c r="C147" s="390"/>
      <x:c r="D147" s="390"/>
      <x:c r="E147" s="390"/>
      <x:c r="F147" s="390"/>
      <x:c r="G147" s="390"/>
    </x:row>
    <x:row r="148">
      <x:c r="A148" s="390"/>
      <x:c r="B148" s="390"/>
      <x:c r="C148" s="390"/>
      <x:c r="D148" s="390"/>
      <x:c r="E148" s="390"/>
      <x:c r="F148" s="390"/>
      <x:c r="G148" s="390"/>
    </x:row>
    <x:row r="149">
      <x:c r="A149" s="390"/>
      <x:c r="B149" s="390"/>
      <x:c r="C149" s="390"/>
      <x:c r="D149" s="390"/>
      <x:c r="E149" s="390"/>
      <x:c r="F149" s="390"/>
      <x:c r="G149" s="390"/>
    </x:row>
    <x:row r="150">
      <x:c r="A150" s="390"/>
      <x:c r="B150" s="390"/>
      <x:c r="C150" s="390"/>
      <x:c r="D150" s="390"/>
      <x:c r="E150" s="390"/>
      <x:c r="F150" s="390"/>
      <x:c r="G150" s="390"/>
    </x:row>
    <x:row r="151">
      <x:c r="A151" s="390"/>
      <x:c r="B151" s="390"/>
      <x:c r="C151" s="390"/>
      <x:c r="D151" s="390"/>
      <x:c r="E151" s="390"/>
      <x:c r="F151" s="390"/>
      <x:c r="G151" s="390"/>
    </x:row>
    <x:row r="152">
      <x:c r="A152" s="390"/>
      <x:c r="B152" s="390"/>
      <x:c r="C152" s="390"/>
      <x:c r="D152" s="390"/>
      <x:c r="E152" s="390"/>
      <x:c r="F152" s="390"/>
      <x:c r="G152" s="390"/>
    </x:row>
    <x:row r="153">
      <x:c r="A153" s="390"/>
      <x:c r="B153" s="390"/>
      <x:c r="C153" s="390"/>
      <x:c r="D153" s="390"/>
      <x:c r="E153" s="390"/>
      <x:c r="F153" s="390"/>
      <x:c r="G153" s="390"/>
    </x:row>
    <x:row r="154">
      <x:c r="A154" s="390"/>
      <x:c r="B154" s="390"/>
      <x:c r="C154" s="390"/>
      <x:c r="D154" s="390"/>
      <x:c r="E154" s="390"/>
      <x:c r="F154" s="390"/>
      <x:c r="G154" s="390"/>
    </x:row>
    <x:row r="155">
      <x:c r="A155" s="390"/>
      <x:c r="B155" s="390"/>
      <x:c r="C155" s="390"/>
      <x:c r="D155" s="390"/>
      <x:c r="E155" s="390"/>
      <x:c r="F155" s="390"/>
      <x:c r="G155" s="390"/>
    </x:row>
    <x:row r="156">
      <x:c r="A156" s="390"/>
      <x:c r="B156" s="390"/>
      <x:c r="C156" s="390"/>
      <x:c r="D156" s="390"/>
      <x:c r="E156" s="390"/>
      <x:c r="F156" s="390"/>
      <x:c r="G156" s="390"/>
    </x:row>
    <x:row r="157">
      <x:c r="A157" s="390"/>
      <x:c r="B157" s="390"/>
      <x:c r="C157" s="390"/>
      <x:c r="D157" s="390"/>
      <x:c r="E157" s="390"/>
      <x:c r="F157" s="390"/>
      <x:c r="G157" s="390"/>
    </x:row>
    <x:row r="158">
      <x:c r="A158" s="390"/>
      <x:c r="B158" s="390"/>
      <x:c r="C158" s="390"/>
      <x:c r="D158" s="390"/>
      <x:c r="E158" s="390"/>
      <x:c r="F158" s="390"/>
      <x:c r="G158" s="390"/>
    </x:row>
    <x:row r="159">
      <x:c r="A159" s="390"/>
      <x:c r="B159" s="390"/>
      <x:c r="C159" s="390"/>
      <x:c r="D159" s="390"/>
      <x:c r="E159" s="390"/>
      <x:c r="F159" s="390"/>
      <x:c r="G159" s="390"/>
    </x:row>
    <x:row r="160">
      <x:c r="A160" s="390"/>
      <x:c r="B160" s="390"/>
      <x:c r="C160" s="390"/>
      <x:c r="D160" s="390"/>
      <x:c r="E160" s="390"/>
      <x:c r="F160" s="390"/>
      <x:c r="G160" s="390"/>
    </x:row>
    <x:row r="161">
      <x:c r="A161" s="390"/>
      <x:c r="B161" s="390"/>
      <x:c r="C161" s="390"/>
      <x:c r="D161" s="390"/>
      <x:c r="E161" s="390"/>
      <x:c r="F161" s="390"/>
      <x:c r="G161" s="390"/>
    </x:row>
    <x:row r="162">
      <x:c r="A162" s="390"/>
      <x:c r="B162" s="390"/>
      <x:c r="C162" s="390"/>
      <x:c r="D162" s="390"/>
      <x:c r="E162" s="390"/>
      <x:c r="F162" s="390"/>
      <x:c r="G162" s="390"/>
    </x:row>
    <x:row r="163">
      <x:c r="A163" s="390"/>
      <x:c r="B163" s="390"/>
      <x:c r="C163" s="390"/>
      <x:c r="D163" s="390"/>
      <x:c r="E163" s="390"/>
      <x:c r="F163" s="390"/>
      <x:c r="G163" s="390"/>
    </x:row>
    <x:row r="164">
      <x:c r="A164" s="390"/>
      <x:c r="B164" s="390"/>
      <x:c r="C164" s="390"/>
      <x:c r="D164" s="390"/>
      <x:c r="E164" s="390"/>
      <x:c r="F164" s="390"/>
      <x:c r="G164" s="390"/>
    </x:row>
    <x:row r="165">
      <x:c r="A165" s="390"/>
      <x:c r="B165" s="390"/>
      <x:c r="C165" s="390"/>
      <x:c r="D165" s="390"/>
      <x:c r="E165" s="390"/>
      <x:c r="F165" s="390"/>
      <x:c r="G165" s="390"/>
    </x:row>
    <x:row r="166">
      <x:c r="A166" s="390"/>
      <x:c r="B166" s="390"/>
      <x:c r="C166" s="390"/>
      <x:c r="D166" s="390"/>
      <x:c r="E166" s="390"/>
      <x:c r="F166" s="390"/>
      <x:c r="G166" s="390"/>
    </x:row>
    <x:row r="167">
      <x:c r="A167" s="390"/>
      <x:c r="B167" s="390"/>
      <x:c r="C167" s="390"/>
      <x:c r="D167" s="390"/>
      <x:c r="E167" s="390"/>
      <x:c r="F167" s="390"/>
      <x:c r="G167" s="390"/>
    </x:row>
    <x:row r="168">
      <x:c r="A168" s="390"/>
      <x:c r="B168" s="390"/>
      <x:c r="C168" s="390"/>
      <x:c r="D168" s="390"/>
      <x:c r="E168" s="390"/>
      <x:c r="F168" s="390"/>
      <x:c r="G168" s="390"/>
    </x:row>
    <x:row r="169">
      <x:c r="A169" s="390"/>
      <x:c r="B169" s="390"/>
      <x:c r="C169" s="390"/>
      <x:c r="D169" s="390"/>
      <x:c r="E169" s="390"/>
      <x:c r="F169" s="390"/>
      <x:c r="G169" s="390"/>
    </x:row>
    <x:row r="170">
      <x:c r="A170" s="390"/>
      <x:c r="B170" s="390"/>
      <x:c r="C170" s="390"/>
      <x:c r="D170" s="390"/>
      <x:c r="E170" s="390"/>
      <x:c r="F170" s="390"/>
      <x:c r="G170" s="390"/>
    </x:row>
    <x:row r="171">
      <x:c r="A171" s="390"/>
      <x:c r="B171" s="390"/>
      <x:c r="C171" s="390"/>
      <x:c r="D171" s="390"/>
      <x:c r="E171" s="390"/>
      <x:c r="F171" s="390"/>
      <x:c r="G171" s="390"/>
    </x:row>
    <x:row r="172">
      <x:c r="A172" s="390"/>
      <x:c r="B172" s="390"/>
      <x:c r="C172" s="390"/>
      <x:c r="D172" s="390"/>
      <x:c r="E172" s="390"/>
      <x:c r="F172" s="390"/>
      <x:c r="G172" s="390"/>
    </x:row>
    <x:row r="173">
      <x:c r="A173" s="390"/>
      <x:c r="B173" s="390"/>
      <x:c r="C173" s="390"/>
      <x:c r="D173" s="390"/>
      <x:c r="E173" s="390"/>
      <x:c r="F173" s="390"/>
      <x:c r="G173" s="390"/>
    </x:row>
    <x:row r="174">
      <x:c r="A174" s="390"/>
      <x:c r="B174" s="390"/>
      <x:c r="C174" s="390"/>
      <x:c r="D174" s="390"/>
      <x:c r="E174" s="390"/>
      <x:c r="F174" s="390"/>
      <x:c r="G174" s="390"/>
    </x:row>
    <x:row r="175">
      <x:c r="A175" s="390"/>
      <x:c r="B175" s="390"/>
      <x:c r="C175" s="390"/>
      <x:c r="D175" s="390"/>
      <x:c r="E175" s="390"/>
      <x:c r="F175" s="390"/>
      <x:c r="G175" s="390"/>
    </x:row>
    <x:row r="176">
      <x:c r="A176" s="390"/>
      <x:c r="B176" s="390"/>
      <x:c r="C176" s="390"/>
      <x:c r="D176" s="390"/>
      <x:c r="E176" s="390"/>
      <x:c r="F176" s="390"/>
      <x:c r="G176" s="390"/>
    </x:row>
    <x:row r="177">
      <x:c r="A177" s="390"/>
      <x:c r="B177" s="390"/>
      <x:c r="C177" s="390"/>
      <x:c r="D177" s="390"/>
      <x:c r="E177" s="390"/>
      <x:c r="F177" s="390"/>
      <x:c r="G177" s="390"/>
    </x:row>
    <x:row r="178">
      <x:c r="A178" s="390"/>
      <x:c r="B178" s="390"/>
      <x:c r="C178" s="390"/>
      <x:c r="D178" s="390"/>
      <x:c r="E178" s="390"/>
      <x:c r="F178" s="390"/>
      <x:c r="G178" s="390"/>
    </x:row>
    <x:row r="179">
      <x:c r="A179" s="390"/>
      <x:c r="B179" s="390"/>
      <x:c r="C179" s="390"/>
      <x:c r="D179" s="390"/>
      <x:c r="E179" s="390"/>
      <x:c r="F179" s="390"/>
      <x:c r="G179" s="390"/>
    </x:row>
    <x:row r="180">
      <x:c r="A180" s="390"/>
      <x:c r="B180" s="390"/>
      <x:c r="C180" s="390"/>
      <x:c r="D180" s="390"/>
      <x:c r="E180" s="390"/>
      <x:c r="F180" s="390"/>
      <x:c r="G180" s="390"/>
    </x:row>
    <x:row r="181">
      <x:c r="A181" s="390"/>
      <x:c r="B181" s="390"/>
      <x:c r="C181" s="390"/>
      <x:c r="D181" s="390"/>
      <x:c r="E181" s="390"/>
      <x:c r="F181" s="390"/>
      <x:c r="G181" s="390"/>
    </x:row>
    <x:row r="182">
      <x:c r="A182" s="390"/>
      <x:c r="B182" s="390"/>
      <x:c r="C182" s="390"/>
      <x:c r="D182" s="390"/>
      <x:c r="E182" s="390"/>
      <x:c r="F182" s="390"/>
      <x:c r="G182" s="390"/>
    </x:row>
    <x:row r="183">
      <x:c r="A183" s="390"/>
      <x:c r="B183" s="390"/>
      <x:c r="C183" s="390"/>
      <x:c r="D183" s="390"/>
      <x:c r="E183" s="390"/>
      <x:c r="F183" s="390"/>
      <x:c r="G183" s="390"/>
    </x:row>
    <x:row r="184">
      <x:c r="A184" s="390"/>
      <x:c r="B184" s="390"/>
      <x:c r="C184" s="390"/>
      <x:c r="D184" s="390"/>
      <x:c r="E184" s="390"/>
      <x:c r="F184" s="390"/>
      <x:c r="G184" s="390"/>
    </x:row>
    <x:row r="185">
      <x:c r="A185" s="390"/>
      <x:c r="B185" s="390"/>
      <x:c r="C185" s="390"/>
      <x:c r="D185" s="390"/>
      <x:c r="E185" s="390"/>
      <x:c r="F185" s="390"/>
      <x:c r="G185" s="390"/>
    </x:row>
    <x:row r="186">
      <x:c r="A186" s="390"/>
      <x:c r="B186" s="390"/>
      <x:c r="C186" s="390"/>
      <x:c r="D186" s="390"/>
      <x:c r="E186" s="390"/>
      <x:c r="F186" s="390"/>
      <x:c r="G186" s="390"/>
    </x:row>
    <x:row r="187">
      <x:c r="A187" s="390"/>
      <x:c r="B187" s="390"/>
      <x:c r="C187" s="390"/>
      <x:c r="D187" s="390"/>
      <x:c r="E187" s="390"/>
      <x:c r="F187" s="390"/>
      <x:c r="G187" s="390"/>
    </x:row>
    <x:row r="188">
      <x:c r="A188" s="390"/>
      <x:c r="B188" s="390"/>
      <x:c r="C188" s="390"/>
      <x:c r="D188" s="390"/>
      <x:c r="E188" s="390"/>
      <x:c r="F188" s="390"/>
      <x:c r="G188" s="390"/>
    </x:row>
    <x:row r="189">
      <x:c r="A189" s="390"/>
      <x:c r="B189" s="390"/>
      <x:c r="C189" s="390"/>
      <x:c r="D189" s="390"/>
      <x:c r="E189" s="390"/>
      <x:c r="F189" s="390"/>
      <x:c r="G189" s="390"/>
    </x:row>
    <x:row r="190">
      <x:c r="A190" s="390"/>
      <x:c r="B190" s="390"/>
      <x:c r="C190" s="390"/>
      <x:c r="D190" s="390"/>
      <x:c r="E190" s="390"/>
      <x:c r="F190" s="390"/>
      <x:c r="G190" s="390"/>
    </x:row>
    <x:row r="191">
      <x:c r="A191" s="390"/>
      <x:c r="B191" s="390"/>
      <x:c r="C191" s="390"/>
      <x:c r="D191" s="390"/>
      <x:c r="E191" s="390"/>
      <x:c r="F191" s="390"/>
      <x:c r="G191" s="390"/>
    </x:row>
    <x:row r="192">
      <x:c r="A192" s="390"/>
      <x:c r="B192" s="390"/>
      <x:c r="C192" s="390"/>
      <x:c r="D192" s="390"/>
      <x:c r="E192" s="390"/>
      <x:c r="F192" s="390"/>
      <x:c r="G192" s="390"/>
    </x:row>
    <x:row r="193">
      <x:c r="A193" s="390"/>
      <x:c r="B193" s="390"/>
      <x:c r="C193" s="390"/>
      <x:c r="D193" s="390"/>
      <x:c r="E193" s="390"/>
      <x:c r="F193" s="390"/>
      <x:c r="G193" s="390"/>
    </x:row>
    <x:row r="194">
      <x:c r="A194" s="390"/>
      <x:c r="B194" s="390"/>
      <x:c r="C194" s="390"/>
      <x:c r="D194" s="390"/>
      <x:c r="E194" s="390"/>
      <x:c r="F194" s="390"/>
      <x:c r="G194" s="390"/>
    </x:row>
    <x:row r="195">
      <x:c r="A195" s="390"/>
      <x:c r="B195" s="390"/>
      <x:c r="C195" s="390"/>
      <x:c r="D195" s="390"/>
      <x:c r="E195" s="390"/>
      <x:c r="F195" s="390"/>
      <x:c r="G195" s="390"/>
    </x:row>
    <x:row r="196">
      <x:c r="A196" s="390"/>
      <x:c r="B196" s="390"/>
      <x:c r="C196" s="390"/>
      <x:c r="D196" s="390"/>
      <x:c r="E196" s="390"/>
      <x:c r="F196" s="390"/>
      <x:c r="G196" s="390"/>
    </x:row>
    <x:row r="197">
      <x:c r="A197" s="390"/>
      <x:c r="B197" s="390"/>
      <x:c r="C197" s="390"/>
      <x:c r="D197" s="390"/>
      <x:c r="E197" s="390"/>
      <x:c r="F197" s="390"/>
      <x:c r="G197" s="390"/>
    </x:row>
    <x:row r="198">
      <x:c r="A198" s="390"/>
      <x:c r="B198" s="390"/>
      <x:c r="C198" s="390"/>
      <x:c r="D198" s="390"/>
      <x:c r="E198" s="390"/>
      <x:c r="F198" s="390"/>
      <x:c r="G198" s="390"/>
    </x:row>
    <x:row r="199">
      <x:c r="A199" s="390"/>
      <x:c r="B199" s="390"/>
      <x:c r="C199" s="390"/>
      <x:c r="D199" s="390"/>
      <x:c r="E199" s="390"/>
      <x:c r="F199" s="390"/>
      <x:c r="G199" s="390"/>
    </x:row>
    <x:row r="200">
      <x:c r="A200" s="390"/>
      <x:c r="B200" s="390"/>
      <x:c r="C200" s="390"/>
      <x:c r="D200" s="390"/>
      <x:c r="E200" s="390"/>
      <x:c r="F200" s="390"/>
      <x:c r="G200" s="390"/>
    </x:row>
    <x:row r="201">
      <x:c r="A201" s="390"/>
      <x:c r="B201" s="390"/>
      <x:c r="C201" s="390"/>
      <x:c r="D201" s="390"/>
      <x:c r="E201" s="390"/>
      <x:c r="F201" s="390"/>
      <x:c r="G201" s="390"/>
    </x:row>
    <x:row r="202">
      <x:c r="A202" s="390"/>
      <x:c r="B202" s="390"/>
      <x:c r="C202" s="390"/>
      <x:c r="D202" s="390"/>
      <x:c r="E202" s="390"/>
      <x:c r="F202" s="390"/>
      <x:c r="G202" s="390"/>
    </x:row>
    <x:row r="203">
      <x:c r="A203" s="390"/>
      <x:c r="B203" s="390"/>
      <x:c r="C203" s="390"/>
      <x:c r="D203" s="390"/>
      <x:c r="E203" s="390"/>
      <x:c r="F203" s="390"/>
      <x:c r="G203" s="390"/>
    </x:row>
    <x:row r="204">
      <x:c r="A204" s="390"/>
      <x:c r="B204" s="390"/>
      <x:c r="C204" s="390"/>
      <x:c r="D204" s="390"/>
      <x:c r="E204" s="390"/>
      <x:c r="F204" s="390"/>
      <x:c r="G204" s="390"/>
    </x:row>
    <x:row r="205">
      <x:c r="A205" s="390"/>
      <x:c r="B205" s="390"/>
      <x:c r="C205" s="390"/>
      <x:c r="D205" s="390"/>
      <x:c r="E205" s="390"/>
      <x:c r="F205" s="390"/>
      <x:c r="G205" s="390"/>
    </x:row>
    <x:row r="206">
      <x:c r="A206" s="390"/>
      <x:c r="B206" s="390"/>
      <x:c r="C206" s="390"/>
      <x:c r="D206" s="390"/>
      <x:c r="E206" s="390"/>
      <x:c r="F206" s="390"/>
      <x:c r="G206" s="390"/>
    </x:row>
    <x:row r="207">
      <x:c r="A207" s="390"/>
      <x:c r="B207" s="390"/>
      <x:c r="C207" s="390"/>
      <x:c r="D207" s="390"/>
      <x:c r="E207" s="390"/>
      <x:c r="F207" s="390"/>
      <x:c r="G207" s="390"/>
    </x:row>
    <x:row r="208">
      <x:c r="A208" s="390"/>
      <x:c r="B208" s="390"/>
      <x:c r="C208" s="390"/>
      <x:c r="D208" s="390"/>
      <x:c r="E208" s="390"/>
      <x:c r="F208" s="390"/>
      <x:c r="G208" s="390"/>
    </x:row>
    <x:row r="209">
      <x:c r="A209" s="390"/>
      <x:c r="B209" s="390"/>
      <x:c r="C209" s="390"/>
      <x:c r="D209" s="390"/>
      <x:c r="E209" s="390"/>
      <x:c r="F209" s="390"/>
      <x:c r="G209" s="390"/>
    </x:row>
    <x:row r="210">
      <x:c r="A210" s="390"/>
      <x:c r="B210" s="390"/>
      <x:c r="C210" s="390"/>
      <x:c r="D210" s="390"/>
      <x:c r="E210" s="390"/>
      <x:c r="F210" s="390"/>
      <x:c r="G210" s="390"/>
    </x:row>
    <x:row r="211">
      <x:c r="A211" s="390"/>
      <x:c r="B211" s="390"/>
      <x:c r="C211" s="390"/>
      <x:c r="D211" s="390"/>
      <x:c r="E211" s="390"/>
      <x:c r="F211" s="390"/>
      <x:c r="G211" s="390"/>
    </x:row>
    <x:row r="212">
      <x:c r="A212" s="390"/>
      <x:c r="B212" s="390"/>
      <x:c r="C212" s="390"/>
      <x:c r="D212" s="390"/>
      <x:c r="E212" s="390"/>
      <x:c r="F212" s="390"/>
      <x:c r="G212" s="390"/>
    </x:row>
    <x:row r="213">
      <x:c r="A213" s="390"/>
      <x:c r="B213" s="390"/>
      <x:c r="C213" s="390"/>
      <x:c r="D213" s="390"/>
      <x:c r="E213" s="390"/>
      <x:c r="F213" s="390"/>
      <x:c r="G213" s="390"/>
    </x:row>
    <x:row r="214">
      <x:c r="A214" s="390"/>
      <x:c r="B214" s="390"/>
      <x:c r="C214" s="390"/>
      <x:c r="D214" s="390"/>
      <x:c r="E214" s="390"/>
      <x:c r="F214" s="390"/>
      <x:c r="G214" s="390"/>
    </x:row>
    <x:row r="215">
      <x:c r="A215" s="390"/>
      <x:c r="B215" s="390"/>
      <x:c r="C215" s="390"/>
      <x:c r="D215" s="390"/>
      <x:c r="E215" s="390"/>
      <x:c r="F215" s="390"/>
      <x:c r="G215" s="390"/>
    </x:row>
    <x:row r="216">
      <x:c r="A216" s="390"/>
      <x:c r="B216" s="390"/>
      <x:c r="C216" s="390"/>
      <x:c r="D216" s="390"/>
      <x:c r="E216" s="390"/>
      <x:c r="F216" s="390"/>
      <x:c r="G216" s="390"/>
    </x:row>
    <x:row r="217">
      <x:c r="A217" s="390"/>
      <x:c r="B217" s="390"/>
      <x:c r="C217" s="390"/>
      <x:c r="D217" s="390"/>
      <x:c r="E217" s="390"/>
      <x:c r="F217" s="390"/>
      <x:c r="G217" s="390"/>
    </x:row>
    <x:row r="218">
      <x:c r="A218" s="390"/>
      <x:c r="B218" s="390"/>
      <x:c r="C218" s="390"/>
      <x:c r="D218" s="390"/>
      <x:c r="E218" s="390"/>
      <x:c r="F218" s="390"/>
      <x:c r="G218" s="390"/>
    </x:row>
    <x:row r="219">
      <x:c r="A219" s="390"/>
      <x:c r="B219" s="390"/>
      <x:c r="C219" s="390"/>
      <x:c r="D219" s="390"/>
      <x:c r="E219" s="390"/>
      <x:c r="F219" s="390"/>
      <x:c r="G219" s="390"/>
    </x:row>
    <x:row r="220">
      <x:c r="A220" s="390"/>
      <x:c r="B220" s="390"/>
      <x:c r="C220" s="390"/>
      <x:c r="D220" s="390"/>
      <x:c r="E220" s="390"/>
      <x:c r="F220" s="390"/>
      <x:c r="G220" s="390"/>
    </x:row>
  </x:sheetData>
  <x:mergeCells>
    <x:mergeCell ref="A3:G3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42" hidden="0" customWidth="1"/>
    <x:col min="5" max="5" width="22" hidden="0" customWidth="1"/>
    <x:col min="6" max="6" width="20" hidden="0" customWidth="1"/>
  </x:cols>
  <x:sheetData>
    <x:row r="1">
      <x:c r="A1" s="393" t="str">
        <x:v>🔌 App Routes + Loading Strategy</x:v>
      </x:c>
      <x:c r="B1" s="393"/>
      <x:c r="C1" s="393"/>
      <x:c r="D1" s="393"/>
      <x:c r="E1" s="393"/>
      <x:c r="F1" s="393"/>
    </x:row>
    <x:row r="2">
      <x:c r="A2" s="393"/>
      <x:c r="B2" s="393"/>
      <x:c r="C2" s="393"/>
      <x:c r="D2" s="393"/>
      <x:c r="E2" s="393"/>
      <x:c r="F2" s="393"/>
    </x:row>
    <x:row r="3">
      <x:c r="A3" s="394" t="str">
        <x:v>This connects the app screens to the Sheets data. It also defines what should load immediately vs lazily.</x:v>
      </x:c>
      <x:c r="B3" s="394"/>
      <x:c r="C3" s="394"/>
      <x:c r="D3" s="394"/>
      <x:c r="E3" s="394"/>
      <x:c r="F3" s="394"/>
    </x:row>
    <x:row r="4">
      <x:c r="A4" s="390"/>
      <x:c r="B4" s="390"/>
      <x:c r="C4" s="390"/>
      <x:c r="D4" s="390"/>
      <x:c r="E4" s="390"/>
      <x:c r="F4" s="390"/>
    </x:row>
    <x:row r="5">
      <x:c r="A5" s="397" t="str">
        <x:v>Route</x:v>
      </x:c>
      <x:c r="B5" s="397" t="str">
        <x:v>Screen</x:v>
      </x:c>
      <x:c r="C5" s="397" t="str">
        <x:v>Purpose</x:v>
      </x:c>
      <x:c r="D5" s="397" t="str">
        <x:v>Data Needed</x:v>
      </x:c>
      <x:c r="E5" s="397" t="str">
        <x:v>Loading Strategy</x:v>
      </x:c>
      <x:c r="F5" s="397" t="str">
        <x:v>Audience</x:v>
      </x:c>
    </x:row>
    <x:row r="6">
      <x:c r="A6" s="398" t="str">
        <x:v>home</x:v>
      </x:c>
      <x:c r="B6" s="398" t="str">
        <x:v>Home dashboard</x:v>
      </x:c>
      <x:c r="C6" s="398" t="str">
        <x:v>Core + countdown + weather + reservations</x:v>
      </x:c>
      <x:c r="D6" s="398" t="str">
        <x:v>Core, countdown, reservations</x:v>
      </x:c>
      <x:c r="E6" s="398" t="str">
        <x:v>Startup + lazy</x:v>
      </x:c>
      <x:c r="F6" s="398" t="str">
        <x:v>Family</x:v>
      </x:c>
    </x:row>
    <x:row r="7">
      <x:c r="A7" s="398" t="str">
        <x:v>today</x:v>
      </x:c>
      <x:c r="B7" s="398" t="str">
        <x:v>Daily plan</x:v>
      </x:c>
      <x:c r="C7" s="398" t="str">
        <x:v>Selected day and timeline</x:v>
      </x:c>
      <x:c r="D7" s="398" t="str">
        <x:v>Core, weather</x:v>
      </x:c>
      <x:c r="E7" s="398" t="str">
        <x:v>Startup</x:v>
      </x:c>
      <x:c r="F7" s="398" t="str">
        <x:v>Everyone</x:v>
      </x:c>
    </x:row>
    <x:row r="8">
      <x:c r="A8" s="398" t="str">
        <x:v>hilda</x:v>
      </x:c>
      <x:c r="B8" s="398" t="str">
        <x:v>Relax mode</x:v>
      </x:c>
      <x:c r="C8" s="398" t="str">
        <x:v>Simple schedule, hotel, help, bathroom</x:v>
      </x:c>
      <x:c r="D8" s="398" t="str">
        <x:v>Core, lost, emergency, bathroom</x:v>
      </x:c>
      <x:c r="E8" s="398" t="str">
        <x:v>Startup + prefetch</x:v>
      </x:c>
      <x:c r="F8" s="398" t="str">
        <x:v>Hilda</x:v>
      </x:c>
    </x:row>
    <x:row r="9">
      <x:c r="A9" s="398" t="str">
        <x:v>nick</x:v>
      </x:c>
      <x:c r="B9" s="398" t="str">
        <x:v>First-time fun mode</x:v>
      </x:c>
      <x:c r="C9" s="398" t="str">
        <x:v>Food, shopping, transit, phrases</x:v>
      </x:c>
      <x:c r="D9" s="398" t="str">
        <x:v>Core, restaurants, shopping, transit</x:v>
      </x:c>
      <x:c r="E9" s="398" t="str">
        <x:v>Lazy</x:v>
      </x:c>
      <x:c r="F9" s="398" t="str">
        <x:v>Nick</x:v>
      </x:c>
    </x:row>
    <x:row r="10">
      <x:c r="A10" s="398" t="str">
        <x:v>dn</x:v>
      </x:c>
      <x:c r="B10" s="398" t="str">
        <x:v>Planning dashboard</x:v>
      </x:c>
      <x:c r="C10" s="398" t="str">
        <x:v>Reservations, budget, packing, alerts</x:v>
      </x:c>
      <x:c r="D10" s="398" t="str">
        <x:v>reservations, budget, packing, smartAlerts</x:v>
      </x:c>
      <x:c r="E10" s="398" t="str">
        <x:v>Lazy</x:v>
      </x:c>
      <x:c r="F10" s="398" t="str">
        <x:v>David + Noelle</x:v>
      </x:c>
    </x:row>
    <x:row r="11">
      <x:c r="A11" s="398" t="str">
        <x:v>search</x:v>
      </x:c>
      <x:c r="B11" s="398" t="str">
        <x:v>Global search</x:v>
      </x:c>
      <x:c r="C11" s="398" t="str">
        <x:v>Search across trip and reference data</x:v>
      </x:c>
      <x:c r="D11" s="398" t="str">
        <x:v>restaurants, maps, phrases, reservations</x:v>
      </x:c>
      <x:c r="E11" s="398" t="str">
        <x:v>Lazy</x:v>
      </x:c>
      <x:c r="F11" s="398" t="str">
        <x:v>Everyone</x:v>
      </x:c>
    </x:row>
    <x:row r="12">
      <x:c r="A12" s="398" t="str">
        <x:v>sos</x:v>
      </x:c>
      <x:c r="B12" s="398" t="str">
        <x:v>Emergency</x:v>
      </x:c>
      <x:c r="C12" s="398" t="str">
        <x:v>Emergency cards</x:v>
      </x:c>
      <x:c r="D12" s="398" t="str">
        <x:v>emergency, lost</x:v>
      </x:c>
      <x:c r="E12" s="398" t="str">
        <x:v>Prefetch</x:v>
      </x:c>
      <x:c r="F12" s="398" t="str">
        <x:v>Everyone</x:v>
      </x:c>
    </x:row>
    <x:row r="13">
      <x:c r="A13" s="398" t="str">
        <x:v>lost</x:v>
      </x:c>
      <x:c r="B13" s="398" t="str">
        <x:v>Lost mode</x:v>
      </x:c>
      <x:c r="C13" s="398" t="str">
        <x:v>Separated/lost flow</x:v>
      </x:c>
      <x:c r="D13" s="398" t="str">
        <x:v>lost, hotels</x:v>
      </x:c>
      <x:c r="E13" s="398" t="str">
        <x:v>Prefetch</x:v>
      </x:c>
      <x:c r="F13" s="398" t="str">
        <x:v>Everyone</x:v>
      </x:c>
    </x:row>
    <x:row r="14">
      <x:c r="A14" s="398" t="str">
        <x:v>suica</x:v>
      </x:c>
      <x:c r="B14" s="398" t="str">
        <x:v>Suica hub</x:v>
      </x:c>
      <x:c r="C14" s="398" t="str">
        <x:v>Transit around Suica</x:v>
      </x:c>
      <x:c r="D14" s="398" t="str">
        <x:v>transitCards, money</x:v>
      </x:c>
      <x:c r="E14" s="398" t="str">
        <x:v>Lazy</x:v>
      </x:c>
      <x:c r="F14" s="398" t="str">
        <x:v>Everyone</x:v>
      </x:c>
    </x:row>
    <x:row r="15">
      <x:c r="A15" s="398" t="str">
        <x:v>explore</x:v>
      </x:c>
      <x:c r="B15" s="398" t="str">
        <x:v>City hubs</x:v>
      </x:c>
      <x:c r="C15" s="398" t="str">
        <x:v>Tokyo/Kyoto/Hakone/Nara</x:v>
      </x:c>
      <x:c r="D15" s="398" t="str">
        <x:v>guides, maps, restaurants</x:v>
      </x:c>
      <x:c r="E15" s="398" t="str">
        <x:v>Lazy</x:v>
      </x:c>
      <x:c r="F15" s="398" t="str">
        <x:v>Everyone</x:v>
      </x:c>
    </x:row>
    <x:row r="16">
      <x:c r="A16" s="398" t="str">
        <x:v>journal</x:v>
      </x:c>
      <x:c r="B16" s="398" t="str">
        <x:v>Memory log</x:v>
      </x:c>
      <x:c r="C16" s="398" t="str">
        <x:v>Daily memories</x:v>
      </x:c>
      <x:c r="D16" s="398" t="str">
        <x:v>journal</x:v>
      </x:c>
      <x:c r="E16" s="398" t="str">
        <x:v>Lazy/local later</x:v>
      </x:c>
      <x:c r="F16" s="398" t="str">
        <x:v>Everyone</x:v>
      </x:c>
    </x:row>
    <x:row r="17">
      <x:c r="A17" s="398" t="str">
        <x:v>currency</x:v>
      </x:c>
      <x:c r="B17" s="398" t="str">
        <x:v>Yen calculator</x:v>
      </x:c>
      <x:c r="C17" s="398" t="str">
        <x:v>Offline calculator and money notes</x:v>
      </x:c>
      <x:c r="D17" s="398" t="str">
        <x:v>money, budget</x:v>
      </x:c>
      <x:c r="E17" s="398" t="str">
        <x:v>Lazy</x:v>
      </x:c>
      <x:c r="F17" s="398" t="str">
        <x:v>Everyone</x:v>
      </x:c>
    </x:row>
    <x:row r="18">
      <x:c r="A18" s="424" t="str">
        <x:v>suica</x:v>
      </x:c>
      <x:c r="B18" s="424" t="str">
        <x:v>Apple Wallet Suica hub</x:v>
      </x:c>
      <x:c r="C18" s="424" t="str">
        <x:v>Transit around Apple Wallet Suica</x:v>
      </x:c>
      <x:c r="D18" s="424" t="str">
        <x:v>Apple Wallet Suica, transitCards, money</x:v>
      </x:c>
      <x:c r="E18" s="424" t="str">
        <x:v>Lazy</x:v>
      </x:c>
      <x:c r="F18" s="424" t="str">
        <x:v>Everyone</x:v>
      </x:c>
    </x:row>
    <x:row r="19">
      <x:c r="A19" s="436" t="str">
        <x:v>beforeTrip</x:v>
      </x:c>
      <x:c r="B19" s="436" t="str">
        <x:v>Before Trip mode</x:v>
      </x:c>
      <x:c r="C19" s="436" t="str">
        <x:v>Prep dashboard before departure</x:v>
      </x:c>
      <x:c r="D19" s="436" t="str">
        <x:v>pretrip, packing, reservations, flights, hotels, suica</x:v>
      </x:c>
      <x:c r="E19" s="436" t="str">
        <x:v>Lazy / context</x:v>
      </x:c>
      <x:c r="F19" s="436" t="str">
        <x:v>Family</x:v>
      </x:c>
    </x:row>
    <x:row r="20">
      <x:c r="A20" s="436" t="str">
        <x:v>airport</x:v>
      </x:c>
      <x:c r="B20" s="436" t="str">
        <x:v>Airport Mode</x:v>
      </x:c>
      <x:c r="C20" s="436" t="str">
        <x:v>Departure/arrival flow</x:v>
      </x:c>
      <x:c r="D20" s="436" t="str">
        <x:v>flights, hotels, transitCards, phrases, emergency</x:v>
      </x:c>
      <x:c r="E20" s="436" t="str">
        <x:v>Lazy / context</x:v>
      </x:c>
      <x:c r="F20" s="436" t="str">
        <x:v>Family</x:v>
      </x:c>
    </x:row>
    <x:row r="21">
      <x:c r="A21" s="436" t="str">
        <x:v>transitMode</x:v>
      </x:c>
      <x:c r="B21" s="436" t="str">
        <x:v>Transit Mode</x:v>
      </x:c>
      <x:c r="C21" s="436" t="str">
        <x:v>One-handed train/transfer screen</x:v>
      </x:c>
      <x:c r="D21" s="436" t="str">
        <x:v>transitCards, maps, hotels, money</x:v>
      </x:c>
      <x:c r="E21" s="436" t="str">
        <x:v>Lazy / context</x:v>
      </x:c>
      <x:c r="F21" s="436" t="str">
        <x:v>Family</x:v>
      </x:c>
    </x:row>
    <x:row r="22">
      <x:c r="A22" s="436" t="str">
        <x:v>evening</x:v>
      </x:c>
      <x:c r="B22" s="436" t="str">
        <x:v>Evening Mode</x:v>
      </x:c>
      <x:c r="C22" s="436" t="str">
        <x:v>Tomorrow prep + journal</x:v>
      </x:c>
      <x:c r="D22" s="436" t="str">
        <x:v>journal, packing, reservations, weather</x:v>
      </x:c>
      <x:c r="E22" s="436" t="str">
        <x:v>Lazy / context</x:v>
      </x:c>
      <x:c r="F22" s="436" t="str">
        <x:v>Family</x:v>
      </x:c>
    </x:row>
    <x:row r="23">
      <x:c r="A23" s="436" t="str">
        <x:v>admin</x:v>
      </x:c>
      <x:c r="B23" s="436" t="str">
        <x:v>Admin Layer</x:v>
      </x:c>
      <x:c r="C23" s="436" t="str">
        <x:v>Future editing forms</x:v>
      </x:c>
      <x:c r="D23" s="436" t="str">
        <x:v>appConfig, smartAlerts, form definitions</x:v>
      </x:c>
      <x:c r="E23" s="436" t="str">
        <x:v>Future</x:v>
      </x:c>
      <x:c r="F23" s="436" t="str">
        <x:v>David</x:v>
      </x:c>
    </x:row>
    <x:row r="24">
      <x:c r="A24" s="390"/>
      <x:c r="B24" s="390"/>
      <x:c r="C24" s="390"/>
      <x:c r="D24" s="390"/>
      <x:c r="E24" s="390"/>
      <x:c r="F24" s="390"/>
    </x:row>
    <x:row r="25">
      <x:c r="A25" s="390"/>
      <x:c r="B25" s="390"/>
      <x:c r="C25" s="390"/>
      <x:c r="D25" s="390"/>
      <x:c r="E25" s="390"/>
      <x:c r="F25" s="390"/>
    </x:row>
    <x:row r="26">
      <x:c r="A26" s="390"/>
      <x:c r="B26" s="390"/>
      <x:c r="C26" s="390"/>
      <x:c r="D26" s="390"/>
      <x:c r="E26" s="390"/>
      <x:c r="F26" s="390"/>
    </x:row>
    <x:row r="27">
      <x:c r="A27" s="390"/>
      <x:c r="B27" s="390"/>
      <x:c r="C27" s="390"/>
      <x:c r="D27" s="390"/>
      <x:c r="E27" s="390"/>
      <x:c r="F27" s="390"/>
    </x:row>
    <x:row r="28">
      <x:c r="A28" s="390"/>
      <x:c r="B28" s="390"/>
      <x:c r="C28" s="390"/>
      <x:c r="D28" s="390"/>
      <x:c r="E28" s="390"/>
      <x:c r="F28" s="390"/>
    </x:row>
    <x:row r="29">
      <x:c r="A29" s="390"/>
      <x:c r="B29" s="390"/>
      <x:c r="C29" s="390"/>
      <x:c r="D29" s="390"/>
      <x:c r="E29" s="390"/>
      <x:c r="F29" s="390"/>
    </x:row>
    <x:row r="30">
      <x:c r="A30" s="390"/>
      <x:c r="B30" s="390"/>
      <x:c r="C30" s="390"/>
      <x:c r="D30" s="390"/>
      <x:c r="E30" s="390"/>
      <x:c r="F30" s="390"/>
    </x:row>
    <x:row r="31">
      <x:c r="A31" s="390"/>
      <x:c r="B31" s="390"/>
      <x:c r="C31" s="390"/>
      <x:c r="D31" s="390"/>
      <x:c r="E31" s="390"/>
      <x:c r="F31" s="390"/>
    </x:row>
    <x:row r="32">
      <x:c r="A32" s="390"/>
      <x:c r="B32" s="390"/>
      <x:c r="C32" s="390"/>
      <x:c r="D32" s="390"/>
      <x:c r="E32" s="390"/>
      <x:c r="F32" s="390"/>
    </x:row>
    <x:row r="33">
      <x:c r="A33" s="390"/>
      <x:c r="B33" s="390"/>
      <x:c r="C33" s="390"/>
      <x:c r="D33" s="390"/>
      <x:c r="E33" s="390"/>
      <x:c r="F33" s="390"/>
    </x:row>
    <x:row r="34">
      <x:c r="A34" s="390"/>
      <x:c r="B34" s="390"/>
      <x:c r="C34" s="390"/>
      <x:c r="D34" s="390"/>
      <x:c r="E34" s="390"/>
      <x:c r="F34" s="390"/>
    </x:row>
    <x:row r="35">
      <x:c r="A35" s="390"/>
      <x:c r="B35" s="390"/>
      <x:c r="C35" s="390"/>
      <x:c r="D35" s="390"/>
      <x:c r="E35" s="390"/>
      <x:c r="F35" s="390"/>
    </x:row>
    <x:row r="36">
      <x:c r="A36" s="390"/>
      <x:c r="B36" s="390"/>
      <x:c r="C36" s="390"/>
      <x:c r="D36" s="390"/>
      <x:c r="E36" s="390"/>
      <x:c r="F36" s="390"/>
    </x:row>
    <x:row r="37">
      <x:c r="A37" s="390"/>
      <x:c r="B37" s="390"/>
      <x:c r="C37" s="390"/>
      <x:c r="D37" s="390"/>
      <x:c r="E37" s="390"/>
      <x:c r="F37" s="390"/>
    </x:row>
    <x:row r="38">
      <x:c r="A38" s="390"/>
      <x:c r="B38" s="390"/>
      <x:c r="C38" s="390"/>
      <x:c r="D38" s="390"/>
      <x:c r="E38" s="390"/>
      <x:c r="F38" s="390"/>
    </x:row>
    <x:row r="39">
      <x:c r="A39" s="390"/>
      <x:c r="B39" s="390"/>
      <x:c r="C39" s="390"/>
      <x:c r="D39" s="390"/>
      <x:c r="E39" s="390"/>
      <x:c r="F39" s="390"/>
    </x:row>
    <x:row r="40">
      <x:c r="A40" s="390"/>
      <x:c r="B40" s="390"/>
      <x:c r="C40" s="390"/>
      <x:c r="D40" s="390"/>
      <x:c r="E40" s="390"/>
      <x:c r="F40" s="390"/>
    </x:row>
    <x:row r="41">
      <x:c r="A41" s="390"/>
      <x:c r="B41" s="390"/>
      <x:c r="C41" s="390"/>
      <x:c r="D41" s="390"/>
      <x:c r="E41" s="390"/>
      <x:c r="F41" s="390"/>
    </x:row>
    <x:row r="42">
      <x:c r="A42" s="390"/>
      <x:c r="B42" s="390"/>
      <x:c r="C42" s="390"/>
      <x:c r="D42" s="390"/>
      <x:c r="E42" s="390"/>
      <x:c r="F42" s="390"/>
    </x:row>
    <x:row r="43">
      <x:c r="A43" s="390"/>
      <x:c r="B43" s="390"/>
      <x:c r="C43" s="390"/>
      <x:c r="D43" s="390"/>
      <x:c r="E43" s="390"/>
      <x:c r="F43" s="390"/>
    </x:row>
    <x:row r="44">
      <x:c r="A44" s="390"/>
      <x:c r="B44" s="390"/>
      <x:c r="C44" s="390"/>
      <x:c r="D44" s="390"/>
      <x:c r="E44" s="390"/>
      <x:c r="F44" s="390"/>
    </x:row>
    <x:row r="45">
      <x:c r="A45" s="390"/>
      <x:c r="B45" s="390"/>
      <x:c r="C45" s="390"/>
      <x:c r="D45" s="390"/>
      <x:c r="E45" s="390"/>
      <x:c r="F45" s="390"/>
    </x:row>
    <x:row r="46">
      <x:c r="A46" s="390"/>
      <x:c r="B46" s="390"/>
      <x:c r="C46" s="390"/>
      <x:c r="D46" s="390"/>
      <x:c r="E46" s="390"/>
      <x:c r="F46" s="390"/>
    </x:row>
    <x:row r="47">
      <x:c r="A47" s="390"/>
      <x:c r="B47" s="390"/>
      <x:c r="C47" s="390"/>
      <x:c r="D47" s="390"/>
      <x:c r="E47" s="390"/>
      <x:c r="F47" s="390"/>
    </x:row>
    <x:row r="48">
      <x:c r="A48" s="390"/>
      <x:c r="B48" s="390"/>
      <x:c r="C48" s="390"/>
      <x:c r="D48" s="390"/>
      <x:c r="E48" s="390"/>
      <x:c r="F48" s="390"/>
    </x:row>
    <x:row r="49">
      <x:c r="A49" s="390"/>
      <x:c r="B49" s="390"/>
      <x:c r="C49" s="390"/>
      <x:c r="D49" s="390"/>
      <x:c r="E49" s="390"/>
      <x:c r="F49" s="390"/>
    </x:row>
    <x:row r="50">
      <x:c r="A50" s="390"/>
      <x:c r="B50" s="390"/>
      <x:c r="C50" s="390"/>
      <x:c r="D50" s="390"/>
      <x:c r="E50" s="390"/>
      <x:c r="F50" s="390"/>
    </x:row>
    <x:row r="51">
      <x:c r="A51" s="390"/>
      <x:c r="B51" s="390"/>
      <x:c r="C51" s="390"/>
      <x:c r="D51" s="390"/>
      <x:c r="E51" s="390"/>
      <x:c r="F51" s="390"/>
    </x:row>
    <x:row r="52">
      <x:c r="A52" s="390"/>
      <x:c r="B52" s="390"/>
      <x:c r="C52" s="390"/>
      <x:c r="D52" s="390"/>
      <x:c r="E52" s="390"/>
      <x:c r="F52" s="390"/>
    </x:row>
    <x:row r="53">
      <x:c r="A53" s="390"/>
      <x:c r="B53" s="390"/>
      <x:c r="C53" s="390"/>
      <x:c r="D53" s="390"/>
      <x:c r="E53" s="390"/>
      <x:c r="F53" s="390"/>
    </x:row>
    <x:row r="54">
      <x:c r="A54" s="390"/>
      <x:c r="B54" s="390"/>
      <x:c r="C54" s="390"/>
      <x:c r="D54" s="390"/>
      <x:c r="E54" s="390"/>
      <x:c r="F54" s="390"/>
    </x:row>
    <x:row r="55">
      <x:c r="A55" s="390"/>
      <x:c r="B55" s="390"/>
      <x:c r="C55" s="390"/>
      <x:c r="D55" s="390"/>
      <x:c r="E55" s="390"/>
      <x:c r="F55" s="390"/>
    </x:row>
    <x:row r="56">
      <x:c r="A56" s="390"/>
      <x:c r="B56" s="390"/>
      <x:c r="C56" s="390"/>
      <x:c r="D56" s="390"/>
      <x:c r="E56" s="390"/>
      <x:c r="F56" s="390"/>
    </x:row>
    <x:row r="57">
      <x:c r="A57" s="390"/>
      <x:c r="B57" s="390"/>
      <x:c r="C57" s="390"/>
      <x:c r="D57" s="390"/>
      <x:c r="E57" s="390"/>
      <x:c r="F57" s="390"/>
    </x:row>
    <x:row r="58">
      <x:c r="A58" s="390"/>
      <x:c r="B58" s="390"/>
      <x:c r="C58" s="390"/>
      <x:c r="D58" s="390"/>
      <x:c r="E58" s="390"/>
      <x:c r="F58" s="390"/>
    </x:row>
    <x:row r="59">
      <x:c r="A59" s="390"/>
      <x:c r="B59" s="390"/>
      <x:c r="C59" s="390"/>
      <x:c r="D59" s="390"/>
      <x:c r="E59" s="390"/>
      <x:c r="F59" s="390"/>
    </x:row>
    <x:row r="60">
      <x:c r="A60" s="390"/>
      <x:c r="B60" s="390"/>
      <x:c r="C60" s="390"/>
      <x:c r="D60" s="390"/>
      <x:c r="E60" s="390"/>
      <x:c r="F60" s="390"/>
    </x:row>
    <x:row r="61">
      <x:c r="A61" s="390"/>
      <x:c r="B61" s="390"/>
      <x:c r="C61" s="390"/>
      <x:c r="D61" s="390"/>
      <x:c r="E61" s="390"/>
      <x:c r="F61" s="390"/>
    </x:row>
    <x:row r="62">
      <x:c r="A62" s="390"/>
      <x:c r="B62" s="390"/>
      <x:c r="C62" s="390"/>
      <x:c r="D62" s="390"/>
      <x:c r="E62" s="390"/>
      <x:c r="F62" s="390"/>
    </x:row>
    <x:row r="63">
      <x:c r="A63" s="390"/>
      <x:c r="B63" s="390"/>
      <x:c r="C63" s="390"/>
      <x:c r="D63" s="390"/>
      <x:c r="E63" s="390"/>
      <x:c r="F63" s="390"/>
    </x:row>
    <x:row r="64">
      <x:c r="A64" s="390"/>
      <x:c r="B64" s="390"/>
      <x:c r="C64" s="390"/>
      <x:c r="D64" s="390"/>
      <x:c r="E64" s="390"/>
      <x:c r="F64" s="390"/>
    </x:row>
    <x:row r="65">
      <x:c r="A65" s="390"/>
      <x:c r="B65" s="390"/>
      <x:c r="C65" s="390"/>
      <x:c r="D65" s="390"/>
      <x:c r="E65" s="390"/>
      <x:c r="F65" s="390"/>
    </x:row>
    <x:row r="66">
      <x:c r="A66" s="390"/>
      <x:c r="B66" s="390"/>
      <x:c r="C66" s="390"/>
      <x:c r="D66" s="390"/>
      <x:c r="E66" s="390"/>
      <x:c r="F66" s="390"/>
    </x:row>
    <x:row r="67">
      <x:c r="A67" s="390"/>
      <x:c r="B67" s="390"/>
      <x:c r="C67" s="390"/>
      <x:c r="D67" s="390"/>
      <x:c r="E67" s="390"/>
      <x:c r="F67" s="390"/>
    </x:row>
    <x:row r="68">
      <x:c r="A68" s="390"/>
      <x:c r="B68" s="390"/>
      <x:c r="C68" s="390"/>
      <x:c r="D68" s="390"/>
      <x:c r="E68" s="390"/>
      <x:c r="F68" s="390"/>
    </x:row>
    <x:row r="69">
      <x:c r="A69" s="390"/>
      <x:c r="B69" s="390"/>
      <x:c r="C69" s="390"/>
      <x:c r="D69" s="390"/>
      <x:c r="E69" s="390"/>
      <x:c r="F69" s="390"/>
    </x:row>
    <x:row r="70">
      <x:c r="A70" s="390"/>
      <x:c r="B70" s="390"/>
      <x:c r="C70" s="390"/>
      <x:c r="D70" s="390"/>
      <x:c r="E70" s="390"/>
      <x:c r="F70" s="390"/>
    </x:row>
    <x:row r="71">
      <x:c r="A71" s="390"/>
      <x:c r="B71" s="390"/>
      <x:c r="C71" s="390"/>
      <x:c r="D71" s="390"/>
      <x:c r="E71" s="390"/>
      <x:c r="F71" s="390"/>
    </x:row>
    <x:row r="72">
      <x:c r="A72" s="390"/>
      <x:c r="B72" s="390"/>
      <x:c r="C72" s="390"/>
      <x:c r="D72" s="390"/>
      <x:c r="E72" s="390"/>
      <x:c r="F72" s="390"/>
    </x:row>
    <x:row r="73">
      <x:c r="A73" s="390"/>
      <x:c r="B73" s="390"/>
      <x:c r="C73" s="390"/>
      <x:c r="D73" s="390"/>
      <x:c r="E73" s="390"/>
      <x:c r="F73" s="390"/>
    </x:row>
    <x:row r="74">
      <x:c r="A74" s="390"/>
      <x:c r="B74" s="390"/>
      <x:c r="C74" s="390"/>
      <x:c r="D74" s="390"/>
      <x:c r="E74" s="390"/>
      <x:c r="F74" s="390"/>
    </x:row>
    <x:row r="75">
      <x:c r="A75" s="390"/>
      <x:c r="B75" s="390"/>
      <x:c r="C75" s="390"/>
      <x:c r="D75" s="390"/>
      <x:c r="E75" s="390"/>
      <x:c r="F75" s="390"/>
    </x:row>
    <x:row r="76">
      <x:c r="A76" s="390"/>
      <x:c r="B76" s="390"/>
      <x:c r="C76" s="390"/>
      <x:c r="D76" s="390"/>
      <x:c r="E76" s="390"/>
      <x:c r="F76" s="390"/>
    </x:row>
    <x:row r="77">
      <x:c r="A77" s="390"/>
      <x:c r="B77" s="390"/>
      <x:c r="C77" s="390"/>
      <x:c r="D77" s="390"/>
      <x:c r="E77" s="390"/>
      <x:c r="F77" s="390"/>
    </x:row>
    <x:row r="78">
      <x:c r="A78" s="390"/>
      <x:c r="B78" s="390"/>
      <x:c r="C78" s="390"/>
      <x:c r="D78" s="390"/>
      <x:c r="E78" s="390"/>
      <x:c r="F78" s="390"/>
    </x:row>
    <x:row r="79">
      <x:c r="A79" s="390"/>
      <x:c r="B79" s="390"/>
      <x:c r="C79" s="390"/>
      <x:c r="D79" s="390"/>
      <x:c r="E79" s="390"/>
      <x:c r="F79" s="390"/>
    </x:row>
    <x:row r="80">
      <x:c r="A80" s="390"/>
      <x:c r="B80" s="390"/>
      <x:c r="C80" s="390"/>
      <x:c r="D80" s="390"/>
      <x:c r="E80" s="390"/>
      <x:c r="F80" s="390"/>
    </x:row>
    <x:row r="81">
      <x:c r="A81" s="390"/>
      <x:c r="B81" s="390"/>
      <x:c r="C81" s="390"/>
      <x:c r="D81" s="390"/>
      <x:c r="E81" s="390"/>
      <x:c r="F81" s="390"/>
    </x:row>
    <x:row r="82">
      <x:c r="A82" s="390"/>
      <x:c r="B82" s="390"/>
      <x:c r="C82" s="390"/>
      <x:c r="D82" s="390"/>
      <x:c r="E82" s="390"/>
      <x:c r="F82" s="390"/>
    </x:row>
    <x:row r="83">
      <x:c r="A83" s="390"/>
      <x:c r="B83" s="390"/>
      <x:c r="C83" s="390"/>
      <x:c r="D83" s="390"/>
      <x:c r="E83" s="390"/>
      <x:c r="F83" s="390"/>
    </x:row>
    <x:row r="84">
      <x:c r="A84" s="390"/>
      <x:c r="B84" s="390"/>
      <x:c r="C84" s="390"/>
      <x:c r="D84" s="390"/>
      <x:c r="E84" s="390"/>
      <x:c r="F84" s="390"/>
    </x:row>
    <x:row r="85">
      <x:c r="A85" s="390"/>
      <x:c r="B85" s="390"/>
      <x:c r="C85" s="390"/>
      <x:c r="D85" s="390"/>
      <x:c r="E85" s="390"/>
      <x:c r="F85" s="390"/>
    </x:row>
    <x:row r="86">
      <x:c r="A86" s="390"/>
      <x:c r="B86" s="390"/>
      <x:c r="C86" s="390"/>
      <x:c r="D86" s="390"/>
      <x:c r="E86" s="390"/>
      <x:c r="F86" s="390"/>
    </x:row>
    <x:row r="87">
      <x:c r="A87" s="390"/>
      <x:c r="B87" s="390"/>
      <x:c r="C87" s="390"/>
      <x:c r="D87" s="390"/>
      <x:c r="E87" s="390"/>
      <x:c r="F87" s="390"/>
    </x:row>
    <x:row r="88">
      <x:c r="A88" s="390"/>
      <x:c r="B88" s="390"/>
      <x:c r="C88" s="390"/>
      <x:c r="D88" s="390"/>
      <x:c r="E88" s="390"/>
      <x:c r="F88" s="390"/>
    </x:row>
    <x:row r="89">
      <x:c r="A89" s="390"/>
      <x:c r="B89" s="390"/>
      <x:c r="C89" s="390"/>
      <x:c r="D89" s="390"/>
      <x:c r="E89" s="390"/>
      <x:c r="F89" s="390"/>
    </x:row>
    <x:row r="90">
      <x:c r="A90" s="390"/>
      <x:c r="B90" s="390"/>
      <x:c r="C90" s="390"/>
      <x:c r="D90" s="390"/>
      <x:c r="E90" s="390"/>
      <x:c r="F90" s="390"/>
    </x:row>
    <x:row r="91">
      <x:c r="A91" s="390"/>
      <x:c r="B91" s="390"/>
      <x:c r="C91" s="390"/>
      <x:c r="D91" s="390"/>
      <x:c r="E91" s="390"/>
      <x:c r="F91" s="390"/>
    </x:row>
    <x:row r="92">
      <x:c r="A92" s="390"/>
      <x:c r="B92" s="390"/>
      <x:c r="C92" s="390"/>
      <x:c r="D92" s="390"/>
      <x:c r="E92" s="390"/>
      <x:c r="F92" s="390"/>
    </x:row>
    <x:row r="93">
      <x:c r="A93" s="390"/>
      <x:c r="B93" s="390"/>
      <x:c r="C93" s="390"/>
      <x:c r="D93" s="390"/>
      <x:c r="E93" s="390"/>
      <x:c r="F93" s="390"/>
    </x:row>
    <x:row r="94">
      <x:c r="A94" s="390"/>
      <x:c r="B94" s="390"/>
      <x:c r="C94" s="390"/>
      <x:c r="D94" s="390"/>
      <x:c r="E94" s="390"/>
      <x:c r="F94" s="390"/>
    </x:row>
    <x:row r="95">
      <x:c r="A95" s="390"/>
      <x:c r="B95" s="390"/>
      <x:c r="C95" s="390"/>
      <x:c r="D95" s="390"/>
      <x:c r="E95" s="390"/>
      <x:c r="F95" s="390"/>
    </x:row>
    <x:row r="96">
      <x:c r="A96" s="390"/>
      <x:c r="B96" s="390"/>
      <x:c r="C96" s="390"/>
      <x:c r="D96" s="390"/>
      <x:c r="E96" s="390"/>
      <x:c r="F96" s="390"/>
    </x:row>
    <x:row r="97">
      <x:c r="A97" s="390"/>
      <x:c r="B97" s="390"/>
      <x:c r="C97" s="390"/>
      <x:c r="D97" s="390"/>
      <x:c r="E97" s="390"/>
      <x:c r="F97" s="390"/>
    </x:row>
    <x:row r="98">
      <x:c r="A98" s="390"/>
      <x:c r="B98" s="390"/>
      <x:c r="C98" s="390"/>
      <x:c r="D98" s="390"/>
      <x:c r="E98" s="390"/>
      <x:c r="F98" s="390"/>
    </x:row>
    <x:row r="99">
      <x:c r="A99" s="390"/>
      <x:c r="B99" s="390"/>
      <x:c r="C99" s="390"/>
      <x:c r="D99" s="390"/>
      <x:c r="E99" s="390"/>
      <x:c r="F99" s="390"/>
    </x:row>
    <x:row r="100">
      <x:c r="A100" s="390"/>
      <x:c r="B100" s="390"/>
      <x:c r="C100" s="390"/>
      <x:c r="D100" s="390"/>
      <x:c r="E100" s="390"/>
      <x:c r="F100" s="390"/>
    </x:row>
    <x:row r="101">
      <x:c r="A101" s="390"/>
      <x:c r="B101" s="390"/>
      <x:c r="C101" s="390"/>
      <x:c r="D101" s="390"/>
      <x:c r="E101" s="390"/>
      <x:c r="F101" s="390"/>
    </x:row>
    <x:row r="102">
      <x:c r="A102" s="390"/>
      <x:c r="B102" s="390"/>
      <x:c r="C102" s="390"/>
      <x:c r="D102" s="390"/>
      <x:c r="E102" s="390"/>
      <x:c r="F102" s="390"/>
    </x:row>
    <x:row r="103">
      <x:c r="A103" s="390"/>
      <x:c r="B103" s="390"/>
      <x:c r="C103" s="390"/>
      <x:c r="D103" s="390"/>
      <x:c r="E103" s="390"/>
      <x:c r="F103" s="390"/>
    </x:row>
    <x:row r="104">
      <x:c r="A104" s="390"/>
      <x:c r="B104" s="390"/>
      <x:c r="C104" s="390"/>
      <x:c r="D104" s="390"/>
      <x:c r="E104" s="390"/>
      <x:c r="F104" s="390"/>
    </x:row>
    <x:row r="105">
      <x:c r="A105" s="390"/>
      <x:c r="B105" s="390"/>
      <x:c r="C105" s="390"/>
      <x:c r="D105" s="390"/>
      <x:c r="E105" s="390"/>
      <x:c r="F105" s="390"/>
    </x:row>
    <x:row r="106">
      <x:c r="A106" s="390"/>
      <x:c r="B106" s="390"/>
      <x:c r="C106" s="390"/>
      <x:c r="D106" s="390"/>
      <x:c r="E106" s="390"/>
      <x:c r="F106" s="390"/>
    </x:row>
    <x:row r="107">
      <x:c r="A107" s="390"/>
      <x:c r="B107" s="390"/>
      <x:c r="C107" s="390"/>
      <x:c r="D107" s="390"/>
      <x:c r="E107" s="390"/>
      <x:c r="F107" s="390"/>
    </x:row>
    <x:row r="108">
      <x:c r="A108" s="390"/>
      <x:c r="B108" s="390"/>
      <x:c r="C108" s="390"/>
      <x:c r="D108" s="390"/>
      <x:c r="E108" s="390"/>
      <x:c r="F108" s="390"/>
    </x:row>
    <x:row r="109">
      <x:c r="A109" s="390"/>
      <x:c r="B109" s="390"/>
      <x:c r="C109" s="390"/>
      <x:c r="D109" s="390"/>
      <x:c r="E109" s="390"/>
      <x:c r="F109" s="390"/>
    </x:row>
    <x:row r="110">
      <x:c r="A110" s="390"/>
      <x:c r="B110" s="390"/>
      <x:c r="C110" s="390"/>
      <x:c r="D110" s="390"/>
      <x:c r="E110" s="390"/>
      <x:c r="F110" s="390"/>
    </x:row>
    <x:row r="111">
      <x:c r="A111" s="390"/>
      <x:c r="B111" s="390"/>
      <x:c r="C111" s="390"/>
      <x:c r="D111" s="390"/>
      <x:c r="E111" s="390"/>
      <x:c r="F111" s="390"/>
    </x:row>
    <x:row r="112">
      <x:c r="A112" s="390"/>
      <x:c r="B112" s="390"/>
      <x:c r="C112" s="390"/>
      <x:c r="D112" s="390"/>
      <x:c r="E112" s="390"/>
      <x:c r="F112" s="390"/>
    </x:row>
    <x:row r="113">
      <x:c r="A113" s="390"/>
      <x:c r="B113" s="390"/>
      <x:c r="C113" s="390"/>
      <x:c r="D113" s="390"/>
      <x:c r="E113" s="390"/>
      <x:c r="F113" s="390"/>
    </x:row>
    <x:row r="114">
      <x:c r="A114" s="390"/>
      <x:c r="B114" s="390"/>
      <x:c r="C114" s="390"/>
      <x:c r="D114" s="390"/>
      <x:c r="E114" s="390"/>
      <x:c r="F114" s="390"/>
    </x:row>
    <x:row r="115">
      <x:c r="A115" s="390"/>
      <x:c r="B115" s="390"/>
      <x:c r="C115" s="390"/>
      <x:c r="D115" s="390"/>
      <x:c r="E115" s="390"/>
      <x:c r="F115" s="390"/>
    </x:row>
    <x:row r="116">
      <x:c r="A116" s="390"/>
      <x:c r="B116" s="390"/>
      <x:c r="C116" s="390"/>
      <x:c r="D116" s="390"/>
      <x:c r="E116" s="390"/>
      <x:c r="F116" s="390"/>
    </x:row>
    <x:row r="117">
      <x:c r="A117" s="390"/>
      <x:c r="B117" s="390"/>
      <x:c r="C117" s="390"/>
      <x:c r="D117" s="390"/>
      <x:c r="E117" s="390"/>
      <x:c r="F117" s="390"/>
    </x:row>
    <x:row r="118">
      <x:c r="A118" s="390"/>
      <x:c r="B118" s="390"/>
      <x:c r="C118" s="390"/>
      <x:c r="D118" s="390"/>
      <x:c r="E118" s="390"/>
      <x:c r="F118" s="390"/>
    </x:row>
    <x:row r="119">
      <x:c r="A119" s="390"/>
      <x:c r="B119" s="390"/>
      <x:c r="C119" s="390"/>
      <x:c r="D119" s="390"/>
      <x:c r="E119" s="390"/>
      <x:c r="F119" s="390"/>
    </x:row>
    <x:row r="120">
      <x:c r="A120" s="390"/>
      <x:c r="B120" s="390"/>
      <x:c r="C120" s="390"/>
      <x:c r="D120" s="390"/>
      <x:c r="E120" s="390"/>
      <x:c r="F120" s="390"/>
    </x:row>
    <x:row r="121">
      <x:c r="A121" s="390"/>
      <x:c r="B121" s="390"/>
      <x:c r="C121" s="390"/>
      <x:c r="D121" s="390"/>
      <x:c r="E121" s="390"/>
      <x:c r="F121" s="390"/>
    </x:row>
    <x:row r="122">
      <x:c r="A122" s="390"/>
      <x:c r="B122" s="390"/>
      <x:c r="C122" s="390"/>
      <x:c r="D122" s="390"/>
      <x:c r="E122" s="390"/>
      <x:c r="F122" s="390"/>
    </x:row>
    <x:row r="123">
      <x:c r="A123" s="390"/>
      <x:c r="B123" s="390"/>
      <x:c r="C123" s="390"/>
      <x:c r="D123" s="390"/>
      <x:c r="E123" s="390"/>
      <x:c r="F123" s="390"/>
    </x:row>
    <x:row r="124">
      <x:c r="A124" s="390"/>
      <x:c r="B124" s="390"/>
      <x:c r="C124" s="390"/>
      <x:c r="D124" s="390"/>
      <x:c r="E124" s="390"/>
      <x:c r="F124" s="390"/>
    </x:row>
    <x:row r="125">
      <x:c r="A125" s="390"/>
      <x:c r="B125" s="390"/>
      <x:c r="C125" s="390"/>
      <x:c r="D125" s="390"/>
      <x:c r="E125" s="390"/>
      <x:c r="F125" s="390"/>
    </x:row>
    <x:row r="126">
      <x:c r="A126" s="390"/>
      <x:c r="B126" s="390"/>
      <x:c r="C126" s="390"/>
      <x:c r="D126" s="390"/>
      <x:c r="E126" s="390"/>
      <x:c r="F126" s="390"/>
    </x:row>
    <x:row r="127">
      <x:c r="A127" s="390"/>
      <x:c r="B127" s="390"/>
      <x:c r="C127" s="390"/>
      <x:c r="D127" s="390"/>
      <x:c r="E127" s="390"/>
      <x:c r="F127" s="390"/>
    </x:row>
    <x:row r="128">
      <x:c r="A128" s="390"/>
      <x:c r="B128" s="390"/>
      <x:c r="C128" s="390"/>
      <x:c r="D128" s="390"/>
      <x:c r="E128" s="390"/>
      <x:c r="F128" s="390"/>
    </x:row>
    <x:row r="129">
      <x:c r="A129" s="390"/>
      <x:c r="B129" s="390"/>
      <x:c r="C129" s="390"/>
      <x:c r="D129" s="390"/>
      <x:c r="E129" s="390"/>
      <x:c r="F129" s="390"/>
    </x:row>
    <x:row r="130">
      <x:c r="A130" s="390"/>
      <x:c r="B130" s="390"/>
      <x:c r="C130" s="390"/>
      <x:c r="D130" s="390"/>
      <x:c r="E130" s="390"/>
      <x:c r="F130" s="390"/>
    </x:row>
    <x:row r="131">
      <x:c r="A131" s="390"/>
      <x:c r="B131" s="390"/>
      <x:c r="C131" s="390"/>
      <x:c r="D131" s="390"/>
      <x:c r="E131" s="390"/>
      <x:c r="F131" s="390"/>
    </x:row>
    <x:row r="132">
      <x:c r="A132" s="390"/>
      <x:c r="B132" s="390"/>
      <x:c r="C132" s="390"/>
      <x:c r="D132" s="390"/>
      <x:c r="E132" s="390"/>
      <x:c r="F132" s="390"/>
    </x:row>
    <x:row r="133">
      <x:c r="A133" s="390"/>
      <x:c r="B133" s="390"/>
      <x:c r="C133" s="390"/>
      <x:c r="D133" s="390"/>
      <x:c r="E133" s="390"/>
      <x:c r="F133" s="390"/>
    </x:row>
    <x:row r="134">
      <x:c r="A134" s="390"/>
      <x:c r="B134" s="390"/>
      <x:c r="C134" s="390"/>
      <x:c r="D134" s="390"/>
      <x:c r="E134" s="390"/>
      <x:c r="F134" s="390"/>
    </x:row>
    <x:row r="135">
      <x:c r="A135" s="390"/>
      <x:c r="B135" s="390"/>
      <x:c r="C135" s="390"/>
      <x:c r="D135" s="390"/>
      <x:c r="E135" s="390"/>
      <x:c r="F135" s="390"/>
    </x:row>
    <x:row r="136">
      <x:c r="A136" s="390"/>
      <x:c r="B136" s="390"/>
      <x:c r="C136" s="390"/>
      <x:c r="D136" s="390"/>
      <x:c r="E136" s="390"/>
      <x:c r="F136" s="390"/>
    </x:row>
    <x:row r="137">
      <x:c r="A137" s="390"/>
      <x:c r="B137" s="390"/>
      <x:c r="C137" s="390"/>
      <x:c r="D137" s="390"/>
      <x:c r="E137" s="390"/>
      <x:c r="F137" s="390"/>
    </x:row>
    <x:row r="138">
      <x:c r="A138" s="390"/>
      <x:c r="B138" s="390"/>
      <x:c r="C138" s="390"/>
      <x:c r="D138" s="390"/>
      <x:c r="E138" s="390"/>
      <x:c r="F138" s="390"/>
    </x:row>
    <x:row r="139">
      <x:c r="A139" s="390"/>
      <x:c r="B139" s="390"/>
      <x:c r="C139" s="390"/>
      <x:c r="D139" s="390"/>
      <x:c r="E139" s="390"/>
      <x:c r="F139" s="390"/>
    </x:row>
    <x:row r="140">
      <x:c r="A140" s="390"/>
      <x:c r="B140" s="390"/>
      <x:c r="C140" s="390"/>
      <x:c r="D140" s="390"/>
      <x:c r="E140" s="390"/>
      <x:c r="F140" s="390"/>
    </x:row>
    <x:row r="141">
      <x:c r="A141" s="390"/>
      <x:c r="B141" s="390"/>
      <x:c r="C141" s="390"/>
      <x:c r="D141" s="390"/>
      <x:c r="E141" s="390"/>
      <x:c r="F141" s="390"/>
    </x:row>
    <x:row r="142">
      <x:c r="A142" s="390"/>
      <x:c r="B142" s="390"/>
      <x:c r="C142" s="390"/>
      <x:c r="D142" s="390"/>
      <x:c r="E142" s="390"/>
      <x:c r="F142" s="390"/>
    </x:row>
    <x:row r="143">
      <x:c r="A143" s="390"/>
      <x:c r="B143" s="390"/>
      <x:c r="C143" s="390"/>
      <x:c r="D143" s="390"/>
      <x:c r="E143" s="390"/>
      <x:c r="F143" s="390"/>
    </x:row>
    <x:row r="144">
      <x:c r="A144" s="390"/>
      <x:c r="B144" s="390"/>
      <x:c r="C144" s="390"/>
      <x:c r="D144" s="390"/>
      <x:c r="E144" s="390"/>
      <x:c r="F144" s="390"/>
    </x:row>
    <x:row r="145">
      <x:c r="A145" s="390"/>
      <x:c r="B145" s="390"/>
      <x:c r="C145" s="390"/>
      <x:c r="D145" s="390"/>
      <x:c r="E145" s="390"/>
      <x:c r="F145" s="390"/>
    </x:row>
    <x:row r="146">
      <x:c r="A146" s="390"/>
      <x:c r="B146" s="390"/>
      <x:c r="C146" s="390"/>
      <x:c r="D146" s="390"/>
      <x:c r="E146" s="390"/>
      <x:c r="F146" s="390"/>
    </x:row>
    <x:row r="147">
      <x:c r="A147" s="390"/>
      <x:c r="B147" s="390"/>
      <x:c r="C147" s="390"/>
      <x:c r="D147" s="390"/>
      <x:c r="E147" s="390"/>
      <x:c r="F147" s="390"/>
    </x:row>
    <x:row r="148">
      <x:c r="A148" s="390"/>
      <x:c r="B148" s="390"/>
      <x:c r="C148" s="390"/>
      <x:c r="D148" s="390"/>
      <x:c r="E148" s="390"/>
      <x:c r="F148" s="390"/>
    </x:row>
    <x:row r="149">
      <x:c r="A149" s="390"/>
      <x:c r="B149" s="390"/>
      <x:c r="C149" s="390"/>
      <x:c r="D149" s="390"/>
      <x:c r="E149" s="390"/>
      <x:c r="F149" s="390"/>
    </x:row>
    <x:row r="150">
      <x:c r="A150" s="390"/>
      <x:c r="B150" s="390"/>
      <x:c r="C150" s="390"/>
      <x:c r="D150" s="390"/>
      <x:c r="E150" s="390"/>
      <x:c r="F150" s="390"/>
    </x:row>
    <x:row r="151">
      <x:c r="A151" s="390"/>
      <x:c r="B151" s="390"/>
      <x:c r="C151" s="390"/>
      <x:c r="D151" s="390"/>
      <x:c r="E151" s="390"/>
      <x:c r="F151" s="390"/>
    </x:row>
    <x:row r="152">
      <x:c r="A152" s="390"/>
      <x:c r="B152" s="390"/>
      <x:c r="C152" s="390"/>
      <x:c r="D152" s="390"/>
      <x:c r="E152" s="390"/>
      <x:c r="F152" s="390"/>
    </x:row>
    <x:row r="153">
      <x:c r="A153" s="390"/>
      <x:c r="B153" s="390"/>
      <x:c r="C153" s="390"/>
      <x:c r="D153" s="390"/>
      <x:c r="E153" s="390"/>
      <x:c r="F153" s="390"/>
    </x:row>
    <x:row r="154">
      <x:c r="A154" s="390"/>
      <x:c r="B154" s="390"/>
      <x:c r="C154" s="390"/>
      <x:c r="D154" s="390"/>
      <x:c r="E154" s="390"/>
      <x:c r="F154" s="390"/>
    </x:row>
    <x:row r="155">
      <x:c r="A155" s="390"/>
      <x:c r="B155" s="390"/>
      <x:c r="C155" s="390"/>
      <x:c r="D155" s="390"/>
      <x:c r="E155" s="390"/>
      <x:c r="F155" s="390"/>
    </x:row>
    <x:row r="156">
      <x:c r="A156" s="390"/>
      <x:c r="B156" s="390"/>
      <x:c r="C156" s="390"/>
      <x:c r="D156" s="390"/>
      <x:c r="E156" s="390"/>
      <x:c r="F156" s="390"/>
    </x:row>
    <x:row r="157">
      <x:c r="A157" s="390"/>
      <x:c r="B157" s="390"/>
      <x:c r="C157" s="390"/>
      <x:c r="D157" s="390"/>
      <x:c r="E157" s="390"/>
      <x:c r="F157" s="390"/>
    </x:row>
    <x:row r="158">
      <x:c r="A158" s="390"/>
      <x:c r="B158" s="390"/>
      <x:c r="C158" s="390"/>
      <x:c r="D158" s="390"/>
      <x:c r="E158" s="390"/>
      <x:c r="F158" s="390"/>
    </x:row>
    <x:row r="159">
      <x:c r="A159" s="390"/>
      <x:c r="B159" s="390"/>
      <x:c r="C159" s="390"/>
      <x:c r="D159" s="390"/>
      <x:c r="E159" s="390"/>
      <x:c r="F159" s="390"/>
    </x:row>
    <x:row r="160">
      <x:c r="A160" s="390"/>
      <x:c r="B160" s="390"/>
      <x:c r="C160" s="390"/>
      <x:c r="D160" s="390"/>
      <x:c r="E160" s="390"/>
      <x:c r="F160" s="390"/>
    </x:row>
    <x:row r="161">
      <x:c r="A161" s="390"/>
      <x:c r="B161" s="390"/>
      <x:c r="C161" s="390"/>
      <x:c r="D161" s="390"/>
      <x:c r="E161" s="390"/>
      <x:c r="F161" s="390"/>
    </x:row>
    <x:row r="162">
      <x:c r="A162" s="390"/>
      <x:c r="B162" s="390"/>
      <x:c r="C162" s="390"/>
      <x:c r="D162" s="390"/>
      <x:c r="E162" s="390"/>
      <x:c r="F162" s="390"/>
    </x:row>
    <x:row r="163">
      <x:c r="A163" s="390"/>
      <x:c r="B163" s="390"/>
      <x:c r="C163" s="390"/>
      <x:c r="D163" s="390"/>
      <x:c r="E163" s="390"/>
      <x:c r="F163" s="390"/>
    </x:row>
    <x:row r="164">
      <x:c r="A164" s="390"/>
      <x:c r="B164" s="390"/>
      <x:c r="C164" s="390"/>
      <x:c r="D164" s="390"/>
      <x:c r="E164" s="390"/>
      <x:c r="F164" s="390"/>
    </x:row>
    <x:row r="165">
      <x:c r="A165" s="390"/>
      <x:c r="B165" s="390"/>
      <x:c r="C165" s="390"/>
      <x:c r="D165" s="390"/>
      <x:c r="E165" s="390"/>
      <x:c r="F165" s="390"/>
    </x:row>
    <x:row r="166">
      <x:c r="A166" s="390"/>
      <x:c r="B166" s="390"/>
      <x:c r="C166" s="390"/>
      <x:c r="D166" s="390"/>
      <x:c r="E166" s="390"/>
      <x:c r="F166" s="390"/>
    </x:row>
    <x:row r="167">
      <x:c r="A167" s="390"/>
      <x:c r="B167" s="390"/>
      <x:c r="C167" s="390"/>
      <x:c r="D167" s="390"/>
      <x:c r="E167" s="390"/>
      <x:c r="F167" s="390"/>
    </x:row>
    <x:row r="168">
      <x:c r="A168" s="390"/>
      <x:c r="B168" s="390"/>
      <x:c r="C168" s="390"/>
      <x:c r="D168" s="390"/>
      <x:c r="E168" s="390"/>
      <x:c r="F168" s="390"/>
    </x:row>
    <x:row r="169">
      <x:c r="A169" s="390"/>
      <x:c r="B169" s="390"/>
      <x:c r="C169" s="390"/>
      <x:c r="D169" s="390"/>
      <x:c r="E169" s="390"/>
      <x:c r="F169" s="390"/>
    </x:row>
    <x:row r="170">
      <x:c r="A170" s="390"/>
      <x:c r="B170" s="390"/>
      <x:c r="C170" s="390"/>
      <x:c r="D170" s="390"/>
      <x:c r="E170" s="390"/>
      <x:c r="F170" s="390"/>
    </x:row>
    <x:row r="171">
      <x:c r="A171" s="390"/>
      <x:c r="B171" s="390"/>
      <x:c r="C171" s="390"/>
      <x:c r="D171" s="390"/>
      <x:c r="E171" s="390"/>
      <x:c r="F171" s="390"/>
    </x:row>
    <x:row r="172">
      <x:c r="A172" s="390"/>
      <x:c r="B172" s="390"/>
      <x:c r="C172" s="390"/>
      <x:c r="D172" s="390"/>
      <x:c r="E172" s="390"/>
      <x:c r="F172" s="390"/>
    </x:row>
    <x:row r="173">
      <x:c r="A173" s="390"/>
      <x:c r="B173" s="390"/>
      <x:c r="C173" s="390"/>
      <x:c r="D173" s="390"/>
      <x:c r="E173" s="390"/>
      <x:c r="F173" s="390"/>
    </x:row>
    <x:row r="174">
      <x:c r="A174" s="390"/>
      <x:c r="B174" s="390"/>
      <x:c r="C174" s="390"/>
      <x:c r="D174" s="390"/>
      <x:c r="E174" s="390"/>
      <x:c r="F174" s="390"/>
    </x:row>
    <x:row r="175">
      <x:c r="A175" s="390"/>
      <x:c r="B175" s="390"/>
      <x:c r="C175" s="390"/>
      <x:c r="D175" s="390"/>
      <x:c r="E175" s="390"/>
      <x:c r="F175" s="390"/>
    </x:row>
    <x:row r="176">
      <x:c r="A176" s="390"/>
      <x:c r="B176" s="390"/>
      <x:c r="C176" s="390"/>
      <x:c r="D176" s="390"/>
      <x:c r="E176" s="390"/>
      <x:c r="F176" s="390"/>
    </x:row>
    <x:row r="177">
      <x:c r="A177" s="390"/>
      <x:c r="B177" s="390"/>
      <x:c r="C177" s="390"/>
      <x:c r="D177" s="390"/>
      <x:c r="E177" s="390"/>
      <x:c r="F177" s="390"/>
    </x:row>
    <x:row r="178">
      <x:c r="A178" s="390"/>
      <x:c r="B178" s="390"/>
      <x:c r="C178" s="390"/>
      <x:c r="D178" s="390"/>
      <x:c r="E178" s="390"/>
      <x:c r="F178" s="390"/>
    </x:row>
    <x:row r="179">
      <x:c r="A179" s="390"/>
      <x:c r="B179" s="390"/>
      <x:c r="C179" s="390"/>
      <x:c r="D179" s="390"/>
      <x:c r="E179" s="390"/>
      <x:c r="F179" s="390"/>
    </x:row>
    <x:row r="180">
      <x:c r="A180" s="390"/>
      <x:c r="B180" s="390"/>
      <x:c r="C180" s="390"/>
      <x:c r="D180" s="390"/>
      <x:c r="E180" s="390"/>
      <x:c r="F180" s="390"/>
    </x:row>
    <x:row r="181">
      <x:c r="A181" s="390"/>
      <x:c r="B181" s="390"/>
      <x:c r="C181" s="390"/>
      <x:c r="D181" s="390"/>
      <x:c r="E181" s="390"/>
      <x:c r="F181" s="390"/>
    </x:row>
    <x:row r="182">
      <x:c r="A182" s="390"/>
      <x:c r="B182" s="390"/>
      <x:c r="C182" s="390"/>
      <x:c r="D182" s="390"/>
      <x:c r="E182" s="390"/>
      <x:c r="F182" s="390"/>
    </x:row>
    <x:row r="183">
      <x:c r="A183" s="390"/>
      <x:c r="B183" s="390"/>
      <x:c r="C183" s="390"/>
      <x:c r="D183" s="390"/>
      <x:c r="E183" s="390"/>
      <x:c r="F183" s="390"/>
    </x:row>
    <x:row r="184">
      <x:c r="A184" s="390"/>
      <x:c r="B184" s="390"/>
      <x:c r="C184" s="390"/>
      <x:c r="D184" s="390"/>
      <x:c r="E184" s="390"/>
      <x:c r="F184" s="390"/>
    </x:row>
    <x:row r="185">
      <x:c r="A185" s="390"/>
      <x:c r="B185" s="390"/>
      <x:c r="C185" s="390"/>
      <x:c r="D185" s="390"/>
      <x:c r="E185" s="390"/>
      <x:c r="F185" s="390"/>
    </x:row>
    <x:row r="186">
      <x:c r="A186" s="390"/>
      <x:c r="B186" s="390"/>
      <x:c r="C186" s="390"/>
      <x:c r="D186" s="390"/>
      <x:c r="E186" s="390"/>
      <x:c r="F186" s="390"/>
    </x:row>
    <x:row r="187">
      <x:c r="A187" s="390"/>
      <x:c r="B187" s="390"/>
      <x:c r="C187" s="390"/>
      <x:c r="D187" s="390"/>
      <x:c r="E187" s="390"/>
      <x:c r="F187" s="390"/>
    </x:row>
    <x:row r="188">
      <x:c r="A188" s="390"/>
      <x:c r="B188" s="390"/>
      <x:c r="C188" s="390"/>
      <x:c r="D188" s="390"/>
      <x:c r="E188" s="390"/>
      <x:c r="F188" s="390"/>
    </x:row>
    <x:row r="189">
      <x:c r="A189" s="390"/>
      <x:c r="B189" s="390"/>
      <x:c r="C189" s="390"/>
      <x:c r="D189" s="390"/>
      <x:c r="E189" s="390"/>
      <x:c r="F189" s="390"/>
    </x:row>
    <x:row r="190">
      <x:c r="A190" s="390"/>
      <x:c r="B190" s="390"/>
      <x:c r="C190" s="390"/>
      <x:c r="D190" s="390"/>
      <x:c r="E190" s="390"/>
      <x:c r="F190" s="390"/>
    </x:row>
    <x:row r="191">
      <x:c r="A191" s="390"/>
      <x:c r="B191" s="390"/>
      <x:c r="C191" s="390"/>
      <x:c r="D191" s="390"/>
      <x:c r="E191" s="390"/>
      <x:c r="F191" s="390"/>
    </x:row>
    <x:row r="192">
      <x:c r="A192" s="390"/>
      <x:c r="B192" s="390"/>
      <x:c r="C192" s="390"/>
      <x:c r="D192" s="390"/>
      <x:c r="E192" s="390"/>
      <x:c r="F192" s="390"/>
    </x:row>
    <x:row r="193">
      <x:c r="A193" s="390"/>
      <x:c r="B193" s="390"/>
      <x:c r="C193" s="390"/>
      <x:c r="D193" s="390"/>
      <x:c r="E193" s="390"/>
      <x:c r="F193" s="390"/>
    </x:row>
    <x:row r="194">
      <x:c r="A194" s="390"/>
      <x:c r="B194" s="390"/>
      <x:c r="C194" s="390"/>
      <x:c r="D194" s="390"/>
      <x:c r="E194" s="390"/>
      <x:c r="F194" s="390"/>
    </x:row>
    <x:row r="195">
      <x:c r="A195" s="390"/>
      <x:c r="B195" s="390"/>
      <x:c r="C195" s="390"/>
      <x:c r="D195" s="390"/>
      <x:c r="E195" s="390"/>
      <x:c r="F195" s="390"/>
    </x:row>
    <x:row r="196">
      <x:c r="A196" s="390"/>
      <x:c r="B196" s="390"/>
      <x:c r="C196" s="390"/>
      <x:c r="D196" s="390"/>
      <x:c r="E196" s="390"/>
      <x:c r="F196" s="390"/>
    </x:row>
    <x:row r="197">
      <x:c r="A197" s="390"/>
      <x:c r="B197" s="390"/>
      <x:c r="C197" s="390"/>
      <x:c r="D197" s="390"/>
      <x:c r="E197" s="390"/>
      <x:c r="F197" s="390"/>
    </x:row>
    <x:row r="198">
      <x:c r="A198" s="390"/>
      <x:c r="B198" s="390"/>
      <x:c r="C198" s="390"/>
      <x:c r="D198" s="390"/>
      <x:c r="E198" s="390"/>
      <x:c r="F198" s="390"/>
    </x:row>
    <x:row r="199">
      <x:c r="A199" s="390"/>
      <x:c r="B199" s="390"/>
      <x:c r="C199" s="390"/>
      <x:c r="D199" s="390"/>
      <x:c r="E199" s="390"/>
      <x:c r="F199" s="390"/>
    </x:row>
    <x:row r="200">
      <x:c r="A200" s="390"/>
      <x:c r="B200" s="390"/>
      <x:c r="C200" s="390"/>
      <x:c r="D200" s="390"/>
      <x:c r="E200" s="390"/>
      <x:c r="F200" s="390"/>
    </x:row>
    <x:row r="201">
      <x:c r="A201" s="390"/>
      <x:c r="B201" s="390"/>
      <x:c r="C201" s="390"/>
      <x:c r="D201" s="390"/>
      <x:c r="E201" s="390"/>
      <x:c r="F201" s="390"/>
    </x:row>
    <x:row r="202">
      <x:c r="A202" s="390"/>
      <x:c r="B202" s="390"/>
      <x:c r="C202" s="390"/>
      <x:c r="D202" s="390"/>
      <x:c r="E202" s="390"/>
      <x:c r="F202" s="390"/>
    </x:row>
    <x:row r="203">
      <x:c r="A203" s="390"/>
      <x:c r="B203" s="390"/>
      <x:c r="C203" s="390"/>
      <x:c r="D203" s="390"/>
      <x:c r="E203" s="390"/>
      <x:c r="F203" s="390"/>
    </x:row>
    <x:row r="204">
      <x:c r="A204" s="390"/>
      <x:c r="B204" s="390"/>
      <x:c r="C204" s="390"/>
      <x:c r="D204" s="390"/>
      <x:c r="E204" s="390"/>
      <x:c r="F204" s="390"/>
    </x:row>
    <x:row r="205">
      <x:c r="A205" s="390"/>
      <x:c r="B205" s="390"/>
      <x:c r="C205" s="390"/>
      <x:c r="D205" s="390"/>
      <x:c r="E205" s="390"/>
      <x:c r="F205" s="390"/>
    </x:row>
    <x:row r="206">
      <x:c r="A206" s="390"/>
      <x:c r="B206" s="390"/>
      <x:c r="C206" s="390"/>
      <x:c r="D206" s="390"/>
      <x:c r="E206" s="390"/>
      <x:c r="F206" s="390"/>
    </x:row>
    <x:row r="207">
      <x:c r="A207" s="390"/>
      <x:c r="B207" s="390"/>
      <x:c r="C207" s="390"/>
      <x:c r="D207" s="390"/>
      <x:c r="E207" s="390"/>
      <x:c r="F207" s="390"/>
    </x:row>
    <x:row r="208">
      <x:c r="A208" s="390"/>
      <x:c r="B208" s="390"/>
      <x:c r="C208" s="390"/>
      <x:c r="D208" s="390"/>
      <x:c r="E208" s="390"/>
      <x:c r="F208" s="390"/>
    </x:row>
    <x:row r="209">
      <x:c r="A209" s="390"/>
      <x:c r="B209" s="390"/>
      <x:c r="C209" s="390"/>
      <x:c r="D209" s="390"/>
      <x:c r="E209" s="390"/>
      <x:c r="F209" s="390"/>
    </x:row>
    <x:row r="210">
      <x:c r="A210" s="390"/>
      <x:c r="B210" s="390"/>
      <x:c r="C210" s="390"/>
      <x:c r="D210" s="390"/>
      <x:c r="E210" s="390"/>
      <x:c r="F210" s="390"/>
    </x:row>
    <x:row r="211">
      <x:c r="A211" s="390"/>
      <x:c r="B211" s="390"/>
      <x:c r="C211" s="390"/>
      <x:c r="D211" s="390"/>
      <x:c r="E211" s="390"/>
      <x:c r="F211" s="390"/>
    </x:row>
    <x:row r="212">
      <x:c r="A212" s="390"/>
      <x:c r="B212" s="390"/>
      <x:c r="C212" s="390"/>
      <x:c r="D212" s="390"/>
      <x:c r="E212" s="390"/>
      <x:c r="F212" s="390"/>
    </x:row>
    <x:row r="213">
      <x:c r="A213" s="390"/>
      <x:c r="B213" s="390"/>
      <x:c r="C213" s="390"/>
      <x:c r="D213" s="390"/>
      <x:c r="E213" s="390"/>
      <x:c r="F213" s="390"/>
    </x:row>
    <x:row r="214">
      <x:c r="A214" s="390"/>
      <x:c r="B214" s="390"/>
      <x:c r="C214" s="390"/>
      <x:c r="D214" s="390"/>
      <x:c r="E214" s="390"/>
      <x:c r="F214" s="390"/>
    </x:row>
    <x:row r="215">
      <x:c r="A215" s="390"/>
      <x:c r="B215" s="390"/>
      <x:c r="C215" s="390"/>
      <x:c r="D215" s="390"/>
      <x:c r="E215" s="390"/>
      <x:c r="F215" s="390"/>
    </x:row>
    <x:row r="216">
      <x:c r="A216" s="390"/>
      <x:c r="B216" s="390"/>
      <x:c r="C216" s="390"/>
      <x:c r="D216" s="390"/>
      <x:c r="E216" s="390"/>
      <x:c r="F216" s="390"/>
    </x:row>
    <x:row r="217">
      <x:c r="A217" s="390"/>
      <x:c r="B217" s="390"/>
      <x:c r="C217" s="390"/>
      <x:c r="D217" s="390"/>
      <x:c r="E217" s="390"/>
      <x:c r="F217" s="390"/>
    </x:row>
    <x:row r="218">
      <x:c r="A218" s="390"/>
      <x:c r="B218" s="390"/>
      <x:c r="C218" s="390"/>
      <x:c r="D218" s="390"/>
      <x:c r="E218" s="390"/>
      <x:c r="F218" s="390"/>
    </x:row>
    <x:row r="219">
      <x:c r="A219" s="390"/>
      <x:c r="B219" s="390"/>
      <x:c r="C219" s="390"/>
      <x:c r="D219" s="390"/>
      <x:c r="E219" s="390"/>
      <x:c r="F219" s="390"/>
    </x:row>
    <x:row r="220">
      <x:c r="A220" s="390"/>
      <x:c r="B220" s="390"/>
      <x:c r="C220" s="390"/>
      <x:c r="D220" s="390"/>
      <x:c r="E220" s="390"/>
      <x:c r="F220" s="390"/>
    </x:row>
  </x:sheetData>
  <x:mergeCells>
    <x:mergeCell ref="A3:F3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20" hidden="0" customWidth="1"/>
    <x:col min="5" max="5" width="42" hidden="0" customWidth="1"/>
  </x:cols>
  <x:sheetData>
    <x:row r="1">
      <x:c r="A1" s="393" t="str">
        <x:v>📖 Data Dictionary</x:v>
      </x:c>
      <x:c r="B1" s="393"/>
      <x:c r="C1" s="393"/>
      <x:c r="D1" s="393"/>
      <x:c r="E1" s="393"/>
    </x:row>
    <x:row r="2">
      <x:c r="A2" s="393"/>
      <x:c r="B2" s="393"/>
      <x:c r="C2" s="393"/>
      <x:c r="D2" s="393"/>
      <x:c r="E2" s="393"/>
    </x:row>
    <x:row r="3">
      <x:c r="A3" s="394" t="str">
        <x:v>Use this as the source of truth when adding new columns so the app stays consistent.</x:v>
      </x:c>
      <x:c r="B3" s="394"/>
      <x:c r="C3" s="394"/>
      <x:c r="D3" s="394"/>
      <x:c r="E3" s="394"/>
    </x:row>
    <x:row r="4">
      <x:c r="A4" s="390"/>
      <x:c r="B4" s="390"/>
      <x:c r="C4" s="390"/>
      <x:c r="D4" s="390"/>
      <x:c r="E4" s="390"/>
    </x:row>
    <x:row r="5">
      <x:c r="A5" s="397" t="str">
        <x:v>Field</x:v>
      </x:c>
      <x:c r="B5" s="397" t="str">
        <x:v>Sheet(s)</x:v>
      </x:c>
      <x:c r="C5" s="397" t="str">
        <x:v>Meaning</x:v>
      </x:c>
      <x:c r="D5" s="397" t="str">
        <x:v>Format</x:v>
      </x:c>
      <x:c r="E5" s="397" t="str">
        <x:v>App Use</x:v>
      </x:c>
    </x:row>
    <x:row r="6">
      <x:c r="A6" s="398" t="str">
        <x:v>Date</x:v>
      </x:c>
      <x:c r="B6" s="398" t="str">
        <x:v>Master Itinerary</x:v>
      </x:c>
      <x:c r="C6" s="398" t="str">
        <x:v>Trip date</x:v>
      </x:c>
      <x:c r="D6" s="398" t="str">
        <x:v>yyyy-mm-dd</x:v>
      </x:c>
      <x:c r="E6" s="398" t="str">
        <x:v>Required for daily views</x:v>
      </x:c>
    </x:row>
    <x:row r="7">
      <x:c r="A7" s="398" t="str">
        <x:v>City</x:v>
      </x:c>
      <x:c r="B7" s="398" t="str">
        <x:v>Master Itinerary</x:v>
      </x:c>
      <x:c r="C7" s="398" t="str">
        <x:v>Current city</x:v>
      </x:c>
      <x:c r="D7" s="398" t="str">
        <x:v>Text</x:v>
      </x:c>
      <x:c r="E7" s="398" t="str">
        <x:v>Used for weather and guide context</x:v>
      </x:c>
    </x:row>
    <x:row r="8">
      <x:c r="A8" s="398" t="str">
        <x:v>Morning / Afternoon / Evening</x:v>
      </x:c>
      <x:c r="B8" s="398" t="str">
        <x:v>Master Itinerary</x:v>
      </x:c>
      <x:c r="C8" s="398" t="str">
        <x:v>Daily timeline blocks</x:v>
      </x:c>
      <x:c r="D8" s="398" t="str">
        <x:v>Text</x:v>
      </x:c>
      <x:c r="E8" s="398" t="str">
        <x:v>Shown in Today/person tabs</x:v>
      </x:c>
    </x:row>
    <x:row r="9">
      <x:c r="A9" s="398" t="str">
        <x:v>Hotel</x:v>
      </x:c>
      <x:c r="B9" s="398" t="str">
        <x:v>Master Itinerary / Hotels</x:v>
      </x:c>
      <x:c r="C9" s="398" t="str">
        <x:v>Hotel for that day</x:v>
      </x:c>
      <x:c r="D9" s="398" t="str">
        <x:v>Text</x:v>
      </x:c>
      <x:c r="E9" s="398" t="str">
        <x:v>Critical for Hilda/Lost Mode</x:v>
      </x:c>
    </x:row>
    <x:row r="10">
      <x:c r="A10" s="398" t="str">
        <x:v>Energy</x:v>
      </x:c>
      <x:c r="B10" s="398" t="str">
        <x:v>Master Itinerary</x:v>
      </x:c>
      <x:c r="C10" s="398" t="str">
        <x:v>Day intensity</x:v>
      </x:c>
      <x:c r="D10" s="398" t="str">
        <x:v>Easy/Medium/Busy</x:v>
      </x:c>
      <x:c r="E10" s="398" t="str">
        <x:v>Used for smart suggestions</x:v>
      </x:c>
    </x:row>
    <x:row r="11">
      <x:c r="A11" s="398" t="str">
        <x:v>Walking</x:v>
      </x:c>
      <x:c r="B11" s="398" t="str">
        <x:v>Master Itinerary</x:v>
      </x:c>
      <x:c r="C11" s="398" t="str">
        <x:v>Expected walking</x:v>
      </x:c>
      <x:c r="D11" s="398" t="str">
        <x:v>Text or miles</x:v>
      </x:c>
      <x:c r="E11" s="398" t="str">
        <x:v>Used for Hilda comfort suggestion</x:v>
      </x:c>
    </x:row>
    <x:row r="12">
      <x:c r="A12" s="398" t="str">
        <x:v>Bring / Hilda Reminder</x:v>
      </x:c>
      <x:c r="B12" s="398" t="str">
        <x:v>Master Itinerary</x:v>
      </x:c>
      <x:c r="C12" s="398" t="str">
        <x:v>Daily bring list</x:v>
      </x:c>
      <x:c r="D12" s="398" t="str">
        <x:v>Text</x:v>
      </x:c>
      <x:c r="E12" s="398" t="str">
        <x:v>Shown on Today/Hilda</x:v>
      </x:c>
    </x:row>
    <x:row r="13">
      <x:c r="A13" s="398" t="str">
        <x:v>Status</x:v>
      </x:c>
      <x:c r="B13" s="398" t="str">
        <x:v>Reservations/Packing/Shopping</x:v>
      </x:c>
      <x:c r="C13" s="398" t="str">
        <x:v>Current task/item state</x:v>
      </x:c>
      <x:c r="D13" s="398" t="str">
        <x:v>Dropdown</x:v>
      </x:c>
      <x:c r="E13" s="398" t="str">
        <x:v>Used for dashboards</x:v>
      </x:c>
    </x:row>
    <x:row r="14">
      <x:c r="A14" s="398" t="str">
        <x:v>Urgency</x:v>
      </x:c>
      <x:c r="B14" s="398" t="str">
        <x:v>Reservations</x:v>
      </x:c>
      <x:c r="C14" s="398" t="str">
        <x:v>Booking urgency</x:v>
      </x:c>
      <x:c r="D14" s="398" t="str">
        <x:v>Low/Medium/High/Critical</x:v>
      </x:c>
      <x:c r="E14" s="398" t="str">
        <x:v>Used in D+N dashboard</x:v>
      </x:c>
    </x:row>
    <x:row r="15">
      <x:c r="A15" s="398" t="str">
        <x:v>Google Maps Link</x:v>
      </x:c>
      <x:c r="B15" s="398" t="str">
        <x:v>Maps/Restaurants</x:v>
      </x:c>
      <x:c r="C15" s="398" t="str">
        <x:v>One-tap directions</x:v>
      </x:c>
      <x:c r="D15" s="398" t="str">
        <x:v>URL</x:v>
      </x:c>
      <x:c r="E15" s="398" t="str">
        <x:v>Used by app action buttons</x:v>
      </x:c>
    </x:row>
    <x:row r="16">
      <x:c r="A16" s="398" t="str">
        <x:v>Must Order</x:v>
      </x:c>
      <x:c r="B16" s="398" t="str">
        <x:v>Restaurants</x:v>
      </x:c>
      <x:c r="C16" s="398" t="str">
        <x:v>Recommended dish/order</x:v>
      </x:c>
      <x:c r="D16" s="398" t="str">
        <x:v>Text</x:v>
      </x:c>
      <x:c r="E16" s="398" t="str">
        <x:v>Used in food cards</x:v>
      </x:c>
    </x:row>
    <x:row r="17">
      <x:c r="A17" s="398" t="str">
        <x:v>Japanese / Romaji / Phonetics</x:v>
      </x:c>
      <x:c r="B17" s="398" t="str">
        <x:v>Phrases</x:v>
      </x:c>
      <x:c r="C17" s="398" t="str">
        <x:v>Phrase fields</x:v>
      </x:c>
      <x:c r="D17" s="398" t="str">
        <x:v>Text</x:v>
      </x:c>
      <x:c r="E17" s="398" t="str">
        <x:v>Used in searchable phrasebook</x:v>
      </x:c>
    </x:row>
    <x:row r="18">
      <x:c r="A18" s="424" t="str">
        <x:v>Apple Wallet Suica Status</x:v>
      </x:c>
      <x:c r="B18" s="424" t="str">
        <x:v>Apple Wallet Suica</x:v>
      </x:c>
      <x:c r="C18" s="424" t="str">
        <x:v>Setup/checklist status</x:v>
      </x:c>
      <x:c r="D18" s="424" t="str">
        <x:v>To do/Done/Optional/Reminder</x:v>
      </x:c>
      <x:c r="E18" s="424" t="str">
        <x:v>Used in Suica hub</x:v>
      </x:c>
    </x:row>
    <x:row r="19">
      <x:c r="A19" s="424" t="str">
        <x:v>Express Transit</x:v>
      </x:c>
      <x:c r="B19" s="424" t="str">
        <x:v>Apple Wallet Suica</x:v>
      </x:c>
      <x:c r="C19" s="424" t="str">
        <x:v>Whether Express Transit is enabled</x:v>
      </x:c>
      <x:c r="D19" s="424" t="str">
        <x:v>Yes/No/Unknown</x:v>
      </x:c>
      <x:c r="E19" s="424" t="str">
        <x:v>Pre-trip setup reminder</x:v>
      </x:c>
    </x:row>
    <x:row r="20">
      <x:c r="A20" s="424" t="str">
        <x:v>Suica Backup</x:v>
      </x:c>
      <x:c r="B20" s="424" t="str">
        <x:v>Apple Wallet Suica</x:v>
      </x:c>
      <x:c r="C20" s="424" t="str">
        <x:v>Physical Suica/PASMO backup plan</x:v>
      </x:c>
      <x:c r="D20" s="424" t="str">
        <x:v>Text</x:v>
      </x:c>
      <x:c r="E20" s="424" t="str">
        <x:v>Travel contingency</x:v>
      </x:c>
    </x:row>
    <x:row r="21">
      <x:c r="A21" s="390"/>
      <x:c r="B21" s="390"/>
      <x:c r="C21" s="390"/>
      <x:c r="D21" s="390"/>
      <x:c r="E21" s="390"/>
    </x:row>
    <x:row r="22">
      <x:c r="A22" s="390"/>
      <x:c r="B22" s="390"/>
      <x:c r="C22" s="390"/>
      <x:c r="D22" s="390"/>
      <x:c r="E22" s="390"/>
    </x:row>
    <x:row r="23">
      <x:c r="A23" s="390"/>
      <x:c r="B23" s="390"/>
      <x:c r="C23" s="390"/>
      <x:c r="D23" s="390"/>
      <x:c r="E23" s="390"/>
    </x:row>
    <x:row r="24">
      <x:c r="A24" s="390"/>
      <x:c r="B24" s="390"/>
      <x:c r="C24" s="390"/>
      <x:c r="D24" s="390"/>
      <x:c r="E24" s="390"/>
    </x:row>
    <x:row r="25">
      <x:c r="A25" s="390"/>
      <x:c r="B25" s="390"/>
      <x:c r="C25" s="390"/>
      <x:c r="D25" s="390"/>
      <x:c r="E25" s="390"/>
    </x:row>
    <x:row r="26">
      <x:c r="A26" s="390"/>
      <x:c r="B26" s="390"/>
      <x:c r="C26" s="390"/>
      <x:c r="D26" s="390"/>
      <x:c r="E26" s="390"/>
    </x:row>
    <x:row r="27">
      <x:c r="A27" s="390"/>
      <x:c r="B27" s="390"/>
      <x:c r="C27" s="390"/>
      <x:c r="D27" s="390"/>
      <x:c r="E27" s="390"/>
    </x:row>
    <x:row r="28">
      <x:c r="A28" s="390"/>
      <x:c r="B28" s="390"/>
      <x:c r="C28" s="390"/>
      <x:c r="D28" s="390"/>
      <x:c r="E28" s="390"/>
    </x:row>
    <x:row r="29">
      <x:c r="A29" s="390"/>
      <x:c r="B29" s="390"/>
      <x:c r="C29" s="390"/>
      <x:c r="D29" s="390"/>
      <x:c r="E29" s="390"/>
    </x:row>
    <x:row r="30">
      <x:c r="A30" s="390"/>
      <x:c r="B30" s="390"/>
      <x:c r="C30" s="390"/>
      <x:c r="D30" s="390"/>
      <x:c r="E30" s="390"/>
    </x:row>
    <x:row r="31">
      <x:c r="A31" s="390"/>
      <x:c r="B31" s="390"/>
      <x:c r="C31" s="390"/>
      <x:c r="D31" s="390"/>
      <x:c r="E31" s="390"/>
    </x:row>
    <x:row r="32">
      <x:c r="A32" s="390"/>
      <x:c r="B32" s="390"/>
      <x:c r="C32" s="390"/>
      <x:c r="D32" s="390"/>
      <x:c r="E32" s="390"/>
    </x:row>
    <x:row r="33">
      <x:c r="A33" s="390"/>
      <x:c r="B33" s="390"/>
      <x:c r="C33" s="390"/>
      <x:c r="D33" s="390"/>
      <x:c r="E33" s="390"/>
    </x:row>
    <x:row r="34">
      <x:c r="A34" s="390"/>
      <x:c r="B34" s="390"/>
      <x:c r="C34" s="390"/>
      <x:c r="D34" s="390"/>
      <x:c r="E34" s="390"/>
    </x:row>
    <x:row r="35">
      <x:c r="A35" s="390"/>
      <x:c r="B35" s="390"/>
      <x:c r="C35" s="390"/>
      <x:c r="D35" s="390"/>
      <x:c r="E35" s="390"/>
    </x:row>
    <x:row r="36">
      <x:c r="A36" s="390"/>
      <x:c r="B36" s="390"/>
      <x:c r="C36" s="390"/>
      <x:c r="D36" s="390"/>
      <x:c r="E36" s="390"/>
    </x:row>
    <x:row r="37">
      <x:c r="A37" s="390"/>
      <x:c r="B37" s="390"/>
      <x:c r="C37" s="390"/>
      <x:c r="D37" s="390"/>
      <x:c r="E37" s="390"/>
    </x:row>
    <x:row r="38">
      <x:c r="A38" s="390"/>
      <x:c r="B38" s="390"/>
      <x:c r="C38" s="390"/>
      <x:c r="D38" s="390"/>
      <x:c r="E38" s="390"/>
    </x:row>
    <x:row r="39">
      <x:c r="A39" s="390"/>
      <x:c r="B39" s="390"/>
      <x:c r="C39" s="390"/>
      <x:c r="D39" s="390"/>
      <x:c r="E39" s="390"/>
    </x:row>
    <x:row r="40">
      <x:c r="A40" s="390"/>
      <x:c r="B40" s="390"/>
      <x:c r="C40" s="390"/>
      <x:c r="D40" s="390"/>
      <x:c r="E40" s="390"/>
    </x:row>
    <x:row r="41">
      <x:c r="A41" s="390"/>
      <x:c r="B41" s="390"/>
      <x:c r="C41" s="390"/>
      <x:c r="D41" s="390"/>
      <x:c r="E41" s="390"/>
    </x:row>
    <x:row r="42">
      <x:c r="A42" s="390"/>
      <x:c r="B42" s="390"/>
      <x:c r="C42" s="390"/>
      <x:c r="D42" s="390"/>
      <x:c r="E42" s="390"/>
    </x:row>
    <x:row r="43">
      <x:c r="A43" s="390"/>
      <x:c r="B43" s="390"/>
      <x:c r="C43" s="390"/>
      <x:c r="D43" s="390"/>
      <x:c r="E43" s="390"/>
    </x:row>
    <x:row r="44">
      <x:c r="A44" s="390"/>
      <x:c r="B44" s="390"/>
      <x:c r="C44" s="390"/>
      <x:c r="D44" s="390"/>
      <x:c r="E44" s="390"/>
    </x:row>
    <x:row r="45">
      <x:c r="A45" s="390"/>
      <x:c r="B45" s="390"/>
      <x:c r="C45" s="390"/>
      <x:c r="D45" s="390"/>
      <x:c r="E45" s="390"/>
    </x:row>
    <x:row r="46">
      <x:c r="A46" s="390"/>
      <x:c r="B46" s="390"/>
      <x:c r="C46" s="390"/>
      <x:c r="D46" s="390"/>
      <x:c r="E46" s="390"/>
    </x:row>
    <x:row r="47">
      <x:c r="A47" s="390"/>
      <x:c r="B47" s="390"/>
      <x:c r="C47" s="390"/>
      <x:c r="D47" s="390"/>
      <x:c r="E47" s="390"/>
    </x:row>
    <x:row r="48">
      <x:c r="A48" s="390"/>
      <x:c r="B48" s="390"/>
      <x:c r="C48" s="390"/>
      <x:c r="D48" s="390"/>
      <x:c r="E48" s="390"/>
    </x:row>
    <x:row r="49">
      <x:c r="A49" s="390"/>
      <x:c r="B49" s="390"/>
      <x:c r="C49" s="390"/>
      <x:c r="D49" s="390"/>
      <x:c r="E49" s="390"/>
    </x:row>
    <x:row r="50">
      <x:c r="A50" s="390"/>
      <x:c r="B50" s="390"/>
      <x:c r="C50" s="390"/>
      <x:c r="D50" s="390"/>
      <x:c r="E50" s="390"/>
    </x:row>
    <x:row r="51">
      <x:c r="A51" s="390"/>
      <x:c r="B51" s="390"/>
      <x:c r="C51" s="390"/>
      <x:c r="D51" s="390"/>
      <x:c r="E51" s="390"/>
    </x:row>
    <x:row r="52">
      <x:c r="A52" s="390"/>
      <x:c r="B52" s="390"/>
      <x:c r="C52" s="390"/>
      <x:c r="D52" s="390"/>
      <x:c r="E52" s="390"/>
    </x:row>
    <x:row r="53">
      <x:c r="A53" s="390"/>
      <x:c r="B53" s="390"/>
      <x:c r="C53" s="390"/>
      <x:c r="D53" s="390"/>
      <x:c r="E53" s="390"/>
    </x:row>
    <x:row r="54">
      <x:c r="A54" s="390"/>
      <x:c r="B54" s="390"/>
      <x:c r="C54" s="390"/>
      <x:c r="D54" s="390"/>
      <x:c r="E54" s="390"/>
    </x:row>
    <x:row r="55">
      <x:c r="A55" s="390"/>
      <x:c r="B55" s="390"/>
      <x:c r="C55" s="390"/>
      <x:c r="D55" s="390"/>
      <x:c r="E55" s="390"/>
    </x:row>
    <x:row r="56">
      <x:c r="A56" s="390"/>
      <x:c r="B56" s="390"/>
      <x:c r="C56" s="390"/>
      <x:c r="D56" s="390"/>
      <x:c r="E56" s="390"/>
    </x:row>
    <x:row r="57">
      <x:c r="A57" s="390"/>
      <x:c r="B57" s="390"/>
      <x:c r="C57" s="390"/>
      <x:c r="D57" s="390"/>
      <x:c r="E57" s="390"/>
    </x:row>
    <x:row r="58">
      <x:c r="A58" s="390"/>
      <x:c r="B58" s="390"/>
      <x:c r="C58" s="390"/>
      <x:c r="D58" s="390"/>
      <x:c r="E58" s="390"/>
    </x:row>
    <x:row r="59">
      <x:c r="A59" s="390"/>
      <x:c r="B59" s="390"/>
      <x:c r="C59" s="390"/>
      <x:c r="D59" s="390"/>
      <x:c r="E59" s="390"/>
    </x:row>
    <x:row r="60">
      <x:c r="A60" s="390"/>
      <x:c r="B60" s="390"/>
      <x:c r="C60" s="390"/>
      <x:c r="D60" s="390"/>
      <x:c r="E60" s="390"/>
    </x:row>
    <x:row r="61">
      <x:c r="A61" s="390"/>
      <x:c r="B61" s="390"/>
      <x:c r="C61" s="390"/>
      <x:c r="D61" s="390"/>
      <x:c r="E61" s="390"/>
    </x:row>
    <x:row r="62">
      <x:c r="A62" s="390"/>
      <x:c r="B62" s="390"/>
      <x:c r="C62" s="390"/>
      <x:c r="D62" s="390"/>
      <x:c r="E62" s="390"/>
    </x:row>
    <x:row r="63">
      <x:c r="A63" s="390"/>
      <x:c r="B63" s="390"/>
      <x:c r="C63" s="390"/>
      <x:c r="D63" s="390"/>
      <x:c r="E63" s="390"/>
    </x:row>
    <x:row r="64">
      <x:c r="A64" s="390"/>
      <x:c r="B64" s="390"/>
      <x:c r="C64" s="390"/>
      <x:c r="D64" s="390"/>
      <x:c r="E64" s="390"/>
    </x:row>
    <x:row r="65">
      <x:c r="A65" s="390"/>
      <x:c r="B65" s="390"/>
      <x:c r="C65" s="390"/>
      <x:c r="D65" s="390"/>
      <x:c r="E65" s="390"/>
    </x:row>
    <x:row r="66">
      <x:c r="A66" s="390"/>
      <x:c r="B66" s="390"/>
      <x:c r="C66" s="390"/>
      <x:c r="D66" s="390"/>
      <x:c r="E66" s="390"/>
    </x:row>
    <x:row r="67">
      <x:c r="A67" s="390"/>
      <x:c r="B67" s="390"/>
      <x:c r="C67" s="390"/>
      <x:c r="D67" s="390"/>
      <x:c r="E67" s="390"/>
    </x:row>
    <x:row r="68">
      <x:c r="A68" s="390"/>
      <x:c r="B68" s="390"/>
      <x:c r="C68" s="390"/>
      <x:c r="D68" s="390"/>
      <x:c r="E68" s="390"/>
    </x:row>
    <x:row r="69">
      <x:c r="A69" s="390"/>
      <x:c r="B69" s="390"/>
      <x:c r="C69" s="390"/>
      <x:c r="D69" s="390"/>
      <x:c r="E69" s="390"/>
    </x:row>
    <x:row r="70">
      <x:c r="A70" s="390"/>
      <x:c r="B70" s="390"/>
      <x:c r="C70" s="390"/>
      <x:c r="D70" s="390"/>
      <x:c r="E70" s="390"/>
    </x:row>
    <x:row r="71">
      <x:c r="A71" s="390"/>
      <x:c r="B71" s="390"/>
      <x:c r="C71" s="390"/>
      <x:c r="D71" s="390"/>
      <x:c r="E71" s="390"/>
    </x:row>
    <x:row r="72">
      <x:c r="A72" s="390"/>
      <x:c r="B72" s="390"/>
      <x:c r="C72" s="390"/>
      <x:c r="D72" s="390"/>
      <x:c r="E72" s="390"/>
    </x:row>
    <x:row r="73">
      <x:c r="A73" s="390"/>
      <x:c r="B73" s="390"/>
      <x:c r="C73" s="390"/>
      <x:c r="D73" s="390"/>
      <x:c r="E73" s="390"/>
    </x:row>
    <x:row r="74">
      <x:c r="A74" s="390"/>
      <x:c r="B74" s="390"/>
      <x:c r="C74" s="390"/>
      <x:c r="D74" s="390"/>
      <x:c r="E74" s="390"/>
    </x:row>
    <x:row r="75">
      <x:c r="A75" s="390"/>
      <x:c r="B75" s="390"/>
      <x:c r="C75" s="390"/>
      <x:c r="D75" s="390"/>
      <x:c r="E75" s="390"/>
    </x:row>
    <x:row r="76">
      <x:c r="A76" s="390"/>
      <x:c r="B76" s="390"/>
      <x:c r="C76" s="390"/>
      <x:c r="D76" s="390"/>
      <x:c r="E76" s="390"/>
    </x:row>
    <x:row r="77">
      <x:c r="A77" s="390"/>
      <x:c r="B77" s="390"/>
      <x:c r="C77" s="390"/>
      <x:c r="D77" s="390"/>
      <x:c r="E77" s="390"/>
    </x:row>
    <x:row r="78">
      <x:c r="A78" s="390"/>
      <x:c r="B78" s="390"/>
      <x:c r="C78" s="390"/>
      <x:c r="D78" s="390"/>
      <x:c r="E78" s="390"/>
    </x:row>
    <x:row r="79">
      <x:c r="A79" s="390"/>
      <x:c r="B79" s="390"/>
      <x:c r="C79" s="390"/>
      <x:c r="D79" s="390"/>
      <x:c r="E79" s="390"/>
    </x:row>
    <x:row r="80">
      <x:c r="A80" s="390"/>
      <x:c r="B80" s="390"/>
      <x:c r="C80" s="390"/>
      <x:c r="D80" s="390"/>
      <x:c r="E80" s="390"/>
    </x:row>
    <x:row r="81">
      <x:c r="A81" s="390"/>
      <x:c r="B81" s="390"/>
      <x:c r="C81" s="390"/>
      <x:c r="D81" s="390"/>
      <x:c r="E81" s="390"/>
    </x:row>
    <x:row r="82">
      <x:c r="A82" s="390"/>
      <x:c r="B82" s="390"/>
      <x:c r="C82" s="390"/>
      <x:c r="D82" s="390"/>
      <x:c r="E82" s="390"/>
    </x:row>
    <x:row r="83">
      <x:c r="A83" s="390"/>
      <x:c r="B83" s="390"/>
      <x:c r="C83" s="390"/>
      <x:c r="D83" s="390"/>
      <x:c r="E83" s="390"/>
    </x:row>
    <x:row r="84">
      <x:c r="A84" s="390"/>
      <x:c r="B84" s="390"/>
      <x:c r="C84" s="390"/>
      <x:c r="D84" s="390"/>
      <x:c r="E84" s="390"/>
    </x:row>
    <x:row r="85">
      <x:c r="A85" s="390"/>
      <x:c r="B85" s="390"/>
      <x:c r="C85" s="390"/>
      <x:c r="D85" s="390"/>
      <x:c r="E85" s="390"/>
    </x:row>
    <x:row r="86">
      <x:c r="A86" s="390"/>
      <x:c r="B86" s="390"/>
      <x:c r="C86" s="390"/>
      <x:c r="D86" s="390"/>
      <x:c r="E86" s="390"/>
    </x:row>
    <x:row r="87">
      <x:c r="A87" s="390"/>
      <x:c r="B87" s="390"/>
      <x:c r="C87" s="390"/>
      <x:c r="D87" s="390"/>
      <x:c r="E87" s="390"/>
    </x:row>
    <x:row r="88">
      <x:c r="A88" s="390"/>
      <x:c r="B88" s="390"/>
      <x:c r="C88" s="390"/>
      <x:c r="D88" s="390"/>
      <x:c r="E88" s="390"/>
    </x:row>
    <x:row r="89">
      <x:c r="A89" s="390"/>
      <x:c r="B89" s="390"/>
      <x:c r="C89" s="390"/>
      <x:c r="D89" s="390"/>
      <x:c r="E89" s="390"/>
    </x:row>
    <x:row r="90">
      <x:c r="A90" s="390"/>
      <x:c r="B90" s="390"/>
      <x:c r="C90" s="390"/>
      <x:c r="D90" s="390"/>
      <x:c r="E90" s="390"/>
    </x:row>
    <x:row r="91">
      <x:c r="A91" s="390"/>
      <x:c r="B91" s="390"/>
      <x:c r="C91" s="390"/>
      <x:c r="D91" s="390"/>
      <x:c r="E91" s="390"/>
    </x:row>
    <x:row r="92">
      <x:c r="A92" s="390"/>
      <x:c r="B92" s="390"/>
      <x:c r="C92" s="390"/>
      <x:c r="D92" s="390"/>
      <x:c r="E92" s="390"/>
    </x:row>
    <x:row r="93">
      <x:c r="A93" s="390"/>
      <x:c r="B93" s="390"/>
      <x:c r="C93" s="390"/>
      <x:c r="D93" s="390"/>
      <x:c r="E93" s="390"/>
    </x:row>
    <x:row r="94">
      <x:c r="A94" s="390"/>
      <x:c r="B94" s="390"/>
      <x:c r="C94" s="390"/>
      <x:c r="D94" s="390"/>
      <x:c r="E94" s="390"/>
    </x:row>
    <x:row r="95">
      <x:c r="A95" s="390"/>
      <x:c r="B95" s="390"/>
      <x:c r="C95" s="390"/>
      <x:c r="D95" s="390"/>
      <x:c r="E95" s="390"/>
    </x:row>
    <x:row r="96">
      <x:c r="A96" s="390"/>
      <x:c r="B96" s="390"/>
      <x:c r="C96" s="390"/>
      <x:c r="D96" s="390"/>
      <x:c r="E96" s="390"/>
    </x:row>
    <x:row r="97">
      <x:c r="A97" s="390"/>
      <x:c r="B97" s="390"/>
      <x:c r="C97" s="390"/>
      <x:c r="D97" s="390"/>
      <x:c r="E97" s="390"/>
    </x:row>
    <x:row r="98">
      <x:c r="A98" s="390"/>
      <x:c r="B98" s="390"/>
      <x:c r="C98" s="390"/>
      <x:c r="D98" s="390"/>
      <x:c r="E98" s="390"/>
    </x:row>
    <x:row r="99">
      <x:c r="A99" s="390"/>
      <x:c r="B99" s="390"/>
      <x:c r="C99" s="390"/>
      <x:c r="D99" s="390"/>
      <x:c r="E99" s="390"/>
    </x:row>
    <x:row r="100">
      <x:c r="A100" s="390"/>
      <x:c r="B100" s="390"/>
      <x:c r="C100" s="390"/>
      <x:c r="D100" s="390"/>
      <x:c r="E100" s="390"/>
    </x:row>
    <x:row r="101">
      <x:c r="A101" s="390"/>
      <x:c r="B101" s="390"/>
      <x:c r="C101" s="390"/>
      <x:c r="D101" s="390"/>
      <x:c r="E101" s="390"/>
    </x:row>
    <x:row r="102">
      <x:c r="A102" s="390"/>
      <x:c r="B102" s="390"/>
      <x:c r="C102" s="390"/>
      <x:c r="D102" s="390"/>
      <x:c r="E102" s="390"/>
    </x:row>
    <x:row r="103">
      <x:c r="A103" s="390"/>
      <x:c r="B103" s="390"/>
      <x:c r="C103" s="390"/>
      <x:c r="D103" s="390"/>
      <x:c r="E103" s="390"/>
    </x:row>
    <x:row r="104">
      <x:c r="A104" s="390"/>
      <x:c r="B104" s="390"/>
      <x:c r="C104" s="390"/>
      <x:c r="D104" s="390"/>
      <x:c r="E104" s="390"/>
    </x:row>
    <x:row r="105">
      <x:c r="A105" s="390"/>
      <x:c r="B105" s="390"/>
      <x:c r="C105" s="390"/>
      <x:c r="D105" s="390"/>
      <x:c r="E105" s="390"/>
    </x:row>
    <x:row r="106">
      <x:c r="A106" s="390"/>
      <x:c r="B106" s="390"/>
      <x:c r="C106" s="390"/>
      <x:c r="D106" s="390"/>
      <x:c r="E106" s="390"/>
    </x:row>
    <x:row r="107">
      <x:c r="A107" s="390"/>
      <x:c r="B107" s="390"/>
      <x:c r="C107" s="390"/>
      <x:c r="D107" s="390"/>
      <x:c r="E107" s="390"/>
    </x:row>
    <x:row r="108">
      <x:c r="A108" s="390"/>
      <x:c r="B108" s="390"/>
      <x:c r="C108" s="390"/>
      <x:c r="D108" s="390"/>
      <x:c r="E108" s="390"/>
    </x:row>
    <x:row r="109">
      <x:c r="A109" s="390"/>
      <x:c r="B109" s="390"/>
      <x:c r="C109" s="390"/>
      <x:c r="D109" s="390"/>
      <x:c r="E109" s="390"/>
    </x:row>
    <x:row r="110">
      <x:c r="A110" s="390"/>
      <x:c r="B110" s="390"/>
      <x:c r="C110" s="390"/>
      <x:c r="D110" s="390"/>
      <x:c r="E110" s="390"/>
    </x:row>
    <x:row r="111">
      <x:c r="A111" s="390"/>
      <x:c r="B111" s="390"/>
      <x:c r="C111" s="390"/>
      <x:c r="D111" s="390"/>
      <x:c r="E111" s="390"/>
    </x:row>
    <x:row r="112">
      <x:c r="A112" s="390"/>
      <x:c r="B112" s="390"/>
      <x:c r="C112" s="390"/>
      <x:c r="D112" s="390"/>
      <x:c r="E112" s="390"/>
    </x:row>
    <x:row r="113">
      <x:c r="A113" s="390"/>
      <x:c r="B113" s="390"/>
      <x:c r="C113" s="390"/>
      <x:c r="D113" s="390"/>
      <x:c r="E113" s="390"/>
    </x:row>
    <x:row r="114">
      <x:c r="A114" s="390"/>
      <x:c r="B114" s="390"/>
      <x:c r="C114" s="390"/>
      <x:c r="D114" s="390"/>
      <x:c r="E114" s="390"/>
    </x:row>
    <x:row r="115">
      <x:c r="A115" s="390"/>
      <x:c r="B115" s="390"/>
      <x:c r="C115" s="390"/>
      <x:c r="D115" s="390"/>
      <x:c r="E115" s="390"/>
    </x:row>
    <x:row r="116">
      <x:c r="A116" s="390"/>
      <x:c r="B116" s="390"/>
      <x:c r="C116" s="390"/>
      <x:c r="D116" s="390"/>
      <x:c r="E116" s="390"/>
    </x:row>
    <x:row r="117">
      <x:c r="A117" s="390"/>
      <x:c r="B117" s="390"/>
      <x:c r="C117" s="390"/>
      <x:c r="D117" s="390"/>
      <x:c r="E117" s="390"/>
    </x:row>
    <x:row r="118">
      <x:c r="A118" s="390"/>
      <x:c r="B118" s="390"/>
      <x:c r="C118" s="390"/>
      <x:c r="D118" s="390"/>
      <x:c r="E118" s="390"/>
    </x:row>
    <x:row r="119">
      <x:c r="A119" s="390"/>
      <x:c r="B119" s="390"/>
      <x:c r="C119" s="390"/>
      <x:c r="D119" s="390"/>
      <x:c r="E119" s="390"/>
    </x:row>
    <x:row r="120">
      <x:c r="A120" s="390"/>
      <x:c r="B120" s="390"/>
      <x:c r="C120" s="390"/>
      <x:c r="D120" s="390"/>
      <x:c r="E120" s="390"/>
    </x:row>
    <x:row r="121">
      <x:c r="A121" s="390"/>
      <x:c r="B121" s="390"/>
      <x:c r="C121" s="390"/>
      <x:c r="D121" s="390"/>
      <x:c r="E121" s="390"/>
    </x:row>
    <x:row r="122">
      <x:c r="A122" s="390"/>
      <x:c r="B122" s="390"/>
      <x:c r="C122" s="390"/>
      <x:c r="D122" s="390"/>
      <x:c r="E122" s="390"/>
    </x:row>
    <x:row r="123">
      <x:c r="A123" s="390"/>
      <x:c r="B123" s="390"/>
      <x:c r="C123" s="390"/>
      <x:c r="D123" s="390"/>
      <x:c r="E123" s="390"/>
    </x:row>
    <x:row r="124">
      <x:c r="A124" s="390"/>
      <x:c r="B124" s="390"/>
      <x:c r="C124" s="390"/>
      <x:c r="D124" s="390"/>
      <x:c r="E124" s="390"/>
    </x:row>
    <x:row r="125">
      <x:c r="A125" s="390"/>
      <x:c r="B125" s="390"/>
      <x:c r="C125" s="390"/>
      <x:c r="D125" s="390"/>
      <x:c r="E125" s="390"/>
    </x:row>
    <x:row r="126">
      <x:c r="A126" s="390"/>
      <x:c r="B126" s="390"/>
      <x:c r="C126" s="390"/>
      <x:c r="D126" s="390"/>
      <x:c r="E126" s="390"/>
    </x:row>
    <x:row r="127">
      <x:c r="A127" s="390"/>
      <x:c r="B127" s="390"/>
      <x:c r="C127" s="390"/>
      <x:c r="D127" s="390"/>
      <x:c r="E127" s="390"/>
    </x:row>
    <x:row r="128">
      <x:c r="A128" s="390"/>
      <x:c r="B128" s="390"/>
      <x:c r="C128" s="390"/>
      <x:c r="D128" s="390"/>
      <x:c r="E128" s="390"/>
    </x:row>
    <x:row r="129">
      <x:c r="A129" s="390"/>
      <x:c r="B129" s="390"/>
      <x:c r="C129" s="390"/>
      <x:c r="D129" s="390"/>
      <x:c r="E129" s="390"/>
    </x:row>
    <x:row r="130">
      <x:c r="A130" s="390"/>
      <x:c r="B130" s="390"/>
      <x:c r="C130" s="390"/>
      <x:c r="D130" s="390"/>
      <x:c r="E130" s="390"/>
    </x:row>
    <x:row r="131">
      <x:c r="A131" s="390"/>
      <x:c r="B131" s="390"/>
      <x:c r="C131" s="390"/>
      <x:c r="D131" s="390"/>
      <x:c r="E131" s="390"/>
    </x:row>
    <x:row r="132">
      <x:c r="A132" s="390"/>
      <x:c r="B132" s="390"/>
      <x:c r="C132" s="390"/>
      <x:c r="D132" s="390"/>
      <x:c r="E132" s="390"/>
    </x:row>
    <x:row r="133">
      <x:c r="A133" s="390"/>
      <x:c r="B133" s="390"/>
      <x:c r="C133" s="390"/>
      <x:c r="D133" s="390"/>
      <x:c r="E133" s="390"/>
    </x:row>
    <x:row r="134">
      <x:c r="A134" s="390"/>
      <x:c r="B134" s="390"/>
      <x:c r="C134" s="390"/>
      <x:c r="D134" s="390"/>
      <x:c r="E134" s="390"/>
    </x:row>
    <x:row r="135">
      <x:c r="A135" s="390"/>
      <x:c r="B135" s="390"/>
      <x:c r="C135" s="390"/>
      <x:c r="D135" s="390"/>
      <x:c r="E135" s="390"/>
    </x:row>
    <x:row r="136">
      <x:c r="A136" s="390"/>
      <x:c r="B136" s="390"/>
      <x:c r="C136" s="390"/>
      <x:c r="D136" s="390"/>
      <x:c r="E136" s="390"/>
    </x:row>
    <x:row r="137">
      <x:c r="A137" s="390"/>
      <x:c r="B137" s="390"/>
      <x:c r="C137" s="390"/>
      <x:c r="D137" s="390"/>
      <x:c r="E137" s="390"/>
    </x:row>
    <x:row r="138">
      <x:c r="A138" s="390"/>
      <x:c r="B138" s="390"/>
      <x:c r="C138" s="390"/>
      <x:c r="D138" s="390"/>
      <x:c r="E138" s="390"/>
    </x:row>
    <x:row r="139">
      <x:c r="A139" s="390"/>
      <x:c r="B139" s="390"/>
      <x:c r="C139" s="390"/>
      <x:c r="D139" s="390"/>
      <x:c r="E139" s="390"/>
    </x:row>
    <x:row r="140">
      <x:c r="A140" s="390"/>
      <x:c r="B140" s="390"/>
      <x:c r="C140" s="390"/>
      <x:c r="D140" s="390"/>
      <x:c r="E140" s="390"/>
    </x:row>
    <x:row r="141">
      <x:c r="A141" s="390"/>
      <x:c r="B141" s="390"/>
      <x:c r="C141" s="390"/>
      <x:c r="D141" s="390"/>
      <x:c r="E141" s="390"/>
    </x:row>
    <x:row r="142">
      <x:c r="A142" s="390"/>
      <x:c r="B142" s="390"/>
      <x:c r="C142" s="390"/>
      <x:c r="D142" s="390"/>
      <x:c r="E142" s="390"/>
    </x:row>
    <x:row r="143">
      <x:c r="A143" s="390"/>
      <x:c r="B143" s="390"/>
      <x:c r="C143" s="390"/>
      <x:c r="D143" s="390"/>
      <x:c r="E143" s="390"/>
    </x:row>
    <x:row r="144">
      <x:c r="A144" s="390"/>
      <x:c r="B144" s="390"/>
      <x:c r="C144" s="390"/>
      <x:c r="D144" s="390"/>
      <x:c r="E144" s="390"/>
    </x:row>
    <x:row r="145">
      <x:c r="A145" s="390"/>
      <x:c r="B145" s="390"/>
      <x:c r="C145" s="390"/>
      <x:c r="D145" s="390"/>
      <x:c r="E145" s="390"/>
    </x:row>
    <x:row r="146">
      <x:c r="A146" s="390"/>
      <x:c r="B146" s="390"/>
      <x:c r="C146" s="390"/>
      <x:c r="D146" s="390"/>
      <x:c r="E146" s="390"/>
    </x:row>
    <x:row r="147">
      <x:c r="A147" s="390"/>
      <x:c r="B147" s="390"/>
      <x:c r="C147" s="390"/>
      <x:c r="D147" s="390"/>
      <x:c r="E147" s="390"/>
    </x:row>
    <x:row r="148">
      <x:c r="A148" s="390"/>
      <x:c r="B148" s="390"/>
      <x:c r="C148" s="390"/>
      <x:c r="D148" s="390"/>
      <x:c r="E148" s="390"/>
    </x:row>
    <x:row r="149">
      <x:c r="A149" s="390"/>
      <x:c r="B149" s="390"/>
      <x:c r="C149" s="390"/>
      <x:c r="D149" s="390"/>
      <x:c r="E149" s="390"/>
    </x:row>
    <x:row r="150">
      <x:c r="A150" s="390"/>
      <x:c r="B150" s="390"/>
      <x:c r="C150" s="390"/>
      <x:c r="D150" s="390"/>
      <x:c r="E150" s="390"/>
    </x:row>
    <x:row r="151">
      <x:c r="A151" s="390"/>
      <x:c r="B151" s="390"/>
      <x:c r="C151" s="390"/>
      <x:c r="D151" s="390"/>
      <x:c r="E151" s="390"/>
    </x:row>
    <x:row r="152">
      <x:c r="A152" s="390"/>
      <x:c r="B152" s="390"/>
      <x:c r="C152" s="390"/>
      <x:c r="D152" s="390"/>
      <x:c r="E152" s="390"/>
    </x:row>
    <x:row r="153">
      <x:c r="A153" s="390"/>
      <x:c r="B153" s="390"/>
      <x:c r="C153" s="390"/>
      <x:c r="D153" s="390"/>
      <x:c r="E153" s="390"/>
    </x:row>
    <x:row r="154">
      <x:c r="A154" s="390"/>
      <x:c r="B154" s="390"/>
      <x:c r="C154" s="390"/>
      <x:c r="D154" s="390"/>
      <x:c r="E154" s="390"/>
    </x:row>
    <x:row r="155">
      <x:c r="A155" s="390"/>
      <x:c r="B155" s="390"/>
      <x:c r="C155" s="390"/>
      <x:c r="D155" s="390"/>
      <x:c r="E155" s="390"/>
    </x:row>
    <x:row r="156">
      <x:c r="A156" s="390"/>
      <x:c r="B156" s="390"/>
      <x:c r="C156" s="390"/>
      <x:c r="D156" s="390"/>
      <x:c r="E156" s="390"/>
    </x:row>
    <x:row r="157">
      <x:c r="A157" s="390"/>
      <x:c r="B157" s="390"/>
      <x:c r="C157" s="390"/>
      <x:c r="D157" s="390"/>
      <x:c r="E157" s="390"/>
    </x:row>
    <x:row r="158">
      <x:c r="A158" s="390"/>
      <x:c r="B158" s="390"/>
      <x:c r="C158" s="390"/>
      <x:c r="D158" s="390"/>
      <x:c r="E158" s="390"/>
    </x:row>
    <x:row r="159">
      <x:c r="A159" s="390"/>
      <x:c r="B159" s="390"/>
      <x:c r="C159" s="390"/>
      <x:c r="D159" s="390"/>
      <x:c r="E159" s="390"/>
    </x:row>
    <x:row r="160">
      <x:c r="A160" s="390"/>
      <x:c r="B160" s="390"/>
      <x:c r="C160" s="390"/>
      <x:c r="D160" s="390"/>
      <x:c r="E160" s="390"/>
    </x:row>
    <x:row r="161">
      <x:c r="A161" s="390"/>
      <x:c r="B161" s="390"/>
      <x:c r="C161" s="390"/>
      <x:c r="D161" s="390"/>
      <x:c r="E161" s="390"/>
    </x:row>
    <x:row r="162">
      <x:c r="A162" s="390"/>
      <x:c r="B162" s="390"/>
      <x:c r="C162" s="390"/>
      <x:c r="D162" s="390"/>
      <x:c r="E162" s="390"/>
    </x:row>
    <x:row r="163">
      <x:c r="A163" s="390"/>
      <x:c r="B163" s="390"/>
      <x:c r="C163" s="390"/>
      <x:c r="D163" s="390"/>
      <x:c r="E163" s="390"/>
    </x:row>
    <x:row r="164">
      <x:c r="A164" s="390"/>
      <x:c r="B164" s="390"/>
      <x:c r="C164" s="390"/>
      <x:c r="D164" s="390"/>
      <x:c r="E164" s="390"/>
    </x:row>
    <x:row r="165">
      <x:c r="A165" s="390"/>
      <x:c r="B165" s="390"/>
      <x:c r="C165" s="390"/>
      <x:c r="D165" s="390"/>
      <x:c r="E165" s="390"/>
    </x:row>
    <x:row r="166">
      <x:c r="A166" s="390"/>
      <x:c r="B166" s="390"/>
      <x:c r="C166" s="390"/>
      <x:c r="D166" s="390"/>
      <x:c r="E166" s="390"/>
    </x:row>
    <x:row r="167">
      <x:c r="A167" s="390"/>
      <x:c r="B167" s="390"/>
      <x:c r="C167" s="390"/>
      <x:c r="D167" s="390"/>
      <x:c r="E167" s="390"/>
    </x:row>
    <x:row r="168">
      <x:c r="A168" s="390"/>
      <x:c r="B168" s="390"/>
      <x:c r="C168" s="390"/>
      <x:c r="D168" s="390"/>
      <x:c r="E168" s="390"/>
    </x:row>
    <x:row r="169">
      <x:c r="A169" s="390"/>
      <x:c r="B169" s="390"/>
      <x:c r="C169" s="390"/>
      <x:c r="D169" s="390"/>
      <x:c r="E169" s="390"/>
    </x:row>
    <x:row r="170">
      <x:c r="A170" s="390"/>
      <x:c r="B170" s="390"/>
      <x:c r="C170" s="390"/>
      <x:c r="D170" s="390"/>
      <x:c r="E170" s="390"/>
    </x:row>
    <x:row r="171">
      <x:c r="A171" s="390"/>
      <x:c r="B171" s="390"/>
      <x:c r="C171" s="390"/>
      <x:c r="D171" s="390"/>
      <x:c r="E171" s="390"/>
    </x:row>
    <x:row r="172">
      <x:c r="A172" s="390"/>
      <x:c r="B172" s="390"/>
      <x:c r="C172" s="390"/>
      <x:c r="D172" s="390"/>
      <x:c r="E172" s="390"/>
    </x:row>
    <x:row r="173">
      <x:c r="A173" s="390"/>
      <x:c r="B173" s="390"/>
      <x:c r="C173" s="390"/>
      <x:c r="D173" s="390"/>
      <x:c r="E173" s="390"/>
    </x:row>
    <x:row r="174">
      <x:c r="A174" s="390"/>
      <x:c r="B174" s="390"/>
      <x:c r="C174" s="390"/>
      <x:c r="D174" s="390"/>
      <x:c r="E174" s="390"/>
    </x:row>
    <x:row r="175">
      <x:c r="A175" s="390"/>
      <x:c r="B175" s="390"/>
      <x:c r="C175" s="390"/>
      <x:c r="D175" s="390"/>
      <x:c r="E175" s="390"/>
    </x:row>
    <x:row r="176">
      <x:c r="A176" s="390"/>
      <x:c r="B176" s="390"/>
      <x:c r="C176" s="390"/>
      <x:c r="D176" s="390"/>
      <x:c r="E176" s="390"/>
    </x:row>
    <x:row r="177">
      <x:c r="A177" s="390"/>
      <x:c r="B177" s="390"/>
      <x:c r="C177" s="390"/>
      <x:c r="D177" s="390"/>
      <x:c r="E177" s="390"/>
    </x:row>
    <x:row r="178">
      <x:c r="A178" s="390"/>
      <x:c r="B178" s="390"/>
      <x:c r="C178" s="390"/>
      <x:c r="D178" s="390"/>
      <x:c r="E178" s="390"/>
    </x:row>
    <x:row r="179">
      <x:c r="A179" s="390"/>
      <x:c r="B179" s="390"/>
      <x:c r="C179" s="390"/>
      <x:c r="D179" s="390"/>
      <x:c r="E179" s="390"/>
    </x:row>
    <x:row r="180">
      <x:c r="A180" s="390"/>
      <x:c r="B180" s="390"/>
      <x:c r="C180" s="390"/>
      <x:c r="D180" s="390"/>
      <x:c r="E180" s="390"/>
    </x:row>
    <x:row r="181">
      <x:c r="A181" s="390"/>
      <x:c r="B181" s="390"/>
      <x:c r="C181" s="390"/>
      <x:c r="D181" s="390"/>
      <x:c r="E181" s="390"/>
    </x:row>
    <x:row r="182">
      <x:c r="A182" s="390"/>
      <x:c r="B182" s="390"/>
      <x:c r="C182" s="390"/>
      <x:c r="D182" s="390"/>
      <x:c r="E182" s="390"/>
    </x:row>
    <x:row r="183">
      <x:c r="A183" s="390"/>
      <x:c r="B183" s="390"/>
      <x:c r="C183" s="390"/>
      <x:c r="D183" s="390"/>
      <x:c r="E183" s="390"/>
    </x:row>
    <x:row r="184">
      <x:c r="A184" s="390"/>
      <x:c r="B184" s="390"/>
      <x:c r="C184" s="390"/>
      <x:c r="D184" s="390"/>
      <x:c r="E184" s="390"/>
    </x:row>
    <x:row r="185">
      <x:c r="A185" s="390"/>
      <x:c r="B185" s="390"/>
      <x:c r="C185" s="390"/>
      <x:c r="D185" s="390"/>
      <x:c r="E185" s="390"/>
    </x:row>
    <x:row r="186">
      <x:c r="A186" s="390"/>
      <x:c r="B186" s="390"/>
      <x:c r="C186" s="390"/>
      <x:c r="D186" s="390"/>
      <x:c r="E186" s="390"/>
    </x:row>
    <x:row r="187">
      <x:c r="A187" s="390"/>
      <x:c r="B187" s="390"/>
      <x:c r="C187" s="390"/>
      <x:c r="D187" s="390"/>
      <x:c r="E187" s="390"/>
    </x:row>
    <x:row r="188">
      <x:c r="A188" s="390"/>
      <x:c r="B188" s="390"/>
      <x:c r="C188" s="390"/>
      <x:c r="D188" s="390"/>
      <x:c r="E188" s="390"/>
    </x:row>
    <x:row r="189">
      <x:c r="A189" s="390"/>
      <x:c r="B189" s="390"/>
      <x:c r="C189" s="390"/>
      <x:c r="D189" s="390"/>
      <x:c r="E189" s="390"/>
    </x:row>
    <x:row r="190">
      <x:c r="A190" s="390"/>
      <x:c r="B190" s="390"/>
      <x:c r="C190" s="390"/>
      <x:c r="D190" s="390"/>
      <x:c r="E190" s="390"/>
    </x:row>
    <x:row r="191">
      <x:c r="A191" s="390"/>
      <x:c r="B191" s="390"/>
      <x:c r="C191" s="390"/>
      <x:c r="D191" s="390"/>
      <x:c r="E191" s="390"/>
    </x:row>
    <x:row r="192">
      <x:c r="A192" s="390"/>
      <x:c r="B192" s="390"/>
      <x:c r="C192" s="390"/>
      <x:c r="D192" s="390"/>
      <x:c r="E192" s="390"/>
    </x:row>
    <x:row r="193">
      <x:c r="A193" s="390"/>
      <x:c r="B193" s="390"/>
      <x:c r="C193" s="390"/>
      <x:c r="D193" s="390"/>
      <x:c r="E193" s="390"/>
    </x:row>
    <x:row r="194">
      <x:c r="A194" s="390"/>
      <x:c r="B194" s="390"/>
      <x:c r="C194" s="390"/>
      <x:c r="D194" s="390"/>
      <x:c r="E194" s="390"/>
    </x:row>
    <x:row r="195">
      <x:c r="A195" s="390"/>
      <x:c r="B195" s="390"/>
      <x:c r="C195" s="390"/>
      <x:c r="D195" s="390"/>
      <x:c r="E195" s="390"/>
    </x:row>
    <x:row r="196">
      <x:c r="A196" s="390"/>
      <x:c r="B196" s="390"/>
      <x:c r="C196" s="390"/>
      <x:c r="D196" s="390"/>
      <x:c r="E196" s="390"/>
    </x:row>
    <x:row r="197">
      <x:c r="A197" s="390"/>
      <x:c r="B197" s="390"/>
      <x:c r="C197" s="390"/>
      <x:c r="D197" s="390"/>
      <x:c r="E197" s="390"/>
    </x:row>
    <x:row r="198">
      <x:c r="A198" s="390"/>
      <x:c r="B198" s="390"/>
      <x:c r="C198" s="390"/>
      <x:c r="D198" s="390"/>
      <x:c r="E198" s="390"/>
    </x:row>
    <x:row r="199">
      <x:c r="A199" s="390"/>
      <x:c r="B199" s="390"/>
      <x:c r="C199" s="390"/>
      <x:c r="D199" s="390"/>
      <x:c r="E199" s="390"/>
    </x:row>
    <x:row r="200">
      <x:c r="A200" s="390"/>
      <x:c r="B200" s="390"/>
      <x:c r="C200" s="390"/>
      <x:c r="D200" s="390"/>
      <x:c r="E200" s="390"/>
    </x:row>
    <x:row r="201">
      <x:c r="A201" s="390"/>
      <x:c r="B201" s="390"/>
      <x:c r="C201" s="390"/>
      <x:c r="D201" s="390"/>
      <x:c r="E201" s="390"/>
    </x:row>
    <x:row r="202">
      <x:c r="A202" s="390"/>
      <x:c r="B202" s="390"/>
      <x:c r="C202" s="390"/>
      <x:c r="D202" s="390"/>
      <x:c r="E202" s="390"/>
    </x:row>
    <x:row r="203">
      <x:c r="A203" s="390"/>
      <x:c r="B203" s="390"/>
      <x:c r="C203" s="390"/>
      <x:c r="D203" s="390"/>
      <x:c r="E203" s="390"/>
    </x:row>
    <x:row r="204">
      <x:c r="A204" s="390"/>
      <x:c r="B204" s="390"/>
      <x:c r="C204" s="390"/>
      <x:c r="D204" s="390"/>
      <x:c r="E204" s="390"/>
    </x:row>
    <x:row r="205">
      <x:c r="A205" s="390"/>
      <x:c r="B205" s="390"/>
      <x:c r="C205" s="390"/>
      <x:c r="D205" s="390"/>
      <x:c r="E205" s="390"/>
    </x:row>
    <x:row r="206">
      <x:c r="A206" s="390"/>
      <x:c r="B206" s="390"/>
      <x:c r="C206" s="390"/>
      <x:c r="D206" s="390"/>
      <x:c r="E206" s="390"/>
    </x:row>
    <x:row r="207">
      <x:c r="A207" s="390"/>
      <x:c r="B207" s="390"/>
      <x:c r="C207" s="390"/>
      <x:c r="D207" s="390"/>
      <x:c r="E207" s="390"/>
    </x:row>
    <x:row r="208">
      <x:c r="A208" s="390"/>
      <x:c r="B208" s="390"/>
      <x:c r="C208" s="390"/>
      <x:c r="D208" s="390"/>
      <x:c r="E208" s="390"/>
    </x:row>
    <x:row r="209">
      <x:c r="A209" s="390"/>
      <x:c r="B209" s="390"/>
      <x:c r="C209" s="390"/>
      <x:c r="D209" s="390"/>
      <x:c r="E209" s="390"/>
    </x:row>
    <x:row r="210">
      <x:c r="A210" s="390"/>
      <x:c r="B210" s="390"/>
      <x:c r="C210" s="390"/>
      <x:c r="D210" s="390"/>
      <x:c r="E210" s="390"/>
    </x:row>
    <x:row r="211">
      <x:c r="A211" s="390"/>
      <x:c r="B211" s="390"/>
      <x:c r="C211" s="390"/>
      <x:c r="D211" s="390"/>
      <x:c r="E211" s="390"/>
    </x:row>
    <x:row r="212">
      <x:c r="A212" s="390"/>
      <x:c r="B212" s="390"/>
      <x:c r="C212" s="390"/>
      <x:c r="D212" s="390"/>
      <x:c r="E212" s="390"/>
    </x:row>
    <x:row r="213">
      <x:c r="A213" s="390"/>
      <x:c r="B213" s="390"/>
      <x:c r="C213" s="390"/>
      <x:c r="D213" s="390"/>
      <x:c r="E213" s="390"/>
    </x:row>
    <x:row r="214">
      <x:c r="A214" s="390"/>
      <x:c r="B214" s="390"/>
      <x:c r="C214" s="390"/>
      <x:c r="D214" s="390"/>
      <x:c r="E214" s="390"/>
    </x:row>
    <x:row r="215">
      <x:c r="A215" s="390"/>
      <x:c r="B215" s="390"/>
      <x:c r="C215" s="390"/>
      <x:c r="D215" s="390"/>
      <x:c r="E215" s="390"/>
    </x:row>
    <x:row r="216">
      <x:c r="A216" s="390"/>
      <x:c r="B216" s="390"/>
      <x:c r="C216" s="390"/>
      <x:c r="D216" s="390"/>
      <x:c r="E216" s="390"/>
    </x:row>
    <x:row r="217">
      <x:c r="A217" s="390"/>
      <x:c r="B217" s="390"/>
      <x:c r="C217" s="390"/>
      <x:c r="D217" s="390"/>
      <x:c r="E217" s="390"/>
    </x:row>
    <x:row r="218">
      <x:c r="A218" s="390"/>
      <x:c r="B218" s="390"/>
      <x:c r="C218" s="390"/>
      <x:c r="D218" s="390"/>
      <x:c r="E218" s="390"/>
    </x:row>
    <x:row r="219">
      <x:c r="A219" s="390"/>
      <x:c r="B219" s="390"/>
      <x:c r="C219" s="390"/>
      <x:c r="D219" s="390"/>
      <x:c r="E219" s="390"/>
    </x:row>
    <x:row r="220">
      <x:c r="A220" s="390"/>
      <x:c r="B220" s="390"/>
      <x:c r="C220" s="390"/>
      <x:c r="D220" s="390"/>
      <x:c r="E220" s="390"/>
    </x:row>
  </x:sheetData>
  <x:mergeCells>
    <x:mergeCell ref="A3:E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20" hidden="0" customWidth="1"/>
  </x:cols>
  <x:sheetData>
    <x:row r="1">
      <x:c r="A1" s="419" t="str">
        <x:v>📱 Apple Wallet Suica</x:v>
      </x:c>
      <x:c r="B1" s="419"/>
      <x:c r="C1" s="419"/>
      <x:c r="D1" s="419"/>
    </x:row>
    <x:row r="2">
      <x:c r="A2" s="419"/>
      <x:c r="B2" s="419"/>
      <x:c r="C2" s="419"/>
      <x:c r="D2" s="419"/>
    </x:row>
    <x:row r="3">
      <x:c r="A3" s="420" t="str">
        <x:v>Primary transit setup for the trip. The app should treat Apple Wallet Suica as the default, with physical Suica/PASMO only as backup.</x:v>
      </x:c>
      <x:c r="B3" s="420"/>
      <x:c r="C3" s="420"/>
      <x:c r="D3" s="420"/>
    </x:row>
    <x:row r="4">
      <x:c r="A4" s="416"/>
      <x:c r="B4" s="416"/>
      <x:c r="C4" s="416"/>
      <x:c r="D4" s="416"/>
    </x:row>
    <x:row r="5">
      <x:c r="A5" s="423" t="str">
        <x:v>Topic</x:v>
      </x:c>
      <x:c r="B5" s="423" t="str">
        <x:v>Recommendation</x:v>
      </x:c>
      <x:c r="C5" s="423" t="str">
        <x:v>Notes</x:v>
      </x:c>
      <x:c r="D5" s="423" t="str">
        <x:v>Before Trip Status</x:v>
      </x:c>
    </x:row>
    <x:row r="6">
      <x:c r="A6" s="424" t="str">
        <x:v>Primary setup</x:v>
      </x:c>
      <x:c r="B6" s="424" t="str">
        <x:v>Use Suica in Apple Wallet</x:v>
      </x:c>
      <x:c r="C6" s="424" t="str">
        <x:v>Each traveler should use their own iPhone/Apple Watch where possible.</x:v>
      </x:c>
      <x:c r="D6" s="424" t="str">
        <x:v>To do</x:v>
      </x:c>
    </x:row>
    <x:row r="7">
      <x:c r="A7" s="424" t="str">
        <x:v>Backup</x:v>
      </x:c>
      <x:c r="B7" s="424" t="str">
        <x:v>Physical Suica/PASMO only as backup</x:v>
      </x:c>
      <x:c r="C7" s="424" t="str">
        <x:v>Useful if someone’s phone dies or Apple Wallet setup fails.</x:v>
      </x:c>
      <x:c r="D7" s="424" t="str">
        <x:v>Optional</x:v>
      </x:c>
    </x:row>
    <x:row r="8">
      <x:c r="A8" s="424" t="str">
        <x:v>Top up</x:v>
      </x:c>
      <x:c r="B8" s="424" t="str">
        <x:v>Test adding funds before departure</x:v>
      </x:c>
      <x:c r="C8" s="424" t="str">
        <x:v>Keep a balance cushion for trains, buses, vending machines, lockers, konbini, and quick purchases.</x:v>
      </x:c>
      <x:c r="D8" s="424" t="str">
        <x:v>To do</x:v>
      </x:c>
    </x:row>
    <x:row r="9">
      <x:c r="A9" s="424" t="str">
        <x:v>Express Transit</x:v>
      </x:c>
      <x:c r="B9" s="424" t="str">
        <x:v>Turn on Express Transit if available</x:v>
      </x:c>
      <x:c r="C9" s="424" t="str">
        <x:v>This makes gate tapping faster and less stressful.</x:v>
      </x:c>
      <x:c r="D9" s="424" t="str">
        <x:v>To do</x:v>
      </x:c>
    </x:row>
    <x:row r="10">
      <x:c r="A10" s="424" t="str">
        <x:v>Battery</x:v>
      </x:c>
      <x:c r="B10" s="424" t="str">
        <x:v>Bring a battery bank daily</x:v>
      </x:c>
      <x:c r="C10" s="424" t="str">
        <x:v>Transit access may depend on phone battery.</x:v>
      </x:c>
      <x:c r="D10" s="424" t="str">
        <x:v>To do</x:v>
      </x:c>
    </x:row>
    <x:row r="11">
      <x:c r="A11" s="424" t="str">
        <x:v>Separate tickets</x:v>
      </x:c>
      <x:c r="B11" s="424" t="str">
        <x:v>Still book special/reserved tickets separately</x:v>
      </x:c>
      <x:c r="C11" s="424" t="str">
        <x:v>Shinkansen, some airport trains, and reserved seats may not be covered by Suica alone.</x:v>
      </x:c>
      <x:c r="D11" s="424" t="str">
        <x:v>Reminder</x:v>
      </x:c>
    </x:row>
    <x:row r="12">
      <x:c r="A12" s="424" t="str">
        <x:v>Gate issue</x:v>
      </x:c>
      <x:c r="B12" s="424" t="str">
        <x:v>Ask station staff</x:v>
      </x:c>
      <x:c r="C12" s="424" t="str">
        <x:v>Show your phone if a gate rejects the card.</x:v>
      </x:c>
      <x:c r="D12" s="424" t="str">
        <x:v>Reminder</x:v>
      </x:c>
    </x:row>
    <x:row r="13">
      <x:c r="A13" s="416"/>
      <x:c r="B13" s="416"/>
      <x:c r="C13" s="416"/>
      <x:c r="D13" s="416"/>
    </x:row>
    <x:row r="14">
      <x:c r="A14" s="416"/>
      <x:c r="B14" s="416"/>
      <x:c r="C14" s="416"/>
      <x:c r="D14" s="416"/>
    </x:row>
    <x:row r="15">
      <x:c r="A15" s="416"/>
      <x:c r="B15" s="416"/>
      <x:c r="C15" s="416"/>
      <x:c r="D15" s="416"/>
    </x:row>
    <x:row r="16">
      <x:c r="A16" s="416"/>
      <x:c r="B16" s="416"/>
      <x:c r="C16" s="416"/>
      <x:c r="D16" s="416"/>
    </x:row>
    <x:row r="17">
      <x:c r="A17" s="416"/>
      <x:c r="B17" s="416"/>
      <x:c r="C17" s="416"/>
      <x:c r="D17" s="416"/>
    </x:row>
    <x:row r="18">
      <x:c r="A18" s="416"/>
      <x:c r="B18" s="416"/>
      <x:c r="C18" s="416"/>
      <x:c r="D18" s="416"/>
    </x:row>
    <x:row r="19">
      <x:c r="A19" s="416"/>
      <x:c r="B19" s="416"/>
      <x:c r="C19" s="416"/>
      <x:c r="D19" s="416"/>
    </x:row>
    <x:row r="20">
      <x:c r="A20" s="416"/>
      <x:c r="B20" s="416"/>
      <x:c r="C20" s="416"/>
      <x:c r="D20" s="416"/>
    </x:row>
    <x:row r="21">
      <x:c r="A21" s="416"/>
      <x:c r="B21" s="416"/>
      <x:c r="C21" s="416"/>
      <x:c r="D21" s="416"/>
    </x:row>
    <x:row r="22">
      <x:c r="A22" s="416"/>
      <x:c r="B22" s="416"/>
      <x:c r="C22" s="416"/>
      <x:c r="D22" s="416"/>
    </x:row>
    <x:row r="23">
      <x:c r="A23" s="416"/>
      <x:c r="B23" s="416"/>
      <x:c r="C23" s="416"/>
      <x:c r="D23" s="416"/>
    </x:row>
    <x:row r="24">
      <x:c r="A24" s="416"/>
      <x:c r="B24" s="416"/>
      <x:c r="C24" s="416"/>
      <x:c r="D24" s="416"/>
    </x:row>
    <x:row r="25">
      <x:c r="A25" s="416"/>
      <x:c r="B25" s="416"/>
      <x:c r="C25" s="416"/>
      <x:c r="D25" s="416"/>
    </x:row>
    <x:row r="26">
      <x:c r="A26" s="416"/>
      <x:c r="B26" s="416"/>
      <x:c r="C26" s="416"/>
      <x:c r="D26" s="416"/>
    </x:row>
    <x:row r="27">
      <x:c r="A27" s="416"/>
      <x:c r="B27" s="416"/>
      <x:c r="C27" s="416"/>
      <x:c r="D27" s="416"/>
    </x:row>
    <x:row r="28">
      <x:c r="A28" s="416"/>
      <x:c r="B28" s="416"/>
      <x:c r="C28" s="416"/>
      <x:c r="D28" s="416"/>
    </x:row>
    <x:row r="29">
      <x:c r="A29" s="416"/>
      <x:c r="B29" s="416"/>
      <x:c r="C29" s="416"/>
      <x:c r="D29" s="416"/>
    </x:row>
    <x:row r="30">
      <x:c r="A30" s="416"/>
      <x:c r="B30" s="416"/>
      <x:c r="C30" s="416"/>
      <x:c r="D30" s="416"/>
    </x:row>
    <x:row r="31">
      <x:c r="A31" s="416"/>
      <x:c r="B31" s="416"/>
      <x:c r="C31" s="416"/>
      <x:c r="D31" s="416"/>
    </x:row>
    <x:row r="32">
      <x:c r="A32" s="416"/>
      <x:c r="B32" s="416"/>
      <x:c r="C32" s="416"/>
      <x:c r="D32" s="416"/>
    </x:row>
    <x:row r="33">
      <x:c r="A33" s="416"/>
      <x:c r="B33" s="416"/>
      <x:c r="C33" s="416"/>
      <x:c r="D33" s="416"/>
    </x:row>
    <x:row r="34">
      <x:c r="A34" s="416"/>
      <x:c r="B34" s="416"/>
      <x:c r="C34" s="416"/>
      <x:c r="D34" s="416"/>
    </x:row>
    <x:row r="35">
      <x:c r="A35" s="416"/>
      <x:c r="B35" s="416"/>
      <x:c r="C35" s="416"/>
      <x:c r="D35" s="416"/>
    </x:row>
    <x:row r="36">
      <x:c r="A36" s="416"/>
      <x:c r="B36" s="416"/>
      <x:c r="C36" s="416"/>
      <x:c r="D36" s="416"/>
    </x:row>
    <x:row r="37">
      <x:c r="A37" s="416"/>
      <x:c r="B37" s="416"/>
      <x:c r="C37" s="416"/>
      <x:c r="D37" s="416"/>
    </x:row>
    <x:row r="38">
      <x:c r="A38" s="416"/>
      <x:c r="B38" s="416"/>
      <x:c r="C38" s="416"/>
      <x:c r="D38" s="416"/>
    </x:row>
    <x:row r="39">
      <x:c r="A39" s="416"/>
      <x:c r="B39" s="416"/>
      <x:c r="C39" s="416"/>
      <x:c r="D39" s="416"/>
    </x:row>
    <x:row r="40">
      <x:c r="A40" s="416"/>
      <x:c r="B40" s="416"/>
      <x:c r="C40" s="416"/>
      <x:c r="D40" s="416"/>
    </x:row>
    <x:row r="41">
      <x:c r="A41" s="416"/>
      <x:c r="B41" s="416"/>
      <x:c r="C41" s="416"/>
      <x:c r="D41" s="416"/>
    </x:row>
    <x:row r="42">
      <x:c r="A42" s="416"/>
      <x:c r="B42" s="416"/>
      <x:c r="C42" s="416"/>
      <x:c r="D42" s="416"/>
    </x:row>
    <x:row r="43">
      <x:c r="A43" s="416"/>
      <x:c r="B43" s="416"/>
      <x:c r="C43" s="416"/>
      <x:c r="D43" s="416"/>
    </x:row>
    <x:row r="44">
      <x:c r="A44" s="416"/>
      <x:c r="B44" s="416"/>
      <x:c r="C44" s="416"/>
      <x:c r="D44" s="416"/>
    </x:row>
    <x:row r="45">
      <x:c r="A45" s="416"/>
      <x:c r="B45" s="416"/>
      <x:c r="C45" s="416"/>
      <x:c r="D45" s="416"/>
    </x:row>
    <x:row r="46">
      <x:c r="A46" s="416"/>
      <x:c r="B46" s="416"/>
      <x:c r="C46" s="416"/>
      <x:c r="D46" s="416"/>
    </x:row>
    <x:row r="47">
      <x:c r="A47" s="416"/>
      <x:c r="B47" s="416"/>
      <x:c r="C47" s="416"/>
      <x:c r="D47" s="416"/>
    </x:row>
    <x:row r="48">
      <x:c r="A48" s="416"/>
      <x:c r="B48" s="416"/>
      <x:c r="C48" s="416"/>
      <x:c r="D48" s="416"/>
    </x:row>
    <x:row r="49">
      <x:c r="A49" s="416"/>
      <x:c r="B49" s="416"/>
      <x:c r="C49" s="416"/>
      <x:c r="D49" s="416"/>
    </x:row>
    <x:row r="50">
      <x:c r="A50" s="416"/>
      <x:c r="B50" s="416"/>
      <x:c r="C50" s="416"/>
      <x:c r="D50" s="416"/>
    </x:row>
    <x:row r="51">
      <x:c r="A51" s="416"/>
      <x:c r="B51" s="416"/>
      <x:c r="C51" s="416"/>
      <x:c r="D51" s="416"/>
    </x:row>
    <x:row r="52">
      <x:c r="A52" s="416"/>
      <x:c r="B52" s="416"/>
      <x:c r="C52" s="416"/>
      <x:c r="D52" s="416"/>
    </x:row>
    <x:row r="53">
      <x:c r="A53" s="416"/>
      <x:c r="B53" s="416"/>
      <x:c r="C53" s="416"/>
      <x:c r="D53" s="416"/>
    </x:row>
    <x:row r="54">
      <x:c r="A54" s="416"/>
      <x:c r="B54" s="416"/>
      <x:c r="C54" s="416"/>
      <x:c r="D54" s="416"/>
    </x:row>
    <x:row r="55">
      <x:c r="A55" s="416"/>
      <x:c r="B55" s="416"/>
      <x:c r="C55" s="416"/>
      <x:c r="D55" s="416"/>
    </x:row>
    <x:row r="56">
      <x:c r="A56" s="416"/>
      <x:c r="B56" s="416"/>
      <x:c r="C56" s="416"/>
      <x:c r="D56" s="416"/>
    </x:row>
    <x:row r="57">
      <x:c r="A57" s="416"/>
      <x:c r="B57" s="416"/>
      <x:c r="C57" s="416"/>
      <x:c r="D57" s="416"/>
    </x:row>
    <x:row r="58">
      <x:c r="A58" s="416"/>
      <x:c r="B58" s="416"/>
      <x:c r="C58" s="416"/>
      <x:c r="D58" s="416"/>
    </x:row>
    <x:row r="59">
      <x:c r="A59" s="416"/>
      <x:c r="B59" s="416"/>
      <x:c r="C59" s="416"/>
      <x:c r="D59" s="416"/>
    </x:row>
    <x:row r="60">
      <x:c r="A60" s="416"/>
      <x:c r="B60" s="416"/>
      <x:c r="C60" s="416"/>
      <x:c r="D60" s="416"/>
    </x:row>
    <x:row r="61">
      <x:c r="A61" s="416"/>
      <x:c r="B61" s="416"/>
      <x:c r="C61" s="416"/>
      <x:c r="D61" s="416"/>
    </x:row>
    <x:row r="62">
      <x:c r="A62" s="416"/>
      <x:c r="B62" s="416"/>
      <x:c r="C62" s="416"/>
      <x:c r="D62" s="416"/>
    </x:row>
    <x:row r="63">
      <x:c r="A63" s="416"/>
      <x:c r="B63" s="416"/>
      <x:c r="C63" s="416"/>
      <x:c r="D63" s="416"/>
    </x:row>
    <x:row r="64">
      <x:c r="A64" s="416"/>
      <x:c r="B64" s="416"/>
      <x:c r="C64" s="416"/>
      <x:c r="D64" s="416"/>
    </x:row>
    <x:row r="65">
      <x:c r="A65" s="416"/>
      <x:c r="B65" s="416"/>
      <x:c r="C65" s="416"/>
      <x:c r="D65" s="416"/>
    </x:row>
    <x:row r="66">
      <x:c r="A66" s="416"/>
      <x:c r="B66" s="416"/>
      <x:c r="C66" s="416"/>
      <x:c r="D66" s="416"/>
    </x:row>
    <x:row r="67">
      <x:c r="A67" s="416"/>
      <x:c r="B67" s="416"/>
      <x:c r="C67" s="416"/>
      <x:c r="D67" s="416"/>
    </x:row>
    <x:row r="68">
      <x:c r="A68" s="416"/>
      <x:c r="B68" s="416"/>
      <x:c r="C68" s="416"/>
      <x:c r="D68" s="416"/>
    </x:row>
    <x:row r="69">
      <x:c r="A69" s="416"/>
      <x:c r="B69" s="416"/>
      <x:c r="C69" s="416"/>
      <x:c r="D69" s="416"/>
    </x:row>
    <x:row r="70">
      <x:c r="A70" s="416"/>
      <x:c r="B70" s="416"/>
      <x:c r="C70" s="416"/>
      <x:c r="D70" s="416"/>
    </x:row>
    <x:row r="71">
      <x:c r="A71" s="416"/>
      <x:c r="B71" s="416"/>
      <x:c r="C71" s="416"/>
      <x:c r="D71" s="416"/>
    </x:row>
    <x:row r="72">
      <x:c r="A72" s="416"/>
      <x:c r="B72" s="416"/>
      <x:c r="C72" s="416"/>
      <x:c r="D72" s="416"/>
    </x:row>
    <x:row r="73">
      <x:c r="A73" s="416"/>
      <x:c r="B73" s="416"/>
      <x:c r="C73" s="416"/>
      <x:c r="D73" s="416"/>
    </x:row>
    <x:row r="74">
      <x:c r="A74" s="416"/>
      <x:c r="B74" s="416"/>
      <x:c r="C74" s="416"/>
      <x:c r="D74" s="416"/>
    </x:row>
    <x:row r="75">
      <x:c r="A75" s="416"/>
      <x:c r="B75" s="416"/>
      <x:c r="C75" s="416"/>
      <x:c r="D75" s="416"/>
    </x:row>
    <x:row r="76">
      <x:c r="A76" s="416"/>
      <x:c r="B76" s="416"/>
      <x:c r="C76" s="416"/>
      <x:c r="D76" s="416"/>
    </x:row>
    <x:row r="77">
      <x:c r="A77" s="416"/>
      <x:c r="B77" s="416"/>
      <x:c r="C77" s="416"/>
      <x:c r="D77" s="416"/>
    </x:row>
    <x:row r="78">
      <x:c r="A78" s="416"/>
      <x:c r="B78" s="416"/>
      <x:c r="C78" s="416"/>
      <x:c r="D78" s="416"/>
    </x:row>
    <x:row r="79">
      <x:c r="A79" s="416"/>
      <x:c r="B79" s="416"/>
      <x:c r="C79" s="416"/>
      <x:c r="D79" s="416"/>
    </x:row>
    <x:row r="80">
      <x:c r="A80" s="416"/>
      <x:c r="B80" s="416"/>
      <x:c r="C80" s="416"/>
      <x:c r="D80" s="416"/>
    </x:row>
  </x:sheetData>
  <x:mergeCells>
    <x:mergeCell ref="A3:D3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2" hidden="0" customWidth="1"/>
    <x:col min="5" max="5" width="20" hidden="0" customWidth="1"/>
    <x:col min="6" max="6" width="36" hidden="0" customWidth="1"/>
  </x:cols>
  <x:sheetData>
    <x:row r="1">
      <x:c r="A1" s="431" t="str">
        <x:v>🧭 Context Modes / Travel Flow</x:v>
      </x:c>
      <x:c r="B1" s="431"/>
      <x:c r="C1" s="431"/>
      <x:c r="D1" s="431"/>
      <x:c r="E1" s="431"/>
      <x:c r="F1" s="431"/>
    </x:row>
    <x:row r="2">
      <x:c r="A2" s="431"/>
      <x:c r="B2" s="431"/>
      <x:c r="C2" s="431"/>
      <x:c r="D2" s="431"/>
      <x:c r="E2" s="431"/>
      <x:c r="F2" s="431"/>
    </x:row>
    <x:row r="3">
      <x:c r="A3" s="432" t="str">
        <x:v>These context modes organize the app around what the family is doing right now, rather than forcing everyone to hunt through information categories.</x:v>
      </x:c>
      <x:c r="B3" s="432"/>
      <x:c r="C3" s="432"/>
      <x:c r="D3" s="432"/>
      <x:c r="E3" s="432"/>
      <x:c r="F3" s="432"/>
    </x:row>
    <x:row r="4">
      <x:c r="A4" s="428"/>
      <x:c r="B4" s="428"/>
      <x:c r="C4" s="428"/>
      <x:c r="D4" s="428"/>
      <x:c r="E4" s="428"/>
      <x:c r="F4" s="428"/>
    </x:row>
    <x:row r="5">
      <x:c r="A5" s="435" t="str">
        <x:v>Mode</x:v>
      </x:c>
      <x:c r="B5" s="435" t="str">
        <x:v>When It Appears</x:v>
      </x:c>
      <x:c r="C5" s="435" t="str">
        <x:v>Primary Purpose</x:v>
      </x:c>
      <x:c r="D5" s="435" t="str">
        <x:v>Data Needed</x:v>
      </x:c>
      <x:c r="E5" s="435" t="str">
        <x:v>Best For</x:v>
      </x:c>
      <x:c r="F5" s="435" t="str">
        <x:v>Future Upgrade</x:v>
      </x:c>
    </x:row>
    <x:row r="6">
      <x:c r="A6" s="436" t="str">
        <x:v>Before Trip</x:v>
      </x:c>
      <x:c r="B6" s="436" t="str">
        <x:v>Before departure / planning days</x:v>
      </x:c>
      <x:c r="C6" s="436" t="str">
        <x:v>Pre-flight prep, packing, bookings, Apple Wallet Suica</x:v>
      </x:c>
      <x:c r="D6" s="436" t="str">
        <x:v>Pre-Trip, Packing, Reservations, Flights, Hotels, Suica</x:v>
      </x:c>
      <x:c r="E6" s="436" t="str">
        <x:v>David + Noelle</x:v>
      </x:c>
      <x:c r="F6" s="436" t="str">
        <x:v>Auto countdown and missing-task alerts</x:v>
      </x:c>
    </x:row>
    <x:row r="7">
      <x:c r="A7" s="436" t="str">
        <x:v>Airport Mode</x:v>
      </x:c>
      <x:c r="B7" s="436" t="str">
        <x:v>Flight or arrival day</x:v>
      </x:c>
      <x:c r="C7" s="436" t="str">
        <x:v>Airport checklist, hotel address, first train, arrival phrases</x:v>
      </x:c>
      <x:c r="D7" s="436" t="str">
        <x:v>Flights, Hotels, Transit Cards, Emergency, Phrases</x:v>
      </x:c>
      <x:c r="E7" s="436" t="str">
        <x:v>Everyone</x:v>
      </x:c>
      <x:c r="F7" s="436" t="str">
        <x:v>Live flight status later</x:v>
      </x:c>
    </x:row>
    <x:row r="8">
      <x:c r="A8" s="436" t="str">
        <x:v>Transit Mode</x:v>
      </x:c>
      <x:c r="B8" s="436" t="str">
        <x:v>Train/transfer-heavy days</x:v>
      </x:c>
      <x:c r="C8" s="436" t="str">
        <x:v>One-handed station and transfer view</x:v>
      </x:c>
      <x:c r="D8" s="436" t="str">
        <x:v>Transit Cards, Maps, Hotels, Money/Suica</x:v>
      </x:c>
      <x:c r="E8" s="436" t="str">
        <x:v>Everyone</x:v>
      </x:c>
      <x:c r="F8" s="436" t="str">
        <x:v>Platform/exit fields when known</x:v>
      </x:c>
    </x:row>
    <x:row r="9">
      <x:c r="A9" s="436" t="str">
        <x:v>Explore Mode</x:v>
      </x:c>
      <x:c r="B9" s="436" t="str">
        <x:v>Free time / city exploration</x:v>
      </x:c>
      <x:c r="C9" s="436" t="str">
        <x:v>City hubs, restaurants, bathrooms, konbini, hidden gems</x:v>
      </x:c>
      <x:c r="D9" s="436" t="str">
        <x:v>Maps, Restaurants, City Guides, Seasonal</x:v>
      </x:c>
      <x:c r="E9" s="436" t="str">
        <x:v>Everyone</x:v>
      </x:c>
      <x:c r="F9" s="436" t="str">
        <x:v>Neighborhood artwork and embedded maps</x:v>
      </x:c>
    </x:row>
    <x:row r="10">
      <x:c r="A10" s="436" t="str">
        <x:v>Evening Mode</x:v>
      </x:c>
      <x:c r="B10" s="436" t="str">
        <x:v>End of day</x:v>
      </x:c>
      <x:c r="C10" s="436" t="str">
        <x:v>Tomorrow prep, journal, expenses, charging reminders</x:v>
      </x:c>
      <x:c r="D10" s="436" t="str">
        <x:v>Journal, Reservations, Weather, Packing, Budget</x:v>
      </x:c>
      <x:c r="E10" s="436" t="str">
        <x:v>Everyone</x:v>
      </x:c>
      <x:c r="F10" s="436" t="str">
        <x:v>Daily notification later</x:v>
      </x:c>
    </x:row>
    <x:row r="11">
      <x:c r="A11" s="436" t="str">
        <x:v>Memory Mode</x:v>
      </x:c>
      <x:c r="B11" s="436" t="str">
        <x:v>During/after trip</x:v>
      </x:c>
      <x:c r="C11" s="436" t="str">
        <x:v>Favorite photo, meal, funny moment, trip book export</x:v>
      </x:c>
      <x:c r="D11" s="436" t="str">
        <x:v>Journal, Favorites, Photos later</x:v>
      </x:c>
      <x:c r="E11" s="436" t="str">
        <x:v>Everyone</x:v>
      </x:c>
      <x:c r="F11" s="436" t="str">
        <x:v>PDF memory book</x:v>
      </x:c>
    </x:row>
    <x:row r="12">
      <x:c r="A12" s="428"/>
      <x:c r="B12" s="428"/>
      <x:c r="C12" s="428"/>
      <x:c r="D12" s="428"/>
      <x:c r="E12" s="428"/>
      <x:c r="F12" s="428"/>
    </x:row>
    <x:row r="13">
      <x:c r="A13" s="428"/>
      <x:c r="B13" s="428"/>
      <x:c r="C13" s="428"/>
      <x:c r="D13" s="428"/>
      <x:c r="E13" s="428"/>
      <x:c r="F13" s="428"/>
    </x:row>
    <x:row r="14">
      <x:c r="A14" s="428"/>
      <x:c r="B14" s="428"/>
      <x:c r="C14" s="428"/>
      <x:c r="D14" s="428"/>
      <x:c r="E14" s="428"/>
      <x:c r="F14" s="428"/>
    </x:row>
    <x:row r="15">
      <x:c r="A15" s="428"/>
      <x:c r="B15" s="428"/>
      <x:c r="C15" s="428"/>
      <x:c r="D15" s="428"/>
      <x:c r="E15" s="428"/>
      <x:c r="F15" s="428"/>
    </x:row>
    <x:row r="16">
      <x:c r="A16" s="428"/>
      <x:c r="B16" s="428"/>
      <x:c r="C16" s="428"/>
      <x:c r="D16" s="428"/>
      <x:c r="E16" s="428"/>
      <x:c r="F16" s="428"/>
    </x:row>
    <x:row r="17">
      <x:c r="A17" s="428"/>
      <x:c r="B17" s="428"/>
      <x:c r="C17" s="428"/>
      <x:c r="D17" s="428"/>
      <x:c r="E17" s="428"/>
      <x:c r="F17" s="428"/>
    </x:row>
    <x:row r="18">
      <x:c r="A18" s="428"/>
      <x:c r="B18" s="428"/>
      <x:c r="C18" s="428"/>
      <x:c r="D18" s="428"/>
      <x:c r="E18" s="428"/>
      <x:c r="F18" s="428"/>
    </x:row>
    <x:row r="19">
      <x:c r="A19" s="428"/>
      <x:c r="B19" s="428"/>
      <x:c r="C19" s="428"/>
      <x:c r="D19" s="428"/>
      <x:c r="E19" s="428"/>
      <x:c r="F19" s="428"/>
    </x:row>
    <x:row r="20">
      <x:c r="A20" s="428"/>
      <x:c r="B20" s="428"/>
      <x:c r="C20" s="428"/>
      <x:c r="D20" s="428"/>
      <x:c r="E20" s="428"/>
      <x:c r="F20" s="428"/>
    </x:row>
    <x:row r="21">
      <x:c r="A21" s="428"/>
      <x:c r="B21" s="428"/>
      <x:c r="C21" s="428"/>
      <x:c r="D21" s="428"/>
      <x:c r="E21" s="428"/>
      <x:c r="F21" s="428"/>
    </x:row>
    <x:row r="22">
      <x:c r="A22" s="428"/>
      <x:c r="B22" s="428"/>
      <x:c r="C22" s="428"/>
      <x:c r="D22" s="428"/>
      <x:c r="E22" s="428"/>
      <x:c r="F22" s="428"/>
    </x:row>
    <x:row r="23">
      <x:c r="A23" s="428"/>
      <x:c r="B23" s="428"/>
      <x:c r="C23" s="428"/>
      <x:c r="D23" s="428"/>
      <x:c r="E23" s="428"/>
      <x:c r="F23" s="428"/>
    </x:row>
    <x:row r="24">
      <x:c r="A24" s="428"/>
      <x:c r="B24" s="428"/>
      <x:c r="C24" s="428"/>
      <x:c r="D24" s="428"/>
      <x:c r="E24" s="428"/>
      <x:c r="F24" s="428"/>
    </x:row>
    <x:row r="25">
      <x:c r="A25" s="428"/>
      <x:c r="B25" s="428"/>
      <x:c r="C25" s="428"/>
      <x:c r="D25" s="428"/>
      <x:c r="E25" s="428"/>
      <x:c r="F25" s="428"/>
    </x:row>
    <x:row r="26">
      <x:c r="A26" s="428"/>
      <x:c r="B26" s="428"/>
      <x:c r="C26" s="428"/>
      <x:c r="D26" s="428"/>
      <x:c r="E26" s="428"/>
      <x:c r="F26" s="428"/>
    </x:row>
    <x:row r="27">
      <x:c r="A27" s="428"/>
      <x:c r="B27" s="428"/>
      <x:c r="C27" s="428"/>
      <x:c r="D27" s="428"/>
      <x:c r="E27" s="428"/>
      <x:c r="F27" s="428"/>
    </x:row>
    <x:row r="28">
      <x:c r="A28" s="428"/>
      <x:c r="B28" s="428"/>
      <x:c r="C28" s="428"/>
      <x:c r="D28" s="428"/>
      <x:c r="E28" s="428"/>
      <x:c r="F28" s="428"/>
    </x:row>
    <x:row r="29">
      <x:c r="A29" s="428"/>
      <x:c r="B29" s="428"/>
      <x:c r="C29" s="428"/>
      <x:c r="D29" s="428"/>
      <x:c r="E29" s="428"/>
      <x:c r="F29" s="428"/>
    </x:row>
    <x:row r="30">
      <x:c r="A30" s="428"/>
      <x:c r="B30" s="428"/>
      <x:c r="C30" s="428"/>
      <x:c r="D30" s="428"/>
      <x:c r="E30" s="428"/>
      <x:c r="F30" s="428"/>
    </x:row>
    <x:row r="31">
      <x:c r="A31" s="428"/>
      <x:c r="B31" s="428"/>
      <x:c r="C31" s="428"/>
      <x:c r="D31" s="428"/>
      <x:c r="E31" s="428"/>
      <x:c r="F31" s="428"/>
    </x:row>
    <x:row r="32">
      <x:c r="A32" s="428"/>
      <x:c r="B32" s="428"/>
      <x:c r="C32" s="428"/>
      <x:c r="D32" s="428"/>
      <x:c r="E32" s="428"/>
      <x:c r="F32" s="428"/>
    </x:row>
    <x:row r="33">
      <x:c r="A33" s="428"/>
      <x:c r="B33" s="428"/>
      <x:c r="C33" s="428"/>
      <x:c r="D33" s="428"/>
      <x:c r="E33" s="428"/>
      <x:c r="F33" s="428"/>
    </x:row>
    <x:row r="34">
      <x:c r="A34" s="428"/>
      <x:c r="B34" s="428"/>
      <x:c r="C34" s="428"/>
      <x:c r="D34" s="428"/>
      <x:c r="E34" s="428"/>
      <x:c r="F34" s="428"/>
    </x:row>
    <x:row r="35">
      <x:c r="A35" s="428"/>
      <x:c r="B35" s="428"/>
      <x:c r="C35" s="428"/>
      <x:c r="D35" s="428"/>
      <x:c r="E35" s="428"/>
      <x:c r="F35" s="428"/>
    </x:row>
    <x:row r="36">
      <x:c r="A36" s="428"/>
      <x:c r="B36" s="428"/>
      <x:c r="C36" s="428"/>
      <x:c r="D36" s="428"/>
      <x:c r="E36" s="428"/>
      <x:c r="F36" s="428"/>
    </x:row>
    <x:row r="37">
      <x:c r="A37" s="428"/>
      <x:c r="B37" s="428"/>
      <x:c r="C37" s="428"/>
      <x:c r="D37" s="428"/>
      <x:c r="E37" s="428"/>
      <x:c r="F37" s="428"/>
    </x:row>
    <x:row r="38">
      <x:c r="A38" s="428"/>
      <x:c r="B38" s="428"/>
      <x:c r="C38" s="428"/>
      <x:c r="D38" s="428"/>
      <x:c r="E38" s="428"/>
      <x:c r="F38" s="428"/>
    </x:row>
    <x:row r="39">
      <x:c r="A39" s="428"/>
      <x:c r="B39" s="428"/>
      <x:c r="C39" s="428"/>
      <x:c r="D39" s="428"/>
      <x:c r="E39" s="428"/>
      <x:c r="F39" s="428"/>
    </x:row>
    <x:row r="40">
      <x:c r="A40" s="428"/>
      <x:c r="B40" s="428"/>
      <x:c r="C40" s="428"/>
      <x:c r="D40" s="428"/>
      <x:c r="E40" s="428"/>
      <x:c r="F40" s="428"/>
    </x:row>
    <x:row r="41">
      <x:c r="A41" s="428"/>
      <x:c r="B41" s="428"/>
      <x:c r="C41" s="428"/>
      <x:c r="D41" s="428"/>
      <x:c r="E41" s="428"/>
      <x:c r="F41" s="428"/>
    </x:row>
    <x:row r="42">
      <x:c r="A42" s="428"/>
      <x:c r="B42" s="428"/>
      <x:c r="C42" s="428"/>
      <x:c r="D42" s="428"/>
      <x:c r="E42" s="428"/>
      <x:c r="F42" s="428"/>
    </x:row>
    <x:row r="43">
      <x:c r="A43" s="428"/>
      <x:c r="B43" s="428"/>
      <x:c r="C43" s="428"/>
      <x:c r="D43" s="428"/>
      <x:c r="E43" s="428"/>
      <x:c r="F43" s="428"/>
    </x:row>
    <x:row r="44">
      <x:c r="A44" s="428"/>
      <x:c r="B44" s="428"/>
      <x:c r="C44" s="428"/>
      <x:c r="D44" s="428"/>
      <x:c r="E44" s="428"/>
      <x:c r="F44" s="428"/>
    </x:row>
    <x:row r="45">
      <x:c r="A45" s="428"/>
      <x:c r="B45" s="428"/>
      <x:c r="C45" s="428"/>
      <x:c r="D45" s="428"/>
      <x:c r="E45" s="428"/>
      <x:c r="F45" s="428"/>
    </x:row>
    <x:row r="46">
      <x:c r="A46" s="428"/>
      <x:c r="B46" s="428"/>
      <x:c r="C46" s="428"/>
      <x:c r="D46" s="428"/>
      <x:c r="E46" s="428"/>
      <x:c r="F46" s="428"/>
    </x:row>
    <x:row r="47">
      <x:c r="A47" s="428"/>
      <x:c r="B47" s="428"/>
      <x:c r="C47" s="428"/>
      <x:c r="D47" s="428"/>
      <x:c r="E47" s="428"/>
      <x:c r="F47" s="428"/>
    </x:row>
    <x:row r="48">
      <x:c r="A48" s="428"/>
      <x:c r="B48" s="428"/>
      <x:c r="C48" s="428"/>
      <x:c r="D48" s="428"/>
      <x:c r="E48" s="428"/>
      <x:c r="F48" s="428"/>
    </x:row>
    <x:row r="49">
      <x:c r="A49" s="428"/>
      <x:c r="B49" s="428"/>
      <x:c r="C49" s="428"/>
      <x:c r="D49" s="428"/>
      <x:c r="E49" s="428"/>
      <x:c r="F49" s="428"/>
    </x:row>
    <x:row r="50">
      <x:c r="A50" s="428"/>
      <x:c r="B50" s="428"/>
      <x:c r="C50" s="428"/>
      <x:c r="D50" s="428"/>
      <x:c r="E50" s="428"/>
      <x:c r="F50" s="428"/>
    </x:row>
    <x:row r="51">
      <x:c r="A51" s="428"/>
      <x:c r="B51" s="428"/>
      <x:c r="C51" s="428"/>
      <x:c r="D51" s="428"/>
      <x:c r="E51" s="428"/>
      <x:c r="F51" s="428"/>
    </x:row>
    <x:row r="52">
      <x:c r="A52" s="428"/>
      <x:c r="B52" s="428"/>
      <x:c r="C52" s="428"/>
      <x:c r="D52" s="428"/>
      <x:c r="E52" s="428"/>
      <x:c r="F52" s="428"/>
    </x:row>
    <x:row r="53">
      <x:c r="A53" s="428"/>
      <x:c r="B53" s="428"/>
      <x:c r="C53" s="428"/>
      <x:c r="D53" s="428"/>
      <x:c r="E53" s="428"/>
      <x:c r="F53" s="428"/>
    </x:row>
    <x:row r="54">
      <x:c r="A54" s="428"/>
      <x:c r="B54" s="428"/>
      <x:c r="C54" s="428"/>
      <x:c r="D54" s="428"/>
      <x:c r="E54" s="428"/>
      <x:c r="F54" s="428"/>
    </x:row>
    <x:row r="55">
      <x:c r="A55" s="428"/>
      <x:c r="B55" s="428"/>
      <x:c r="C55" s="428"/>
      <x:c r="D55" s="428"/>
      <x:c r="E55" s="428"/>
      <x:c r="F55" s="428"/>
    </x:row>
    <x:row r="56">
      <x:c r="A56" s="428"/>
      <x:c r="B56" s="428"/>
      <x:c r="C56" s="428"/>
      <x:c r="D56" s="428"/>
      <x:c r="E56" s="428"/>
      <x:c r="F56" s="428"/>
    </x:row>
    <x:row r="57">
      <x:c r="A57" s="428"/>
      <x:c r="B57" s="428"/>
      <x:c r="C57" s="428"/>
      <x:c r="D57" s="428"/>
      <x:c r="E57" s="428"/>
      <x:c r="F57" s="428"/>
    </x:row>
    <x:row r="58">
      <x:c r="A58" s="428"/>
      <x:c r="B58" s="428"/>
      <x:c r="C58" s="428"/>
      <x:c r="D58" s="428"/>
      <x:c r="E58" s="428"/>
      <x:c r="F58" s="428"/>
    </x:row>
    <x:row r="59">
      <x:c r="A59" s="428"/>
      <x:c r="B59" s="428"/>
      <x:c r="C59" s="428"/>
      <x:c r="D59" s="428"/>
      <x:c r="E59" s="428"/>
      <x:c r="F59" s="428"/>
    </x:row>
    <x:row r="60">
      <x:c r="A60" s="428"/>
      <x:c r="B60" s="428"/>
      <x:c r="C60" s="428"/>
      <x:c r="D60" s="428"/>
      <x:c r="E60" s="428"/>
      <x:c r="F60" s="428"/>
    </x:row>
    <x:row r="61">
      <x:c r="A61" s="428"/>
      <x:c r="B61" s="428"/>
      <x:c r="C61" s="428"/>
      <x:c r="D61" s="428"/>
      <x:c r="E61" s="428"/>
      <x:c r="F61" s="428"/>
    </x:row>
    <x:row r="62">
      <x:c r="A62" s="428"/>
      <x:c r="B62" s="428"/>
      <x:c r="C62" s="428"/>
      <x:c r="D62" s="428"/>
      <x:c r="E62" s="428"/>
      <x:c r="F62" s="428"/>
    </x:row>
    <x:row r="63">
      <x:c r="A63" s="428"/>
      <x:c r="B63" s="428"/>
      <x:c r="C63" s="428"/>
      <x:c r="D63" s="428"/>
      <x:c r="E63" s="428"/>
      <x:c r="F63" s="428"/>
    </x:row>
    <x:row r="64">
      <x:c r="A64" s="428"/>
      <x:c r="B64" s="428"/>
      <x:c r="C64" s="428"/>
      <x:c r="D64" s="428"/>
      <x:c r="E64" s="428"/>
      <x:c r="F64" s="428"/>
    </x:row>
    <x:row r="65">
      <x:c r="A65" s="428"/>
      <x:c r="B65" s="428"/>
      <x:c r="C65" s="428"/>
      <x:c r="D65" s="428"/>
      <x:c r="E65" s="428"/>
      <x:c r="F65" s="428"/>
    </x:row>
    <x:row r="66">
      <x:c r="A66" s="428"/>
      <x:c r="B66" s="428"/>
      <x:c r="C66" s="428"/>
      <x:c r="D66" s="428"/>
      <x:c r="E66" s="428"/>
      <x:c r="F66" s="428"/>
    </x:row>
    <x:row r="67">
      <x:c r="A67" s="428"/>
      <x:c r="B67" s="428"/>
      <x:c r="C67" s="428"/>
      <x:c r="D67" s="428"/>
      <x:c r="E67" s="428"/>
      <x:c r="F67" s="428"/>
    </x:row>
    <x:row r="68">
      <x:c r="A68" s="428"/>
      <x:c r="B68" s="428"/>
      <x:c r="C68" s="428"/>
      <x:c r="D68" s="428"/>
      <x:c r="E68" s="428"/>
      <x:c r="F68" s="428"/>
    </x:row>
    <x:row r="69">
      <x:c r="A69" s="428"/>
      <x:c r="B69" s="428"/>
      <x:c r="C69" s="428"/>
      <x:c r="D69" s="428"/>
      <x:c r="E69" s="428"/>
      <x:c r="F69" s="428"/>
    </x:row>
    <x:row r="70">
      <x:c r="A70" s="428"/>
      <x:c r="B70" s="428"/>
      <x:c r="C70" s="428"/>
      <x:c r="D70" s="428"/>
      <x:c r="E70" s="428"/>
      <x:c r="F70" s="428"/>
    </x:row>
    <x:row r="71">
      <x:c r="A71" s="428"/>
      <x:c r="B71" s="428"/>
      <x:c r="C71" s="428"/>
      <x:c r="D71" s="428"/>
      <x:c r="E71" s="428"/>
      <x:c r="F71" s="428"/>
    </x:row>
    <x:row r="72">
      <x:c r="A72" s="428"/>
      <x:c r="B72" s="428"/>
      <x:c r="C72" s="428"/>
      <x:c r="D72" s="428"/>
      <x:c r="E72" s="428"/>
      <x:c r="F72" s="428"/>
    </x:row>
    <x:row r="73">
      <x:c r="A73" s="428"/>
      <x:c r="B73" s="428"/>
      <x:c r="C73" s="428"/>
      <x:c r="D73" s="428"/>
      <x:c r="E73" s="428"/>
      <x:c r="F73" s="428"/>
    </x:row>
    <x:row r="74">
      <x:c r="A74" s="428"/>
      <x:c r="B74" s="428"/>
      <x:c r="C74" s="428"/>
      <x:c r="D74" s="428"/>
      <x:c r="E74" s="428"/>
      <x:c r="F74" s="428"/>
    </x:row>
    <x:row r="75">
      <x:c r="A75" s="428"/>
      <x:c r="B75" s="428"/>
      <x:c r="C75" s="428"/>
      <x:c r="D75" s="428"/>
      <x:c r="E75" s="428"/>
      <x:c r="F75" s="428"/>
    </x:row>
    <x:row r="76">
      <x:c r="A76" s="428"/>
      <x:c r="B76" s="428"/>
      <x:c r="C76" s="428"/>
      <x:c r="D76" s="428"/>
      <x:c r="E76" s="428"/>
      <x:c r="F76" s="428"/>
    </x:row>
    <x:row r="77">
      <x:c r="A77" s="428"/>
      <x:c r="B77" s="428"/>
      <x:c r="C77" s="428"/>
      <x:c r="D77" s="428"/>
      <x:c r="E77" s="428"/>
      <x:c r="F77" s="428"/>
    </x:row>
    <x:row r="78">
      <x:c r="A78" s="428"/>
      <x:c r="B78" s="428"/>
      <x:c r="C78" s="428"/>
      <x:c r="D78" s="428"/>
      <x:c r="E78" s="428"/>
      <x:c r="F78" s="428"/>
    </x:row>
    <x:row r="79">
      <x:c r="A79" s="428"/>
      <x:c r="B79" s="428"/>
      <x:c r="C79" s="428"/>
      <x:c r="D79" s="428"/>
      <x:c r="E79" s="428"/>
      <x:c r="F79" s="428"/>
    </x:row>
    <x:row r="80">
      <x:c r="A80" s="428"/>
      <x:c r="B80" s="428"/>
      <x:c r="C80" s="428"/>
      <x:c r="D80" s="428"/>
      <x:c r="E80" s="428"/>
      <x:c r="F80" s="428"/>
    </x:row>
    <x:row r="81">
      <x:c r="A81" s="428"/>
      <x:c r="B81" s="428"/>
      <x:c r="C81" s="428"/>
      <x:c r="D81" s="428"/>
      <x:c r="E81" s="428"/>
      <x:c r="F81" s="428"/>
    </x:row>
    <x:row r="82">
      <x:c r="A82" s="428"/>
      <x:c r="B82" s="428"/>
      <x:c r="C82" s="428"/>
      <x:c r="D82" s="428"/>
      <x:c r="E82" s="428"/>
      <x:c r="F82" s="428"/>
    </x:row>
    <x:row r="83">
      <x:c r="A83" s="428"/>
      <x:c r="B83" s="428"/>
      <x:c r="C83" s="428"/>
      <x:c r="D83" s="428"/>
      <x:c r="E83" s="428"/>
      <x:c r="F83" s="428"/>
    </x:row>
    <x:row r="84">
      <x:c r="A84" s="428"/>
      <x:c r="B84" s="428"/>
      <x:c r="C84" s="428"/>
      <x:c r="D84" s="428"/>
      <x:c r="E84" s="428"/>
      <x:c r="F84" s="428"/>
    </x:row>
    <x:row r="85">
      <x:c r="A85" s="428"/>
      <x:c r="B85" s="428"/>
      <x:c r="C85" s="428"/>
      <x:c r="D85" s="428"/>
      <x:c r="E85" s="428"/>
      <x:c r="F85" s="428"/>
    </x:row>
    <x:row r="86">
      <x:c r="A86" s="428"/>
      <x:c r="B86" s="428"/>
      <x:c r="C86" s="428"/>
      <x:c r="D86" s="428"/>
      <x:c r="E86" s="428"/>
      <x:c r="F86" s="428"/>
    </x:row>
    <x:row r="87">
      <x:c r="A87" s="428"/>
      <x:c r="B87" s="428"/>
      <x:c r="C87" s="428"/>
      <x:c r="D87" s="428"/>
      <x:c r="E87" s="428"/>
      <x:c r="F87" s="428"/>
    </x:row>
    <x:row r="88">
      <x:c r="A88" s="428"/>
      <x:c r="B88" s="428"/>
      <x:c r="C88" s="428"/>
      <x:c r="D88" s="428"/>
      <x:c r="E88" s="428"/>
      <x:c r="F88" s="428"/>
    </x:row>
    <x:row r="89">
      <x:c r="A89" s="428"/>
      <x:c r="B89" s="428"/>
      <x:c r="C89" s="428"/>
      <x:c r="D89" s="428"/>
      <x:c r="E89" s="428"/>
      <x:c r="F89" s="428"/>
    </x:row>
    <x:row r="90">
      <x:c r="A90" s="428"/>
      <x:c r="B90" s="428"/>
      <x:c r="C90" s="428"/>
      <x:c r="D90" s="428"/>
      <x:c r="E90" s="428"/>
      <x:c r="F90" s="428"/>
    </x:row>
    <x:row r="91">
      <x:c r="A91" s="428"/>
      <x:c r="B91" s="428"/>
      <x:c r="C91" s="428"/>
      <x:c r="D91" s="428"/>
      <x:c r="E91" s="428"/>
      <x:c r="F91" s="428"/>
    </x:row>
    <x:row r="92">
      <x:c r="A92" s="428"/>
      <x:c r="B92" s="428"/>
      <x:c r="C92" s="428"/>
      <x:c r="D92" s="428"/>
      <x:c r="E92" s="428"/>
      <x:c r="F92" s="428"/>
    </x:row>
    <x:row r="93">
      <x:c r="A93" s="428"/>
      <x:c r="B93" s="428"/>
      <x:c r="C93" s="428"/>
      <x:c r="D93" s="428"/>
      <x:c r="E93" s="428"/>
      <x:c r="F93" s="428"/>
    </x:row>
    <x:row r="94">
      <x:c r="A94" s="428"/>
      <x:c r="B94" s="428"/>
      <x:c r="C94" s="428"/>
      <x:c r="D94" s="428"/>
      <x:c r="E94" s="428"/>
      <x:c r="F94" s="428"/>
    </x:row>
    <x:row r="95">
      <x:c r="A95" s="428"/>
      <x:c r="B95" s="428"/>
      <x:c r="C95" s="428"/>
      <x:c r="D95" s="428"/>
      <x:c r="E95" s="428"/>
      <x:c r="F95" s="428"/>
    </x:row>
    <x:row r="96">
      <x:c r="A96" s="428"/>
      <x:c r="B96" s="428"/>
      <x:c r="C96" s="428"/>
      <x:c r="D96" s="428"/>
      <x:c r="E96" s="428"/>
      <x:c r="F96" s="428"/>
    </x:row>
    <x:row r="97">
      <x:c r="A97" s="428"/>
      <x:c r="B97" s="428"/>
      <x:c r="C97" s="428"/>
      <x:c r="D97" s="428"/>
      <x:c r="E97" s="428"/>
      <x:c r="F97" s="428"/>
    </x:row>
    <x:row r="98">
      <x:c r="A98" s="428"/>
      <x:c r="B98" s="428"/>
      <x:c r="C98" s="428"/>
      <x:c r="D98" s="428"/>
      <x:c r="E98" s="428"/>
      <x:c r="F98" s="428"/>
    </x:row>
    <x:row r="99">
      <x:c r="A99" s="428"/>
      <x:c r="B99" s="428"/>
      <x:c r="C99" s="428"/>
      <x:c r="D99" s="428"/>
      <x:c r="E99" s="428"/>
      <x:c r="F99" s="428"/>
    </x:row>
    <x:row r="100">
      <x:c r="A100" s="428"/>
      <x:c r="B100" s="428"/>
      <x:c r="C100" s="428"/>
      <x:c r="D100" s="428"/>
      <x:c r="E100" s="428"/>
      <x:c r="F100" s="428"/>
    </x:row>
    <x:row r="101">
      <x:c r="A101" s="428"/>
      <x:c r="B101" s="428"/>
      <x:c r="C101" s="428"/>
      <x:c r="D101" s="428"/>
      <x:c r="E101" s="428"/>
      <x:c r="F101" s="428"/>
    </x:row>
    <x:row r="102">
      <x:c r="A102" s="428"/>
      <x:c r="B102" s="428"/>
      <x:c r="C102" s="428"/>
      <x:c r="D102" s="428"/>
      <x:c r="E102" s="428"/>
      <x:c r="F102" s="428"/>
    </x:row>
    <x:row r="103">
      <x:c r="A103" s="428"/>
      <x:c r="B103" s="428"/>
      <x:c r="C103" s="428"/>
      <x:c r="D103" s="428"/>
      <x:c r="E103" s="428"/>
      <x:c r="F103" s="428"/>
    </x:row>
    <x:row r="104">
      <x:c r="A104" s="428"/>
      <x:c r="B104" s="428"/>
      <x:c r="C104" s="428"/>
      <x:c r="D104" s="428"/>
      <x:c r="E104" s="428"/>
      <x:c r="F104" s="428"/>
    </x:row>
    <x:row r="105">
      <x:c r="A105" s="428"/>
      <x:c r="B105" s="428"/>
      <x:c r="C105" s="428"/>
      <x:c r="D105" s="428"/>
      <x:c r="E105" s="428"/>
      <x:c r="F105" s="428"/>
    </x:row>
    <x:row r="106">
      <x:c r="A106" s="428"/>
      <x:c r="B106" s="428"/>
      <x:c r="C106" s="428"/>
      <x:c r="D106" s="428"/>
      <x:c r="E106" s="428"/>
      <x:c r="F106" s="428"/>
    </x:row>
    <x:row r="107">
      <x:c r="A107" s="428"/>
      <x:c r="B107" s="428"/>
      <x:c r="C107" s="428"/>
      <x:c r="D107" s="428"/>
      <x:c r="E107" s="428"/>
      <x:c r="F107" s="428"/>
    </x:row>
    <x:row r="108">
      <x:c r="A108" s="428"/>
      <x:c r="B108" s="428"/>
      <x:c r="C108" s="428"/>
      <x:c r="D108" s="428"/>
      <x:c r="E108" s="428"/>
      <x:c r="F108" s="428"/>
    </x:row>
    <x:row r="109">
      <x:c r="A109" s="428"/>
      <x:c r="B109" s="428"/>
      <x:c r="C109" s="428"/>
      <x:c r="D109" s="428"/>
      <x:c r="E109" s="428"/>
      <x:c r="F109" s="428"/>
    </x:row>
    <x:row r="110">
      <x:c r="A110" s="428"/>
      <x:c r="B110" s="428"/>
      <x:c r="C110" s="428"/>
      <x:c r="D110" s="428"/>
      <x:c r="E110" s="428"/>
      <x:c r="F110" s="428"/>
    </x:row>
    <x:row r="111">
      <x:c r="A111" s="428"/>
      <x:c r="B111" s="428"/>
      <x:c r="C111" s="428"/>
      <x:c r="D111" s="428"/>
      <x:c r="E111" s="428"/>
      <x:c r="F111" s="428"/>
    </x:row>
    <x:row r="112">
      <x:c r="A112" s="428"/>
      <x:c r="B112" s="428"/>
      <x:c r="C112" s="428"/>
      <x:c r="D112" s="428"/>
      <x:c r="E112" s="428"/>
      <x:c r="F112" s="428"/>
    </x:row>
    <x:row r="113">
      <x:c r="A113" s="428"/>
      <x:c r="B113" s="428"/>
      <x:c r="C113" s="428"/>
      <x:c r="D113" s="428"/>
      <x:c r="E113" s="428"/>
      <x:c r="F113" s="428"/>
    </x:row>
    <x:row r="114">
      <x:c r="A114" s="428"/>
      <x:c r="B114" s="428"/>
      <x:c r="C114" s="428"/>
      <x:c r="D114" s="428"/>
      <x:c r="E114" s="428"/>
      <x:c r="F114" s="428"/>
    </x:row>
    <x:row r="115">
      <x:c r="A115" s="428"/>
      <x:c r="B115" s="428"/>
      <x:c r="C115" s="428"/>
      <x:c r="D115" s="428"/>
      <x:c r="E115" s="428"/>
      <x:c r="F115" s="428"/>
    </x:row>
    <x:row r="116">
      <x:c r="A116" s="428"/>
      <x:c r="B116" s="428"/>
      <x:c r="C116" s="428"/>
      <x:c r="D116" s="428"/>
      <x:c r="E116" s="428"/>
      <x:c r="F116" s="428"/>
    </x:row>
    <x:row r="117">
      <x:c r="A117" s="428"/>
      <x:c r="B117" s="428"/>
      <x:c r="C117" s="428"/>
      <x:c r="D117" s="428"/>
      <x:c r="E117" s="428"/>
      <x:c r="F117" s="428"/>
    </x:row>
    <x:row r="118">
      <x:c r="A118" s="428"/>
      <x:c r="B118" s="428"/>
      <x:c r="C118" s="428"/>
      <x:c r="D118" s="428"/>
      <x:c r="E118" s="428"/>
      <x:c r="F118" s="428"/>
    </x:row>
    <x:row r="119">
      <x:c r="A119" s="428"/>
      <x:c r="B119" s="428"/>
      <x:c r="C119" s="428"/>
      <x:c r="D119" s="428"/>
      <x:c r="E119" s="428"/>
      <x:c r="F119" s="428"/>
    </x:row>
    <x:row r="120">
      <x:c r="A120" s="428"/>
      <x:c r="B120" s="428"/>
      <x:c r="C120" s="428"/>
      <x:c r="D120" s="428"/>
      <x:c r="E120" s="428"/>
      <x:c r="F120" s="428"/>
    </x:row>
    <x:row r="121">
      <x:c r="A121" s="428"/>
      <x:c r="B121" s="428"/>
      <x:c r="C121" s="428"/>
      <x:c r="D121" s="428"/>
      <x:c r="E121" s="428"/>
      <x:c r="F121" s="428"/>
    </x:row>
    <x:row r="122">
      <x:c r="A122" s="428"/>
      <x:c r="B122" s="428"/>
      <x:c r="C122" s="428"/>
      <x:c r="D122" s="428"/>
      <x:c r="E122" s="428"/>
      <x:c r="F122" s="428"/>
    </x:row>
    <x:row r="123">
      <x:c r="A123" s="428"/>
      <x:c r="B123" s="428"/>
      <x:c r="C123" s="428"/>
      <x:c r="D123" s="428"/>
      <x:c r="E123" s="428"/>
      <x:c r="F123" s="428"/>
    </x:row>
    <x:row r="124">
      <x:c r="A124" s="428"/>
      <x:c r="B124" s="428"/>
      <x:c r="C124" s="428"/>
      <x:c r="D124" s="428"/>
      <x:c r="E124" s="428"/>
      <x:c r="F124" s="428"/>
    </x:row>
    <x:row r="125">
      <x:c r="A125" s="428"/>
      <x:c r="B125" s="428"/>
      <x:c r="C125" s="428"/>
      <x:c r="D125" s="428"/>
      <x:c r="E125" s="428"/>
      <x:c r="F125" s="428"/>
    </x:row>
    <x:row r="126">
      <x:c r="A126" s="428"/>
      <x:c r="B126" s="428"/>
      <x:c r="C126" s="428"/>
      <x:c r="D126" s="428"/>
      <x:c r="E126" s="428"/>
      <x:c r="F126" s="428"/>
    </x:row>
    <x:row r="127">
      <x:c r="A127" s="428"/>
      <x:c r="B127" s="428"/>
      <x:c r="C127" s="428"/>
      <x:c r="D127" s="428"/>
      <x:c r="E127" s="428"/>
      <x:c r="F127" s="428"/>
    </x:row>
    <x:row r="128">
      <x:c r="A128" s="428"/>
      <x:c r="B128" s="428"/>
      <x:c r="C128" s="428"/>
      <x:c r="D128" s="428"/>
      <x:c r="E128" s="428"/>
      <x:c r="F128" s="428"/>
    </x:row>
    <x:row r="129">
      <x:c r="A129" s="428"/>
      <x:c r="B129" s="428"/>
      <x:c r="C129" s="428"/>
      <x:c r="D129" s="428"/>
      <x:c r="E129" s="428"/>
      <x:c r="F129" s="428"/>
    </x:row>
    <x:row r="130">
      <x:c r="A130" s="428"/>
      <x:c r="B130" s="428"/>
      <x:c r="C130" s="428"/>
      <x:c r="D130" s="428"/>
      <x:c r="E130" s="428"/>
      <x:c r="F130" s="428"/>
    </x:row>
    <x:row r="131">
      <x:c r="A131" s="428"/>
      <x:c r="B131" s="428"/>
      <x:c r="C131" s="428"/>
      <x:c r="D131" s="428"/>
      <x:c r="E131" s="428"/>
      <x:c r="F131" s="428"/>
    </x:row>
    <x:row r="132">
      <x:c r="A132" s="428"/>
      <x:c r="B132" s="428"/>
      <x:c r="C132" s="428"/>
      <x:c r="D132" s="428"/>
      <x:c r="E132" s="428"/>
      <x:c r="F132" s="428"/>
    </x:row>
    <x:row r="133">
      <x:c r="A133" s="428"/>
      <x:c r="B133" s="428"/>
      <x:c r="C133" s="428"/>
      <x:c r="D133" s="428"/>
      <x:c r="E133" s="428"/>
      <x:c r="F133" s="428"/>
    </x:row>
    <x:row r="134">
      <x:c r="A134" s="428"/>
      <x:c r="B134" s="428"/>
      <x:c r="C134" s="428"/>
      <x:c r="D134" s="428"/>
      <x:c r="E134" s="428"/>
      <x:c r="F134" s="428"/>
    </x:row>
    <x:row r="135">
      <x:c r="A135" s="428"/>
      <x:c r="B135" s="428"/>
      <x:c r="C135" s="428"/>
      <x:c r="D135" s="428"/>
      <x:c r="E135" s="428"/>
      <x:c r="F135" s="428"/>
    </x:row>
    <x:row r="136">
      <x:c r="A136" s="428"/>
      <x:c r="B136" s="428"/>
      <x:c r="C136" s="428"/>
      <x:c r="D136" s="428"/>
      <x:c r="E136" s="428"/>
      <x:c r="F136" s="428"/>
    </x:row>
    <x:row r="137">
      <x:c r="A137" s="428"/>
      <x:c r="B137" s="428"/>
      <x:c r="C137" s="428"/>
      <x:c r="D137" s="428"/>
      <x:c r="E137" s="428"/>
      <x:c r="F137" s="428"/>
    </x:row>
    <x:row r="138">
      <x:c r="A138" s="428"/>
      <x:c r="B138" s="428"/>
      <x:c r="C138" s="428"/>
      <x:c r="D138" s="428"/>
      <x:c r="E138" s="428"/>
      <x:c r="F138" s="428"/>
    </x:row>
    <x:row r="139">
      <x:c r="A139" s="428"/>
      <x:c r="B139" s="428"/>
      <x:c r="C139" s="428"/>
      <x:c r="D139" s="428"/>
      <x:c r="E139" s="428"/>
      <x:c r="F139" s="428"/>
    </x:row>
    <x:row r="140">
      <x:c r="A140" s="428"/>
      <x:c r="B140" s="428"/>
      <x:c r="C140" s="428"/>
      <x:c r="D140" s="428"/>
      <x:c r="E140" s="428"/>
      <x:c r="F140" s="428"/>
    </x:row>
  </x:sheetData>
  <x:mergeCells>
    <x:mergeCell ref="A3:F3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14" hidden="0" customWidth="1"/>
    <x:col min="5" max="5" width="44" hidden="0" customWidth="1"/>
  </x:cols>
  <x:sheetData>
    <x:row r="1">
      <x:c r="A1" s="431" t="str">
        <x:v>🛠 Admin Editing Plan</x:v>
      </x:c>
      <x:c r="B1" s="431"/>
      <x:c r="C1" s="431"/>
      <x:c r="D1" s="431"/>
      <x:c r="E1" s="431"/>
    </x:row>
    <x:row r="2">
      <x:c r="A2" s="431"/>
      <x:c r="B2" s="431"/>
      <x:c r="C2" s="431"/>
      <x:c r="D2" s="431"/>
      <x:c r="E2" s="431"/>
    </x:row>
    <x:row r="3">
      <x:c r="A3" s="432" t="str">
        <x:v>Later, these can become simple app forms that write to Google Sheets. For now, this sheet documents how the admin layer should work.</x:v>
      </x:c>
      <x:c r="B3" s="432"/>
      <x:c r="C3" s="432"/>
      <x:c r="D3" s="432"/>
      <x:c r="E3" s="432"/>
    </x:row>
    <x:row r="4">
      <x:c r="A4" s="428"/>
      <x:c r="B4" s="428"/>
      <x:c r="C4" s="428"/>
      <x:c r="D4" s="428"/>
      <x:c r="E4" s="428"/>
    </x:row>
    <x:row r="5">
      <x:c r="A5" s="435" t="str">
        <x:v>Admin Form</x:v>
      </x:c>
      <x:c r="B5" s="435" t="str">
        <x:v>Writes To</x:v>
      </x:c>
      <x:c r="C5" s="435" t="str">
        <x:v>Fields</x:v>
      </x:c>
      <x:c r="D5" s="435" t="str">
        <x:v>Priority</x:v>
      </x:c>
      <x:c r="E5" s="435" t="str">
        <x:v>Notes</x:v>
      </x:c>
    </x:row>
    <x:row r="6">
      <x:c r="A6" s="436" t="str">
        <x:v>Itinerary Form</x:v>
      </x:c>
      <x:c r="B6" s="436" t="str">
        <x:v>📅 Master Itinerary</x:v>
      </x:c>
      <x:c r="C6" s="436" t="str">
        <x:v>Date, City, Hotel, Morning, Afternoon, Evening, Walking, Energy, Bring</x:v>
      </x:c>
      <x:c r="D6" s="436" t="str">
        <x:v>High</x:v>
      </x:c>
      <x:c r="E6" s="436" t="str">
        <x:v>Future replacement for raw itinerary editing</x:v>
      </x:c>
    </x:row>
    <x:row r="7">
      <x:c r="A7" s="436" t="str">
        <x:v>Reservation Form</x:v>
      </x:c>
      <x:c r="B7" s="436" t="str">
        <x:v>🎟 Reservations</x:v>
      </x:c>
      <x:c r="C7" s="436" t="str">
        <x:v>Item, Date, Time, Status, Urgency, Confirmation, Notes</x:v>
      </x:c>
      <x:c r="D7" s="436" t="str">
        <x:v>High</x:v>
      </x:c>
      <x:c r="E7" s="436" t="str">
        <x:v>Useful once bookings begin</x:v>
      </x:c>
    </x:row>
    <x:row r="8">
      <x:c r="A8" s="436" t="str">
        <x:v>Restaurant Form</x:v>
      </x:c>
      <x:c r="B8" s="436" t="str">
        <x:v>🍽 Restaurants</x:v>
      </x:c>
      <x:c r="C8" s="436" t="str">
        <x:v>Name, City, Area, Cuisine, Must Order, Reservation, Price, Map Link</x:v>
      </x:c>
      <x:c r="D8" s="436" t="str">
        <x:v>Medium</x:v>
      </x:c>
      <x:c r="E8" s="436" t="str">
        <x:v>Supports richer restaurant cards</x:v>
      </x:c>
    </x:row>
    <x:row r="9">
      <x:c r="A9" s="436" t="str">
        <x:v>Map/Place Form</x:v>
      </x:c>
      <x:c r="B9" s="436" t="str">
        <x:v>📍 Maps</x:v>
      </x:c>
      <x:c r="C9" s="436" t="str">
        <x:v>Place, City, Type, Google Maps Link, Notes</x:v>
      </x:c>
      <x:c r="D9" s="436" t="str">
        <x:v>High</x:v>
      </x:c>
      <x:c r="E9" s="436" t="str">
        <x:v>Needed for better explore/maps views</x:v>
      </x:c>
    </x:row>
    <x:row r="10">
      <x:c r="A10" s="436" t="str">
        <x:v>Journal Form</x:v>
      </x:c>
      <x:c r="B10" s="436" t="str">
        <x:v>📷 Journal</x:v>
      </x:c>
      <x:c r="C10" s="436" t="str">
        <x:v>Date, Favorite Meal, Photo, Best Moment, Rating, Notes</x:v>
      </x:c>
      <x:c r="D10" s="436" t="str">
        <x:v>Medium</x:v>
      </x:c>
      <x:c r="E10" s="436" t="str">
        <x:v>Supports memory book later</x:v>
      </x:c>
    </x:row>
    <x:row r="11">
      <x:c r="A11" s="436" t="str">
        <x:v>Expense Form</x:v>
      </x:c>
      <x:c r="B11" s="436" t="str">
        <x:v>💴 Budget / 💳 Money</x:v>
      </x:c>
      <x:c r="C11" s="436" t="str">
        <x:v>Date, Category, Yen, USD, Who, Notes</x:v>
      </x:c>
      <x:c r="D11" s="436" t="str">
        <x:v>Medium</x:v>
      </x:c>
      <x:c r="E11" s="436" t="str">
        <x:v>Supports expense tracker</x:v>
      </x:c>
    </x:row>
    <x:row r="12">
      <x:c r="A12" s="436" t="str">
        <x:v>Packing Form</x:v>
      </x:c>
      <x:c r="B12" s="436" t="str">
        <x:v>🧳 Packing</x:v>
      </x:c>
      <x:c r="C12" s="436" t="str">
        <x:v>Item, Who, Category, Status, Notes</x:v>
      </x:c>
      <x:c r="D12" s="436" t="str">
        <x:v>Medium</x:v>
      </x:c>
      <x:c r="E12" s="436" t="str">
        <x:v>Supports packing progress</x:v>
      </x:c>
    </x:row>
    <x:row r="13">
      <x:c r="A13" s="428"/>
      <x:c r="B13" s="428"/>
      <x:c r="C13" s="428"/>
      <x:c r="D13" s="428"/>
      <x:c r="E13" s="428"/>
    </x:row>
    <x:row r="14">
      <x:c r="A14" s="428"/>
      <x:c r="B14" s="428"/>
      <x:c r="C14" s="428"/>
      <x:c r="D14" s="428"/>
      <x:c r="E14" s="428"/>
    </x:row>
    <x:row r="15">
      <x:c r="A15" s="428"/>
      <x:c r="B15" s="428"/>
      <x:c r="C15" s="428"/>
      <x:c r="D15" s="428"/>
      <x:c r="E15" s="428"/>
    </x:row>
    <x:row r="16">
      <x:c r="A16" s="428"/>
      <x:c r="B16" s="428"/>
      <x:c r="C16" s="428"/>
      <x:c r="D16" s="428"/>
      <x:c r="E16" s="428"/>
    </x:row>
    <x:row r="17">
      <x:c r="A17" s="428"/>
      <x:c r="B17" s="428"/>
      <x:c r="C17" s="428"/>
      <x:c r="D17" s="428"/>
      <x:c r="E17" s="428"/>
    </x:row>
    <x:row r="18">
      <x:c r="A18" s="428"/>
      <x:c r="B18" s="428"/>
      <x:c r="C18" s="428"/>
      <x:c r="D18" s="428"/>
      <x:c r="E18" s="428"/>
    </x:row>
    <x:row r="19">
      <x:c r="A19" s="428"/>
      <x:c r="B19" s="428"/>
      <x:c r="C19" s="428"/>
      <x:c r="D19" s="428"/>
      <x:c r="E19" s="428"/>
    </x:row>
    <x:row r="20">
      <x:c r="A20" s="428"/>
      <x:c r="B20" s="428"/>
      <x:c r="C20" s="428"/>
      <x:c r="D20" s="428"/>
      <x:c r="E20" s="428"/>
    </x:row>
    <x:row r="21">
      <x:c r="A21" s="428"/>
      <x:c r="B21" s="428"/>
      <x:c r="C21" s="428"/>
      <x:c r="D21" s="428"/>
      <x:c r="E21" s="428"/>
    </x:row>
    <x:row r="22">
      <x:c r="A22" s="428"/>
      <x:c r="B22" s="428"/>
      <x:c r="C22" s="428"/>
      <x:c r="D22" s="428"/>
      <x:c r="E22" s="428"/>
    </x:row>
    <x:row r="23">
      <x:c r="A23" s="428"/>
      <x:c r="B23" s="428"/>
      <x:c r="C23" s="428"/>
      <x:c r="D23" s="428"/>
      <x:c r="E23" s="428"/>
    </x:row>
    <x:row r="24">
      <x:c r="A24" s="428"/>
      <x:c r="B24" s="428"/>
      <x:c r="C24" s="428"/>
      <x:c r="D24" s="428"/>
      <x:c r="E24" s="428"/>
    </x:row>
    <x:row r="25">
      <x:c r="A25" s="428"/>
      <x:c r="B25" s="428"/>
      <x:c r="C25" s="428"/>
      <x:c r="D25" s="428"/>
      <x:c r="E25" s="428"/>
    </x:row>
    <x:row r="26">
      <x:c r="A26" s="428"/>
      <x:c r="B26" s="428"/>
      <x:c r="C26" s="428"/>
      <x:c r="D26" s="428"/>
      <x:c r="E26" s="428"/>
    </x:row>
    <x:row r="27">
      <x:c r="A27" s="428"/>
      <x:c r="B27" s="428"/>
      <x:c r="C27" s="428"/>
      <x:c r="D27" s="428"/>
      <x:c r="E27" s="428"/>
    </x:row>
    <x:row r="28">
      <x:c r="A28" s="428"/>
      <x:c r="B28" s="428"/>
      <x:c r="C28" s="428"/>
      <x:c r="D28" s="428"/>
      <x:c r="E28" s="428"/>
    </x:row>
    <x:row r="29">
      <x:c r="A29" s="428"/>
      <x:c r="B29" s="428"/>
      <x:c r="C29" s="428"/>
      <x:c r="D29" s="428"/>
      <x:c r="E29" s="428"/>
    </x:row>
    <x:row r="30">
      <x:c r="A30" s="428"/>
      <x:c r="B30" s="428"/>
      <x:c r="C30" s="428"/>
      <x:c r="D30" s="428"/>
      <x:c r="E30" s="428"/>
    </x:row>
    <x:row r="31">
      <x:c r="A31" s="428"/>
      <x:c r="B31" s="428"/>
      <x:c r="C31" s="428"/>
      <x:c r="D31" s="428"/>
      <x:c r="E31" s="428"/>
    </x:row>
    <x:row r="32">
      <x:c r="A32" s="428"/>
      <x:c r="B32" s="428"/>
      <x:c r="C32" s="428"/>
      <x:c r="D32" s="428"/>
      <x:c r="E32" s="428"/>
    </x:row>
    <x:row r="33">
      <x:c r="A33" s="428"/>
      <x:c r="B33" s="428"/>
      <x:c r="C33" s="428"/>
      <x:c r="D33" s="428"/>
      <x:c r="E33" s="428"/>
    </x:row>
    <x:row r="34">
      <x:c r="A34" s="428"/>
      <x:c r="B34" s="428"/>
      <x:c r="C34" s="428"/>
      <x:c r="D34" s="428"/>
      <x:c r="E34" s="428"/>
    </x:row>
    <x:row r="35">
      <x:c r="A35" s="428"/>
      <x:c r="B35" s="428"/>
      <x:c r="C35" s="428"/>
      <x:c r="D35" s="428"/>
      <x:c r="E35" s="428"/>
    </x:row>
    <x:row r="36">
      <x:c r="A36" s="428"/>
      <x:c r="B36" s="428"/>
      <x:c r="C36" s="428"/>
      <x:c r="D36" s="428"/>
      <x:c r="E36" s="428"/>
    </x:row>
    <x:row r="37">
      <x:c r="A37" s="428"/>
      <x:c r="B37" s="428"/>
      <x:c r="C37" s="428"/>
      <x:c r="D37" s="428"/>
      <x:c r="E37" s="428"/>
    </x:row>
    <x:row r="38">
      <x:c r="A38" s="428"/>
      <x:c r="B38" s="428"/>
      <x:c r="C38" s="428"/>
      <x:c r="D38" s="428"/>
      <x:c r="E38" s="428"/>
    </x:row>
    <x:row r="39">
      <x:c r="A39" s="428"/>
      <x:c r="B39" s="428"/>
      <x:c r="C39" s="428"/>
      <x:c r="D39" s="428"/>
      <x:c r="E39" s="428"/>
    </x:row>
    <x:row r="40">
      <x:c r="A40" s="428"/>
      <x:c r="B40" s="428"/>
      <x:c r="C40" s="428"/>
      <x:c r="D40" s="428"/>
      <x:c r="E40" s="428"/>
    </x:row>
    <x:row r="41">
      <x:c r="A41" s="428"/>
      <x:c r="B41" s="428"/>
      <x:c r="C41" s="428"/>
      <x:c r="D41" s="428"/>
      <x:c r="E41" s="428"/>
    </x:row>
    <x:row r="42">
      <x:c r="A42" s="428"/>
      <x:c r="B42" s="428"/>
      <x:c r="C42" s="428"/>
      <x:c r="D42" s="428"/>
      <x:c r="E42" s="428"/>
    </x:row>
    <x:row r="43">
      <x:c r="A43" s="428"/>
      <x:c r="B43" s="428"/>
      <x:c r="C43" s="428"/>
      <x:c r="D43" s="428"/>
      <x:c r="E43" s="428"/>
    </x:row>
    <x:row r="44">
      <x:c r="A44" s="428"/>
      <x:c r="B44" s="428"/>
      <x:c r="C44" s="428"/>
      <x:c r="D44" s="428"/>
      <x:c r="E44" s="428"/>
    </x:row>
    <x:row r="45">
      <x:c r="A45" s="428"/>
      <x:c r="B45" s="428"/>
      <x:c r="C45" s="428"/>
      <x:c r="D45" s="428"/>
      <x:c r="E45" s="428"/>
    </x:row>
    <x:row r="46">
      <x:c r="A46" s="428"/>
      <x:c r="B46" s="428"/>
      <x:c r="C46" s="428"/>
      <x:c r="D46" s="428"/>
      <x:c r="E46" s="428"/>
    </x:row>
    <x:row r="47">
      <x:c r="A47" s="428"/>
      <x:c r="B47" s="428"/>
      <x:c r="C47" s="428"/>
      <x:c r="D47" s="428"/>
      <x:c r="E47" s="428"/>
    </x:row>
    <x:row r="48">
      <x:c r="A48" s="428"/>
      <x:c r="B48" s="428"/>
      <x:c r="C48" s="428"/>
      <x:c r="D48" s="428"/>
      <x:c r="E48" s="428"/>
    </x:row>
    <x:row r="49">
      <x:c r="A49" s="428"/>
      <x:c r="B49" s="428"/>
      <x:c r="C49" s="428"/>
      <x:c r="D49" s="428"/>
      <x:c r="E49" s="428"/>
    </x:row>
    <x:row r="50">
      <x:c r="A50" s="428"/>
      <x:c r="B50" s="428"/>
      <x:c r="C50" s="428"/>
      <x:c r="D50" s="428"/>
      <x:c r="E50" s="428"/>
    </x:row>
    <x:row r="51">
      <x:c r="A51" s="428"/>
      <x:c r="B51" s="428"/>
      <x:c r="C51" s="428"/>
      <x:c r="D51" s="428"/>
      <x:c r="E51" s="428"/>
    </x:row>
    <x:row r="52">
      <x:c r="A52" s="428"/>
      <x:c r="B52" s="428"/>
      <x:c r="C52" s="428"/>
      <x:c r="D52" s="428"/>
      <x:c r="E52" s="428"/>
    </x:row>
    <x:row r="53">
      <x:c r="A53" s="428"/>
      <x:c r="B53" s="428"/>
      <x:c r="C53" s="428"/>
      <x:c r="D53" s="428"/>
      <x:c r="E53" s="428"/>
    </x:row>
    <x:row r="54">
      <x:c r="A54" s="428"/>
      <x:c r="B54" s="428"/>
      <x:c r="C54" s="428"/>
      <x:c r="D54" s="428"/>
      <x:c r="E54" s="428"/>
    </x:row>
    <x:row r="55">
      <x:c r="A55" s="428"/>
      <x:c r="B55" s="428"/>
      <x:c r="C55" s="428"/>
      <x:c r="D55" s="428"/>
      <x:c r="E55" s="428"/>
    </x:row>
    <x:row r="56">
      <x:c r="A56" s="428"/>
      <x:c r="B56" s="428"/>
      <x:c r="C56" s="428"/>
      <x:c r="D56" s="428"/>
      <x:c r="E56" s="428"/>
    </x:row>
    <x:row r="57">
      <x:c r="A57" s="428"/>
      <x:c r="B57" s="428"/>
      <x:c r="C57" s="428"/>
      <x:c r="D57" s="428"/>
      <x:c r="E57" s="428"/>
    </x:row>
    <x:row r="58">
      <x:c r="A58" s="428"/>
      <x:c r="B58" s="428"/>
      <x:c r="C58" s="428"/>
      <x:c r="D58" s="428"/>
      <x:c r="E58" s="428"/>
    </x:row>
    <x:row r="59">
      <x:c r="A59" s="428"/>
      <x:c r="B59" s="428"/>
      <x:c r="C59" s="428"/>
      <x:c r="D59" s="428"/>
      <x:c r="E59" s="428"/>
    </x:row>
    <x:row r="60">
      <x:c r="A60" s="428"/>
      <x:c r="B60" s="428"/>
      <x:c r="C60" s="428"/>
      <x:c r="D60" s="428"/>
      <x:c r="E60" s="428"/>
    </x:row>
    <x:row r="61">
      <x:c r="A61" s="428"/>
      <x:c r="B61" s="428"/>
      <x:c r="C61" s="428"/>
      <x:c r="D61" s="428"/>
      <x:c r="E61" s="428"/>
    </x:row>
    <x:row r="62">
      <x:c r="A62" s="428"/>
      <x:c r="B62" s="428"/>
      <x:c r="C62" s="428"/>
      <x:c r="D62" s="428"/>
      <x:c r="E62" s="428"/>
    </x:row>
    <x:row r="63">
      <x:c r="A63" s="428"/>
      <x:c r="B63" s="428"/>
      <x:c r="C63" s="428"/>
      <x:c r="D63" s="428"/>
      <x:c r="E63" s="428"/>
    </x:row>
    <x:row r="64">
      <x:c r="A64" s="428"/>
      <x:c r="B64" s="428"/>
      <x:c r="C64" s="428"/>
      <x:c r="D64" s="428"/>
      <x:c r="E64" s="428"/>
    </x:row>
    <x:row r="65">
      <x:c r="A65" s="428"/>
      <x:c r="B65" s="428"/>
      <x:c r="C65" s="428"/>
      <x:c r="D65" s="428"/>
      <x:c r="E65" s="428"/>
    </x:row>
    <x:row r="66">
      <x:c r="A66" s="428"/>
      <x:c r="B66" s="428"/>
      <x:c r="C66" s="428"/>
      <x:c r="D66" s="428"/>
      <x:c r="E66" s="428"/>
    </x:row>
    <x:row r="67">
      <x:c r="A67" s="428"/>
      <x:c r="B67" s="428"/>
      <x:c r="C67" s="428"/>
      <x:c r="D67" s="428"/>
      <x:c r="E67" s="428"/>
    </x:row>
    <x:row r="68">
      <x:c r="A68" s="428"/>
      <x:c r="B68" s="428"/>
      <x:c r="C68" s="428"/>
      <x:c r="D68" s="428"/>
      <x:c r="E68" s="428"/>
    </x:row>
    <x:row r="69">
      <x:c r="A69" s="428"/>
      <x:c r="B69" s="428"/>
      <x:c r="C69" s="428"/>
      <x:c r="D69" s="428"/>
      <x:c r="E69" s="428"/>
    </x:row>
    <x:row r="70">
      <x:c r="A70" s="428"/>
      <x:c r="B70" s="428"/>
      <x:c r="C70" s="428"/>
      <x:c r="D70" s="428"/>
      <x:c r="E70" s="428"/>
    </x:row>
    <x:row r="71">
      <x:c r="A71" s="428"/>
      <x:c r="B71" s="428"/>
      <x:c r="C71" s="428"/>
      <x:c r="D71" s="428"/>
      <x:c r="E71" s="428"/>
    </x:row>
    <x:row r="72">
      <x:c r="A72" s="428"/>
      <x:c r="B72" s="428"/>
      <x:c r="C72" s="428"/>
      <x:c r="D72" s="428"/>
      <x:c r="E72" s="428"/>
    </x:row>
    <x:row r="73">
      <x:c r="A73" s="428"/>
      <x:c r="B73" s="428"/>
      <x:c r="C73" s="428"/>
      <x:c r="D73" s="428"/>
      <x:c r="E73" s="428"/>
    </x:row>
    <x:row r="74">
      <x:c r="A74" s="428"/>
      <x:c r="B74" s="428"/>
      <x:c r="C74" s="428"/>
      <x:c r="D74" s="428"/>
      <x:c r="E74" s="428"/>
    </x:row>
    <x:row r="75">
      <x:c r="A75" s="428"/>
      <x:c r="B75" s="428"/>
      <x:c r="C75" s="428"/>
      <x:c r="D75" s="428"/>
      <x:c r="E75" s="428"/>
    </x:row>
    <x:row r="76">
      <x:c r="A76" s="428"/>
      <x:c r="B76" s="428"/>
      <x:c r="C76" s="428"/>
      <x:c r="D76" s="428"/>
      <x:c r="E76" s="428"/>
    </x:row>
    <x:row r="77">
      <x:c r="A77" s="428"/>
      <x:c r="B77" s="428"/>
      <x:c r="C77" s="428"/>
      <x:c r="D77" s="428"/>
      <x:c r="E77" s="428"/>
    </x:row>
    <x:row r="78">
      <x:c r="A78" s="428"/>
      <x:c r="B78" s="428"/>
      <x:c r="C78" s="428"/>
      <x:c r="D78" s="428"/>
      <x:c r="E78" s="428"/>
    </x:row>
    <x:row r="79">
      <x:c r="A79" s="428"/>
      <x:c r="B79" s="428"/>
      <x:c r="C79" s="428"/>
      <x:c r="D79" s="428"/>
      <x:c r="E79" s="428"/>
    </x:row>
    <x:row r="80">
      <x:c r="A80" s="428"/>
      <x:c r="B80" s="428"/>
      <x:c r="C80" s="428"/>
      <x:c r="D80" s="428"/>
      <x:c r="E80" s="428"/>
    </x:row>
    <x:row r="81">
      <x:c r="A81" s="428"/>
      <x:c r="B81" s="428"/>
      <x:c r="C81" s="428"/>
      <x:c r="D81" s="428"/>
      <x:c r="E81" s="428"/>
    </x:row>
    <x:row r="82">
      <x:c r="A82" s="428"/>
      <x:c r="B82" s="428"/>
      <x:c r="C82" s="428"/>
      <x:c r="D82" s="428"/>
      <x:c r="E82" s="428"/>
    </x:row>
    <x:row r="83">
      <x:c r="A83" s="428"/>
      <x:c r="B83" s="428"/>
      <x:c r="C83" s="428"/>
      <x:c r="D83" s="428"/>
      <x:c r="E83" s="428"/>
    </x:row>
    <x:row r="84">
      <x:c r="A84" s="428"/>
      <x:c r="B84" s="428"/>
      <x:c r="C84" s="428"/>
      <x:c r="D84" s="428"/>
      <x:c r="E84" s="428"/>
    </x:row>
    <x:row r="85">
      <x:c r="A85" s="428"/>
      <x:c r="B85" s="428"/>
      <x:c r="C85" s="428"/>
      <x:c r="D85" s="428"/>
      <x:c r="E85" s="428"/>
    </x:row>
    <x:row r="86">
      <x:c r="A86" s="428"/>
      <x:c r="B86" s="428"/>
      <x:c r="C86" s="428"/>
      <x:c r="D86" s="428"/>
      <x:c r="E86" s="428"/>
    </x:row>
    <x:row r="87">
      <x:c r="A87" s="428"/>
      <x:c r="B87" s="428"/>
      <x:c r="C87" s="428"/>
      <x:c r="D87" s="428"/>
      <x:c r="E87" s="428"/>
    </x:row>
    <x:row r="88">
      <x:c r="A88" s="428"/>
      <x:c r="B88" s="428"/>
      <x:c r="C88" s="428"/>
      <x:c r="D88" s="428"/>
      <x:c r="E88" s="428"/>
    </x:row>
    <x:row r="89">
      <x:c r="A89" s="428"/>
      <x:c r="B89" s="428"/>
      <x:c r="C89" s="428"/>
      <x:c r="D89" s="428"/>
      <x:c r="E89" s="428"/>
    </x:row>
    <x:row r="90">
      <x:c r="A90" s="428"/>
      <x:c r="B90" s="428"/>
      <x:c r="C90" s="428"/>
      <x:c r="D90" s="428"/>
      <x:c r="E90" s="428"/>
    </x:row>
    <x:row r="91">
      <x:c r="A91" s="428"/>
      <x:c r="B91" s="428"/>
      <x:c r="C91" s="428"/>
      <x:c r="D91" s="428"/>
      <x:c r="E91" s="428"/>
    </x:row>
    <x:row r="92">
      <x:c r="A92" s="428"/>
      <x:c r="B92" s="428"/>
      <x:c r="C92" s="428"/>
      <x:c r="D92" s="428"/>
      <x:c r="E92" s="428"/>
    </x:row>
    <x:row r="93">
      <x:c r="A93" s="428"/>
      <x:c r="B93" s="428"/>
      <x:c r="C93" s="428"/>
      <x:c r="D93" s="428"/>
      <x:c r="E93" s="428"/>
    </x:row>
    <x:row r="94">
      <x:c r="A94" s="428"/>
      <x:c r="B94" s="428"/>
      <x:c r="C94" s="428"/>
      <x:c r="D94" s="428"/>
      <x:c r="E94" s="428"/>
    </x:row>
    <x:row r="95">
      <x:c r="A95" s="428"/>
      <x:c r="B95" s="428"/>
      <x:c r="C95" s="428"/>
      <x:c r="D95" s="428"/>
      <x:c r="E95" s="428"/>
    </x:row>
    <x:row r="96">
      <x:c r="A96" s="428"/>
      <x:c r="B96" s="428"/>
      <x:c r="C96" s="428"/>
      <x:c r="D96" s="428"/>
      <x:c r="E96" s="428"/>
    </x:row>
    <x:row r="97">
      <x:c r="A97" s="428"/>
      <x:c r="B97" s="428"/>
      <x:c r="C97" s="428"/>
      <x:c r="D97" s="428"/>
      <x:c r="E97" s="428"/>
    </x:row>
    <x:row r="98">
      <x:c r="A98" s="428"/>
      <x:c r="B98" s="428"/>
      <x:c r="C98" s="428"/>
      <x:c r="D98" s="428"/>
      <x:c r="E98" s="428"/>
    </x:row>
    <x:row r="99">
      <x:c r="A99" s="428"/>
      <x:c r="B99" s="428"/>
      <x:c r="C99" s="428"/>
      <x:c r="D99" s="428"/>
      <x:c r="E99" s="428"/>
    </x:row>
    <x:row r="100">
      <x:c r="A100" s="428"/>
      <x:c r="B100" s="428"/>
      <x:c r="C100" s="428"/>
      <x:c r="D100" s="428"/>
      <x:c r="E100" s="428"/>
    </x:row>
    <x:row r="101">
      <x:c r="A101" s="428"/>
      <x:c r="B101" s="428"/>
      <x:c r="C101" s="428"/>
      <x:c r="D101" s="428"/>
      <x:c r="E101" s="428"/>
    </x:row>
    <x:row r="102">
      <x:c r="A102" s="428"/>
      <x:c r="B102" s="428"/>
      <x:c r="C102" s="428"/>
      <x:c r="D102" s="428"/>
      <x:c r="E102" s="428"/>
    </x:row>
    <x:row r="103">
      <x:c r="A103" s="428"/>
      <x:c r="B103" s="428"/>
      <x:c r="C103" s="428"/>
      <x:c r="D103" s="428"/>
      <x:c r="E103" s="428"/>
    </x:row>
    <x:row r="104">
      <x:c r="A104" s="428"/>
      <x:c r="B104" s="428"/>
      <x:c r="C104" s="428"/>
      <x:c r="D104" s="428"/>
      <x:c r="E104" s="428"/>
    </x:row>
    <x:row r="105">
      <x:c r="A105" s="428"/>
      <x:c r="B105" s="428"/>
      <x:c r="C105" s="428"/>
      <x:c r="D105" s="428"/>
      <x:c r="E105" s="428"/>
    </x:row>
    <x:row r="106">
      <x:c r="A106" s="428"/>
      <x:c r="B106" s="428"/>
      <x:c r="C106" s="428"/>
      <x:c r="D106" s="428"/>
      <x:c r="E106" s="428"/>
    </x:row>
    <x:row r="107">
      <x:c r="A107" s="428"/>
      <x:c r="B107" s="428"/>
      <x:c r="C107" s="428"/>
      <x:c r="D107" s="428"/>
      <x:c r="E107" s="428"/>
    </x:row>
    <x:row r="108">
      <x:c r="A108" s="428"/>
      <x:c r="B108" s="428"/>
      <x:c r="C108" s="428"/>
      <x:c r="D108" s="428"/>
      <x:c r="E108" s="428"/>
    </x:row>
    <x:row r="109">
      <x:c r="A109" s="428"/>
      <x:c r="B109" s="428"/>
      <x:c r="C109" s="428"/>
      <x:c r="D109" s="428"/>
      <x:c r="E109" s="428"/>
    </x:row>
    <x:row r="110">
      <x:c r="A110" s="428"/>
      <x:c r="B110" s="428"/>
      <x:c r="C110" s="428"/>
      <x:c r="D110" s="428"/>
      <x:c r="E110" s="428"/>
    </x:row>
    <x:row r="111">
      <x:c r="A111" s="428"/>
      <x:c r="B111" s="428"/>
      <x:c r="C111" s="428"/>
      <x:c r="D111" s="428"/>
      <x:c r="E111" s="428"/>
    </x:row>
    <x:row r="112">
      <x:c r="A112" s="428"/>
      <x:c r="B112" s="428"/>
      <x:c r="C112" s="428"/>
      <x:c r="D112" s="428"/>
      <x:c r="E112" s="428"/>
    </x:row>
    <x:row r="113">
      <x:c r="A113" s="428"/>
      <x:c r="B113" s="428"/>
      <x:c r="C113" s="428"/>
      <x:c r="D113" s="428"/>
      <x:c r="E113" s="428"/>
    </x:row>
    <x:row r="114">
      <x:c r="A114" s="428"/>
      <x:c r="B114" s="428"/>
      <x:c r="C114" s="428"/>
      <x:c r="D114" s="428"/>
      <x:c r="E114" s="428"/>
    </x:row>
    <x:row r="115">
      <x:c r="A115" s="428"/>
      <x:c r="B115" s="428"/>
      <x:c r="C115" s="428"/>
      <x:c r="D115" s="428"/>
      <x:c r="E115" s="428"/>
    </x:row>
    <x:row r="116">
      <x:c r="A116" s="428"/>
      <x:c r="B116" s="428"/>
      <x:c r="C116" s="428"/>
      <x:c r="D116" s="428"/>
      <x:c r="E116" s="428"/>
    </x:row>
    <x:row r="117">
      <x:c r="A117" s="428"/>
      <x:c r="B117" s="428"/>
      <x:c r="C117" s="428"/>
      <x:c r="D117" s="428"/>
      <x:c r="E117" s="428"/>
    </x:row>
    <x:row r="118">
      <x:c r="A118" s="428"/>
      <x:c r="B118" s="428"/>
      <x:c r="C118" s="428"/>
      <x:c r="D118" s="428"/>
      <x:c r="E118" s="428"/>
    </x:row>
    <x:row r="119">
      <x:c r="A119" s="428"/>
      <x:c r="B119" s="428"/>
      <x:c r="C119" s="428"/>
      <x:c r="D119" s="428"/>
      <x:c r="E119" s="428"/>
    </x:row>
    <x:row r="120">
      <x:c r="A120" s="428"/>
      <x:c r="B120" s="428"/>
      <x:c r="C120" s="428"/>
      <x:c r="D120" s="428"/>
      <x:c r="E120" s="428"/>
    </x:row>
    <x:row r="121">
      <x:c r="A121" s="428"/>
      <x:c r="B121" s="428"/>
      <x:c r="C121" s="428"/>
      <x:c r="D121" s="428"/>
      <x:c r="E121" s="428"/>
    </x:row>
    <x:row r="122">
      <x:c r="A122" s="428"/>
      <x:c r="B122" s="428"/>
      <x:c r="C122" s="428"/>
      <x:c r="D122" s="428"/>
      <x:c r="E122" s="428"/>
    </x:row>
    <x:row r="123">
      <x:c r="A123" s="428"/>
      <x:c r="B123" s="428"/>
      <x:c r="C123" s="428"/>
      <x:c r="D123" s="428"/>
      <x:c r="E123" s="428"/>
    </x:row>
    <x:row r="124">
      <x:c r="A124" s="428"/>
      <x:c r="B124" s="428"/>
      <x:c r="C124" s="428"/>
      <x:c r="D124" s="428"/>
      <x:c r="E124" s="428"/>
    </x:row>
    <x:row r="125">
      <x:c r="A125" s="428"/>
      <x:c r="B125" s="428"/>
      <x:c r="C125" s="428"/>
      <x:c r="D125" s="428"/>
      <x:c r="E125" s="428"/>
    </x:row>
    <x:row r="126">
      <x:c r="A126" s="428"/>
      <x:c r="B126" s="428"/>
      <x:c r="C126" s="428"/>
      <x:c r="D126" s="428"/>
      <x:c r="E126" s="428"/>
    </x:row>
    <x:row r="127">
      <x:c r="A127" s="428"/>
      <x:c r="B127" s="428"/>
      <x:c r="C127" s="428"/>
      <x:c r="D127" s="428"/>
      <x:c r="E127" s="428"/>
    </x:row>
    <x:row r="128">
      <x:c r="A128" s="428"/>
      <x:c r="B128" s="428"/>
      <x:c r="C128" s="428"/>
      <x:c r="D128" s="428"/>
      <x:c r="E128" s="428"/>
    </x:row>
    <x:row r="129">
      <x:c r="A129" s="428"/>
      <x:c r="B129" s="428"/>
      <x:c r="C129" s="428"/>
      <x:c r="D129" s="428"/>
      <x:c r="E129" s="428"/>
    </x:row>
    <x:row r="130">
      <x:c r="A130" s="428"/>
      <x:c r="B130" s="428"/>
      <x:c r="C130" s="428"/>
      <x:c r="D130" s="428"/>
      <x:c r="E130" s="428"/>
    </x:row>
    <x:row r="131">
      <x:c r="A131" s="428"/>
      <x:c r="B131" s="428"/>
      <x:c r="C131" s="428"/>
      <x:c r="D131" s="428"/>
      <x:c r="E131" s="428"/>
    </x:row>
    <x:row r="132">
      <x:c r="A132" s="428"/>
      <x:c r="B132" s="428"/>
      <x:c r="C132" s="428"/>
      <x:c r="D132" s="428"/>
      <x:c r="E132" s="428"/>
    </x:row>
    <x:row r="133">
      <x:c r="A133" s="428"/>
      <x:c r="B133" s="428"/>
      <x:c r="C133" s="428"/>
      <x:c r="D133" s="428"/>
      <x:c r="E133" s="428"/>
    </x:row>
    <x:row r="134">
      <x:c r="A134" s="428"/>
      <x:c r="B134" s="428"/>
      <x:c r="C134" s="428"/>
      <x:c r="D134" s="428"/>
      <x:c r="E134" s="428"/>
    </x:row>
    <x:row r="135">
      <x:c r="A135" s="428"/>
      <x:c r="B135" s="428"/>
      <x:c r="C135" s="428"/>
      <x:c r="D135" s="428"/>
      <x:c r="E135" s="428"/>
    </x:row>
    <x:row r="136">
      <x:c r="A136" s="428"/>
      <x:c r="B136" s="428"/>
      <x:c r="C136" s="428"/>
      <x:c r="D136" s="428"/>
      <x:c r="E136" s="428"/>
    </x:row>
    <x:row r="137">
      <x:c r="A137" s="428"/>
      <x:c r="B137" s="428"/>
      <x:c r="C137" s="428"/>
      <x:c r="D137" s="428"/>
      <x:c r="E137" s="428"/>
    </x:row>
    <x:row r="138">
      <x:c r="A138" s="428"/>
      <x:c r="B138" s="428"/>
      <x:c r="C138" s="428"/>
      <x:c r="D138" s="428"/>
      <x:c r="E138" s="428"/>
    </x:row>
    <x:row r="139">
      <x:c r="A139" s="428"/>
      <x:c r="B139" s="428"/>
      <x:c r="C139" s="428"/>
      <x:c r="D139" s="428"/>
      <x:c r="E139" s="428"/>
    </x:row>
    <x:row r="140">
      <x:c r="A140" s="428"/>
      <x:c r="B140" s="428"/>
      <x:c r="C140" s="428"/>
      <x:c r="D140" s="428"/>
      <x:c r="E140" s="428"/>
    </x:row>
  </x:sheetData>
  <x:mergeCells>
    <x:mergeCell ref="A3:E3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54" hidden="0" customWidth="1"/>
    <x:col min="5" max="5" width="22" hidden="0" customWidth="1"/>
  </x:cols>
  <x:sheetData>
    <x:row r="1">
      <x:c r="A1" s="431" t="str">
        <x:v>📴 Offline Essentials</x:v>
      </x:c>
      <x:c r="B1" s="431"/>
      <x:c r="C1" s="431"/>
      <x:c r="D1" s="431"/>
      <x:c r="E1" s="431"/>
    </x:row>
    <x:row r="2">
      <x:c r="A2" s="431"/>
      <x:c r="B2" s="431"/>
      <x:c r="C2" s="431"/>
      <x:c r="D2" s="431"/>
      <x:c r="E2" s="431"/>
    </x:row>
    <x:row r="3">
      <x:c r="A3" s="432" t="str">
        <x:v>Anything in this list should be available or cached in the app before leaving the hotel each day.</x:v>
      </x:c>
      <x:c r="B3" s="432"/>
      <x:c r="C3" s="432"/>
      <x:c r="D3" s="432"/>
      <x:c r="E3" s="432"/>
    </x:row>
    <x:row r="4">
      <x:c r="A4" s="428"/>
      <x:c r="B4" s="428"/>
      <x:c r="C4" s="428"/>
      <x:c r="D4" s="428"/>
      <x:c r="E4" s="428"/>
    </x:row>
    <x:row r="5">
      <x:c r="A5" s="435" t="str">
        <x:v>Essential Info</x:v>
      </x:c>
      <x:c r="B5" s="435" t="str">
        <x:v>Source Sheet</x:v>
      </x:c>
      <x:c r="C5" s="435" t="str">
        <x:v>Offline Priority</x:v>
      </x:c>
      <x:c r="D5" s="435" t="str">
        <x:v>Why It Matters</x:v>
      </x:c>
      <x:c r="E5" s="435" t="str">
        <x:v>Status</x:v>
      </x:c>
    </x:row>
    <x:row r="6">
      <x:c r="A6" s="436" t="str">
        <x:v>Daily itinerary</x:v>
      </x:c>
      <x:c r="B6" s="436" t="str">
        <x:v>📅 Master Itinerary</x:v>
      </x:c>
      <x:c r="C6" s="436" t="str">
        <x:v>Critical</x:v>
      </x:c>
      <x:c r="D6" s="436" t="str">
        <x:v>Everyone needs the day plan even without service.</x:v>
      </x:c>
      <x:c r="E6" s="436" t="str">
        <x:v>Ready</x:v>
      </x:c>
    </x:row>
    <x:row r="7">
      <x:c r="A7" s="436" t="str">
        <x:v>Hotel name/address/phone</x:v>
      </x:c>
      <x:c r="B7" s="436" t="str">
        <x:v>🏨 Hotels / 📍 Maps</x:v>
      </x:c>
      <x:c r="C7" s="436" t="str">
        <x:v>Critical</x:v>
      </x:c>
      <x:c r="D7" s="436" t="str">
        <x:v>Lost Mode, taxi card, Hilda comfort.</x:v>
      </x:c>
      <x:c r="E7" s="436" t="str">
        <x:v>Fill real data</x:v>
      </x:c>
    </x:row>
    <x:row r="8">
      <x:c r="A8" s="436" t="str">
        <x:v>Emergency numbers/cards</x:v>
      </x:c>
      <x:c r="B8" s="436" t="str">
        <x:v>🚨 Emergency / 🆘 Lost Mode</x:v>
      </x:c>
      <x:c r="C8" s="436" t="str">
        <x:v>Critical</x:v>
      </x:c>
      <x:c r="D8" s="436" t="str">
        <x:v>Safety.</x:v>
      </x:c>
      <x:c r="E8" s="436" t="str">
        <x:v>Ready; customize if wanted</x:v>
      </x:c>
    </x:row>
    <x:row r="9">
      <x:c r="A9" s="436" t="str">
        <x:v>Apple Wallet Suica notes</x:v>
      </x:c>
      <x:c r="B9" s="436" t="str">
        <x:v>📱 Apple Wallet Suica</x:v>
      </x:c>
      <x:c r="C9" s="436" t="str">
        <x:v>High</x:v>
      </x:c>
      <x:c r="D9" s="436" t="str">
        <x:v>Transit use and troubleshooting.</x:v>
      </x:c>
      <x:c r="E9" s="436" t="str">
        <x:v>Ready</x:v>
      </x:c>
    </x:row>
    <x:row r="10">
      <x:c r="A10" s="436" t="str">
        <x:v>Core phrases</x:v>
      </x:c>
      <x:c r="B10" s="436" t="str">
        <x:v>⭐ Phrase Favorites / 🇯🇵 Phrases</x:v>
      </x:c>
      <x:c r="C10" s="436" t="str">
        <x:v>High</x:v>
      </x:c>
      <x:c r="D10" s="436" t="str">
        <x:v>Useful when service is poor.</x:v>
      </x:c>
      <x:c r="E10" s="436" t="str">
        <x:v>Ready</x:v>
      </x:c>
    </x:row>
    <x:row r="11">
      <x:c r="A11" s="436" t="str">
        <x:v>Reservations/confirmation notes</x:v>
      </x:c>
      <x:c r="B11" s="436" t="str">
        <x:v>🎟 Reservations</x:v>
      </x:c>
      <x:c r="C11" s="436" t="str">
        <x:v>High</x:v>
      </x:c>
      <x:c r="D11" s="436" t="str">
        <x:v>Tickets and bookings.</x:v>
      </x:c>
      <x:c r="E11" s="436" t="str">
        <x:v>Fill real data</x:v>
      </x:c>
    </x:row>
    <x:row r="12">
      <x:c r="A12" s="436" t="str">
        <x:v>Map links</x:v>
      </x:c>
      <x:c r="B12" s="436" t="str">
        <x:v>📍 Maps</x:v>
      </x:c>
      <x:c r="C12" s="436" t="str">
        <x:v>Medium</x:v>
      </x:c>
      <x:c r="D12" s="436" t="str">
        <x:v>Links can open map apps if cached/connected.</x:v>
      </x:c>
      <x:c r="E12" s="436" t="str">
        <x:v>Fill real data</x:v>
      </x:c>
    </x:row>
    <x:row r="13">
      <x:c r="A13" s="436" t="str">
        <x:v>Packing/checklists</x:v>
      </x:c>
      <x:c r="B13" s="436" t="str">
        <x:v>🧳 Packing</x:v>
      </x:c>
      <x:c r="C13" s="436" t="str">
        <x:v>Medium</x:v>
      </x:c>
      <x:c r="D13" s="436" t="str">
        <x:v>Departure and daily prep.</x:v>
      </x:c>
      <x:c r="E13" s="436" t="str">
        <x:v>Fill real data</x:v>
      </x:c>
    </x:row>
    <x:row r="14">
      <x:c r="A14" s="428"/>
      <x:c r="B14" s="428"/>
      <x:c r="C14" s="428"/>
      <x:c r="D14" s="428"/>
      <x:c r="E14" s="428"/>
    </x:row>
    <x:row r="15">
      <x:c r="A15" s="428"/>
      <x:c r="B15" s="428"/>
      <x:c r="C15" s="428"/>
      <x:c r="D15" s="428"/>
      <x:c r="E15" s="428"/>
    </x:row>
    <x:row r="16">
      <x:c r="A16" s="428"/>
      <x:c r="B16" s="428"/>
      <x:c r="C16" s="428"/>
      <x:c r="D16" s="428"/>
      <x:c r="E16" s="428"/>
    </x:row>
    <x:row r="17">
      <x:c r="A17" s="428"/>
      <x:c r="B17" s="428"/>
      <x:c r="C17" s="428"/>
      <x:c r="D17" s="428"/>
      <x:c r="E17" s="428"/>
    </x:row>
    <x:row r="18">
      <x:c r="A18" s="428"/>
      <x:c r="B18" s="428"/>
      <x:c r="C18" s="428"/>
      <x:c r="D18" s="428"/>
      <x:c r="E18" s="428"/>
    </x:row>
    <x:row r="19">
      <x:c r="A19" s="428"/>
      <x:c r="B19" s="428"/>
      <x:c r="C19" s="428"/>
      <x:c r="D19" s="428"/>
      <x:c r="E19" s="428"/>
    </x:row>
    <x:row r="20">
      <x:c r="A20" s="428"/>
      <x:c r="B20" s="428"/>
      <x:c r="C20" s="428"/>
      <x:c r="D20" s="428"/>
      <x:c r="E20" s="428"/>
    </x:row>
    <x:row r="21">
      <x:c r="A21" s="428"/>
      <x:c r="B21" s="428"/>
      <x:c r="C21" s="428"/>
      <x:c r="D21" s="428"/>
      <x:c r="E21" s="428"/>
    </x:row>
    <x:row r="22">
      <x:c r="A22" s="428"/>
      <x:c r="B22" s="428"/>
      <x:c r="C22" s="428"/>
      <x:c r="D22" s="428"/>
      <x:c r="E22" s="428"/>
    </x:row>
    <x:row r="23">
      <x:c r="A23" s="428"/>
      <x:c r="B23" s="428"/>
      <x:c r="C23" s="428"/>
      <x:c r="D23" s="428"/>
      <x:c r="E23" s="428"/>
    </x:row>
    <x:row r="24">
      <x:c r="A24" s="428"/>
      <x:c r="B24" s="428"/>
      <x:c r="C24" s="428"/>
      <x:c r="D24" s="428"/>
      <x:c r="E24" s="428"/>
    </x:row>
    <x:row r="25">
      <x:c r="A25" s="428"/>
      <x:c r="B25" s="428"/>
      <x:c r="C25" s="428"/>
      <x:c r="D25" s="428"/>
      <x:c r="E25" s="428"/>
    </x:row>
    <x:row r="26">
      <x:c r="A26" s="428"/>
      <x:c r="B26" s="428"/>
      <x:c r="C26" s="428"/>
      <x:c r="D26" s="428"/>
      <x:c r="E26" s="428"/>
    </x:row>
    <x:row r="27">
      <x:c r="A27" s="428"/>
      <x:c r="B27" s="428"/>
      <x:c r="C27" s="428"/>
      <x:c r="D27" s="428"/>
      <x:c r="E27" s="428"/>
    </x:row>
    <x:row r="28">
      <x:c r="A28" s="428"/>
      <x:c r="B28" s="428"/>
      <x:c r="C28" s="428"/>
      <x:c r="D28" s="428"/>
      <x:c r="E28" s="428"/>
    </x:row>
    <x:row r="29">
      <x:c r="A29" s="428"/>
      <x:c r="B29" s="428"/>
      <x:c r="C29" s="428"/>
      <x:c r="D29" s="428"/>
      <x:c r="E29" s="428"/>
    </x:row>
    <x:row r="30">
      <x:c r="A30" s="428"/>
      <x:c r="B30" s="428"/>
      <x:c r="C30" s="428"/>
      <x:c r="D30" s="428"/>
      <x:c r="E30" s="428"/>
    </x:row>
    <x:row r="31">
      <x:c r="A31" s="428"/>
      <x:c r="B31" s="428"/>
      <x:c r="C31" s="428"/>
      <x:c r="D31" s="428"/>
      <x:c r="E31" s="428"/>
    </x:row>
    <x:row r="32">
      <x:c r="A32" s="428"/>
      <x:c r="B32" s="428"/>
      <x:c r="C32" s="428"/>
      <x:c r="D32" s="428"/>
      <x:c r="E32" s="428"/>
    </x:row>
    <x:row r="33">
      <x:c r="A33" s="428"/>
      <x:c r="B33" s="428"/>
      <x:c r="C33" s="428"/>
      <x:c r="D33" s="428"/>
      <x:c r="E33" s="428"/>
    </x:row>
    <x:row r="34">
      <x:c r="A34" s="428"/>
      <x:c r="B34" s="428"/>
      <x:c r="C34" s="428"/>
      <x:c r="D34" s="428"/>
      <x:c r="E34" s="428"/>
    </x:row>
    <x:row r="35">
      <x:c r="A35" s="428"/>
      <x:c r="B35" s="428"/>
      <x:c r="C35" s="428"/>
      <x:c r="D35" s="428"/>
      <x:c r="E35" s="428"/>
    </x:row>
    <x:row r="36">
      <x:c r="A36" s="428"/>
      <x:c r="B36" s="428"/>
      <x:c r="C36" s="428"/>
      <x:c r="D36" s="428"/>
      <x:c r="E36" s="428"/>
    </x:row>
    <x:row r="37">
      <x:c r="A37" s="428"/>
      <x:c r="B37" s="428"/>
      <x:c r="C37" s="428"/>
      <x:c r="D37" s="428"/>
      <x:c r="E37" s="428"/>
    </x:row>
    <x:row r="38">
      <x:c r="A38" s="428"/>
      <x:c r="B38" s="428"/>
      <x:c r="C38" s="428"/>
      <x:c r="D38" s="428"/>
      <x:c r="E38" s="428"/>
    </x:row>
    <x:row r="39">
      <x:c r="A39" s="428"/>
      <x:c r="B39" s="428"/>
      <x:c r="C39" s="428"/>
      <x:c r="D39" s="428"/>
      <x:c r="E39" s="428"/>
    </x:row>
    <x:row r="40">
      <x:c r="A40" s="428"/>
      <x:c r="B40" s="428"/>
      <x:c r="C40" s="428"/>
      <x:c r="D40" s="428"/>
      <x:c r="E40" s="428"/>
    </x:row>
    <x:row r="41">
      <x:c r="A41" s="428"/>
      <x:c r="B41" s="428"/>
      <x:c r="C41" s="428"/>
      <x:c r="D41" s="428"/>
      <x:c r="E41" s="428"/>
    </x:row>
    <x:row r="42">
      <x:c r="A42" s="428"/>
      <x:c r="B42" s="428"/>
      <x:c r="C42" s="428"/>
      <x:c r="D42" s="428"/>
      <x:c r="E42" s="428"/>
    </x:row>
    <x:row r="43">
      <x:c r="A43" s="428"/>
      <x:c r="B43" s="428"/>
      <x:c r="C43" s="428"/>
      <x:c r="D43" s="428"/>
      <x:c r="E43" s="428"/>
    </x:row>
    <x:row r="44">
      <x:c r="A44" s="428"/>
      <x:c r="B44" s="428"/>
      <x:c r="C44" s="428"/>
      <x:c r="D44" s="428"/>
      <x:c r="E44" s="428"/>
    </x:row>
    <x:row r="45">
      <x:c r="A45" s="428"/>
      <x:c r="B45" s="428"/>
      <x:c r="C45" s="428"/>
      <x:c r="D45" s="428"/>
      <x:c r="E45" s="428"/>
    </x:row>
    <x:row r="46">
      <x:c r="A46" s="428"/>
      <x:c r="B46" s="428"/>
      <x:c r="C46" s="428"/>
      <x:c r="D46" s="428"/>
      <x:c r="E46" s="428"/>
    </x:row>
    <x:row r="47">
      <x:c r="A47" s="428"/>
      <x:c r="B47" s="428"/>
      <x:c r="C47" s="428"/>
      <x:c r="D47" s="428"/>
      <x:c r="E47" s="428"/>
    </x:row>
    <x:row r="48">
      <x:c r="A48" s="428"/>
      <x:c r="B48" s="428"/>
      <x:c r="C48" s="428"/>
      <x:c r="D48" s="428"/>
      <x:c r="E48" s="428"/>
    </x:row>
    <x:row r="49">
      <x:c r="A49" s="428"/>
      <x:c r="B49" s="428"/>
      <x:c r="C49" s="428"/>
      <x:c r="D49" s="428"/>
      <x:c r="E49" s="428"/>
    </x:row>
    <x:row r="50">
      <x:c r="A50" s="428"/>
      <x:c r="B50" s="428"/>
      <x:c r="C50" s="428"/>
      <x:c r="D50" s="428"/>
      <x:c r="E50" s="428"/>
    </x:row>
    <x:row r="51">
      <x:c r="A51" s="428"/>
      <x:c r="B51" s="428"/>
      <x:c r="C51" s="428"/>
      <x:c r="D51" s="428"/>
      <x:c r="E51" s="428"/>
    </x:row>
    <x:row r="52">
      <x:c r="A52" s="428"/>
      <x:c r="B52" s="428"/>
      <x:c r="C52" s="428"/>
      <x:c r="D52" s="428"/>
      <x:c r="E52" s="428"/>
    </x:row>
    <x:row r="53">
      <x:c r="A53" s="428"/>
      <x:c r="B53" s="428"/>
      <x:c r="C53" s="428"/>
      <x:c r="D53" s="428"/>
      <x:c r="E53" s="428"/>
    </x:row>
    <x:row r="54">
      <x:c r="A54" s="428"/>
      <x:c r="B54" s="428"/>
      <x:c r="C54" s="428"/>
      <x:c r="D54" s="428"/>
      <x:c r="E54" s="428"/>
    </x:row>
    <x:row r="55">
      <x:c r="A55" s="428"/>
      <x:c r="B55" s="428"/>
      <x:c r="C55" s="428"/>
      <x:c r="D55" s="428"/>
      <x:c r="E55" s="428"/>
    </x:row>
    <x:row r="56">
      <x:c r="A56" s="428"/>
      <x:c r="B56" s="428"/>
      <x:c r="C56" s="428"/>
      <x:c r="D56" s="428"/>
      <x:c r="E56" s="428"/>
    </x:row>
    <x:row r="57">
      <x:c r="A57" s="428"/>
      <x:c r="B57" s="428"/>
      <x:c r="C57" s="428"/>
      <x:c r="D57" s="428"/>
      <x:c r="E57" s="428"/>
    </x:row>
    <x:row r="58">
      <x:c r="A58" s="428"/>
      <x:c r="B58" s="428"/>
      <x:c r="C58" s="428"/>
      <x:c r="D58" s="428"/>
      <x:c r="E58" s="428"/>
    </x:row>
    <x:row r="59">
      <x:c r="A59" s="428"/>
      <x:c r="B59" s="428"/>
      <x:c r="C59" s="428"/>
      <x:c r="D59" s="428"/>
      <x:c r="E59" s="428"/>
    </x:row>
    <x:row r="60">
      <x:c r="A60" s="428"/>
      <x:c r="B60" s="428"/>
      <x:c r="C60" s="428"/>
      <x:c r="D60" s="428"/>
      <x:c r="E60" s="428"/>
    </x:row>
    <x:row r="61">
      <x:c r="A61" s="428"/>
      <x:c r="B61" s="428"/>
      <x:c r="C61" s="428"/>
      <x:c r="D61" s="428"/>
      <x:c r="E61" s="428"/>
    </x:row>
    <x:row r="62">
      <x:c r="A62" s="428"/>
      <x:c r="B62" s="428"/>
      <x:c r="C62" s="428"/>
      <x:c r="D62" s="428"/>
      <x:c r="E62" s="428"/>
    </x:row>
    <x:row r="63">
      <x:c r="A63" s="428"/>
      <x:c r="B63" s="428"/>
      <x:c r="C63" s="428"/>
      <x:c r="D63" s="428"/>
      <x:c r="E63" s="428"/>
    </x:row>
    <x:row r="64">
      <x:c r="A64" s="428"/>
      <x:c r="B64" s="428"/>
      <x:c r="C64" s="428"/>
      <x:c r="D64" s="428"/>
      <x:c r="E64" s="428"/>
    </x:row>
    <x:row r="65">
      <x:c r="A65" s="428"/>
      <x:c r="B65" s="428"/>
      <x:c r="C65" s="428"/>
      <x:c r="D65" s="428"/>
      <x:c r="E65" s="428"/>
    </x:row>
    <x:row r="66">
      <x:c r="A66" s="428"/>
      <x:c r="B66" s="428"/>
      <x:c r="C66" s="428"/>
      <x:c r="D66" s="428"/>
      <x:c r="E66" s="428"/>
    </x:row>
    <x:row r="67">
      <x:c r="A67" s="428"/>
      <x:c r="B67" s="428"/>
      <x:c r="C67" s="428"/>
      <x:c r="D67" s="428"/>
      <x:c r="E67" s="428"/>
    </x:row>
    <x:row r="68">
      <x:c r="A68" s="428"/>
      <x:c r="B68" s="428"/>
      <x:c r="C68" s="428"/>
      <x:c r="D68" s="428"/>
      <x:c r="E68" s="428"/>
    </x:row>
    <x:row r="69">
      <x:c r="A69" s="428"/>
      <x:c r="B69" s="428"/>
      <x:c r="C69" s="428"/>
      <x:c r="D69" s="428"/>
      <x:c r="E69" s="428"/>
    </x:row>
    <x:row r="70">
      <x:c r="A70" s="428"/>
      <x:c r="B70" s="428"/>
      <x:c r="C70" s="428"/>
      <x:c r="D70" s="428"/>
      <x:c r="E70" s="428"/>
    </x:row>
    <x:row r="71">
      <x:c r="A71" s="428"/>
      <x:c r="B71" s="428"/>
      <x:c r="C71" s="428"/>
      <x:c r="D71" s="428"/>
      <x:c r="E71" s="428"/>
    </x:row>
    <x:row r="72">
      <x:c r="A72" s="428"/>
      <x:c r="B72" s="428"/>
      <x:c r="C72" s="428"/>
      <x:c r="D72" s="428"/>
      <x:c r="E72" s="428"/>
    </x:row>
    <x:row r="73">
      <x:c r="A73" s="428"/>
      <x:c r="B73" s="428"/>
      <x:c r="C73" s="428"/>
      <x:c r="D73" s="428"/>
      <x:c r="E73" s="428"/>
    </x:row>
    <x:row r="74">
      <x:c r="A74" s="428"/>
      <x:c r="B74" s="428"/>
      <x:c r="C74" s="428"/>
      <x:c r="D74" s="428"/>
      <x:c r="E74" s="428"/>
    </x:row>
    <x:row r="75">
      <x:c r="A75" s="428"/>
      <x:c r="B75" s="428"/>
      <x:c r="C75" s="428"/>
      <x:c r="D75" s="428"/>
      <x:c r="E75" s="428"/>
    </x:row>
    <x:row r="76">
      <x:c r="A76" s="428"/>
      <x:c r="B76" s="428"/>
      <x:c r="C76" s="428"/>
      <x:c r="D76" s="428"/>
      <x:c r="E76" s="428"/>
    </x:row>
    <x:row r="77">
      <x:c r="A77" s="428"/>
      <x:c r="B77" s="428"/>
      <x:c r="C77" s="428"/>
      <x:c r="D77" s="428"/>
      <x:c r="E77" s="428"/>
    </x:row>
    <x:row r="78">
      <x:c r="A78" s="428"/>
      <x:c r="B78" s="428"/>
      <x:c r="C78" s="428"/>
      <x:c r="D78" s="428"/>
      <x:c r="E78" s="428"/>
    </x:row>
    <x:row r="79">
      <x:c r="A79" s="428"/>
      <x:c r="B79" s="428"/>
      <x:c r="C79" s="428"/>
      <x:c r="D79" s="428"/>
      <x:c r="E79" s="428"/>
    </x:row>
    <x:row r="80">
      <x:c r="A80" s="428"/>
      <x:c r="B80" s="428"/>
      <x:c r="C80" s="428"/>
      <x:c r="D80" s="428"/>
      <x:c r="E80" s="428"/>
    </x:row>
    <x:row r="81">
      <x:c r="A81" s="428"/>
      <x:c r="B81" s="428"/>
      <x:c r="C81" s="428"/>
      <x:c r="D81" s="428"/>
      <x:c r="E81" s="428"/>
    </x:row>
    <x:row r="82">
      <x:c r="A82" s="428"/>
      <x:c r="B82" s="428"/>
      <x:c r="C82" s="428"/>
      <x:c r="D82" s="428"/>
      <x:c r="E82" s="428"/>
    </x:row>
    <x:row r="83">
      <x:c r="A83" s="428"/>
      <x:c r="B83" s="428"/>
      <x:c r="C83" s="428"/>
      <x:c r="D83" s="428"/>
      <x:c r="E83" s="428"/>
    </x:row>
    <x:row r="84">
      <x:c r="A84" s="428"/>
      <x:c r="B84" s="428"/>
      <x:c r="C84" s="428"/>
      <x:c r="D84" s="428"/>
      <x:c r="E84" s="428"/>
    </x:row>
    <x:row r="85">
      <x:c r="A85" s="428"/>
      <x:c r="B85" s="428"/>
      <x:c r="C85" s="428"/>
      <x:c r="D85" s="428"/>
      <x:c r="E85" s="428"/>
    </x:row>
    <x:row r="86">
      <x:c r="A86" s="428"/>
      <x:c r="B86" s="428"/>
      <x:c r="C86" s="428"/>
      <x:c r="D86" s="428"/>
      <x:c r="E86" s="428"/>
    </x:row>
    <x:row r="87">
      <x:c r="A87" s="428"/>
      <x:c r="B87" s="428"/>
      <x:c r="C87" s="428"/>
      <x:c r="D87" s="428"/>
      <x:c r="E87" s="428"/>
    </x:row>
    <x:row r="88">
      <x:c r="A88" s="428"/>
      <x:c r="B88" s="428"/>
      <x:c r="C88" s="428"/>
      <x:c r="D88" s="428"/>
      <x:c r="E88" s="428"/>
    </x:row>
    <x:row r="89">
      <x:c r="A89" s="428"/>
      <x:c r="B89" s="428"/>
      <x:c r="C89" s="428"/>
      <x:c r="D89" s="428"/>
      <x:c r="E89" s="428"/>
    </x:row>
    <x:row r="90">
      <x:c r="A90" s="428"/>
      <x:c r="B90" s="428"/>
      <x:c r="C90" s="428"/>
      <x:c r="D90" s="428"/>
      <x:c r="E90" s="428"/>
    </x:row>
    <x:row r="91">
      <x:c r="A91" s="428"/>
      <x:c r="B91" s="428"/>
      <x:c r="C91" s="428"/>
      <x:c r="D91" s="428"/>
      <x:c r="E91" s="428"/>
    </x:row>
    <x:row r="92">
      <x:c r="A92" s="428"/>
      <x:c r="B92" s="428"/>
      <x:c r="C92" s="428"/>
      <x:c r="D92" s="428"/>
      <x:c r="E92" s="428"/>
    </x:row>
    <x:row r="93">
      <x:c r="A93" s="428"/>
      <x:c r="B93" s="428"/>
      <x:c r="C93" s="428"/>
      <x:c r="D93" s="428"/>
      <x:c r="E93" s="428"/>
    </x:row>
    <x:row r="94">
      <x:c r="A94" s="428"/>
      <x:c r="B94" s="428"/>
      <x:c r="C94" s="428"/>
      <x:c r="D94" s="428"/>
      <x:c r="E94" s="428"/>
    </x:row>
    <x:row r="95">
      <x:c r="A95" s="428"/>
      <x:c r="B95" s="428"/>
      <x:c r="C95" s="428"/>
      <x:c r="D95" s="428"/>
      <x:c r="E95" s="428"/>
    </x:row>
    <x:row r="96">
      <x:c r="A96" s="428"/>
      <x:c r="B96" s="428"/>
      <x:c r="C96" s="428"/>
      <x:c r="D96" s="428"/>
      <x:c r="E96" s="428"/>
    </x:row>
    <x:row r="97">
      <x:c r="A97" s="428"/>
      <x:c r="B97" s="428"/>
      <x:c r="C97" s="428"/>
      <x:c r="D97" s="428"/>
      <x:c r="E97" s="428"/>
    </x:row>
    <x:row r="98">
      <x:c r="A98" s="428"/>
      <x:c r="B98" s="428"/>
      <x:c r="C98" s="428"/>
      <x:c r="D98" s="428"/>
      <x:c r="E98" s="428"/>
    </x:row>
    <x:row r="99">
      <x:c r="A99" s="428"/>
      <x:c r="B99" s="428"/>
      <x:c r="C99" s="428"/>
      <x:c r="D99" s="428"/>
      <x:c r="E99" s="428"/>
    </x:row>
    <x:row r="100">
      <x:c r="A100" s="428"/>
      <x:c r="B100" s="428"/>
      <x:c r="C100" s="428"/>
      <x:c r="D100" s="428"/>
      <x:c r="E100" s="428"/>
    </x:row>
    <x:row r="101">
      <x:c r="A101" s="428"/>
      <x:c r="B101" s="428"/>
      <x:c r="C101" s="428"/>
      <x:c r="D101" s="428"/>
      <x:c r="E101" s="428"/>
    </x:row>
    <x:row r="102">
      <x:c r="A102" s="428"/>
      <x:c r="B102" s="428"/>
      <x:c r="C102" s="428"/>
      <x:c r="D102" s="428"/>
      <x:c r="E102" s="428"/>
    </x:row>
    <x:row r="103">
      <x:c r="A103" s="428"/>
      <x:c r="B103" s="428"/>
      <x:c r="C103" s="428"/>
      <x:c r="D103" s="428"/>
      <x:c r="E103" s="428"/>
    </x:row>
    <x:row r="104">
      <x:c r="A104" s="428"/>
      <x:c r="B104" s="428"/>
      <x:c r="C104" s="428"/>
      <x:c r="D104" s="428"/>
      <x:c r="E104" s="428"/>
    </x:row>
    <x:row r="105">
      <x:c r="A105" s="428"/>
      <x:c r="B105" s="428"/>
      <x:c r="C105" s="428"/>
      <x:c r="D105" s="428"/>
      <x:c r="E105" s="428"/>
    </x:row>
    <x:row r="106">
      <x:c r="A106" s="428"/>
      <x:c r="B106" s="428"/>
      <x:c r="C106" s="428"/>
      <x:c r="D106" s="428"/>
      <x:c r="E106" s="428"/>
    </x:row>
    <x:row r="107">
      <x:c r="A107" s="428"/>
      <x:c r="B107" s="428"/>
      <x:c r="C107" s="428"/>
      <x:c r="D107" s="428"/>
      <x:c r="E107" s="428"/>
    </x:row>
    <x:row r="108">
      <x:c r="A108" s="428"/>
      <x:c r="B108" s="428"/>
      <x:c r="C108" s="428"/>
      <x:c r="D108" s="428"/>
      <x:c r="E108" s="428"/>
    </x:row>
    <x:row r="109">
      <x:c r="A109" s="428"/>
      <x:c r="B109" s="428"/>
      <x:c r="C109" s="428"/>
      <x:c r="D109" s="428"/>
      <x:c r="E109" s="428"/>
    </x:row>
    <x:row r="110">
      <x:c r="A110" s="428"/>
      <x:c r="B110" s="428"/>
      <x:c r="C110" s="428"/>
      <x:c r="D110" s="428"/>
      <x:c r="E110" s="428"/>
    </x:row>
    <x:row r="111">
      <x:c r="A111" s="428"/>
      <x:c r="B111" s="428"/>
      <x:c r="C111" s="428"/>
      <x:c r="D111" s="428"/>
      <x:c r="E111" s="428"/>
    </x:row>
    <x:row r="112">
      <x:c r="A112" s="428"/>
      <x:c r="B112" s="428"/>
      <x:c r="C112" s="428"/>
      <x:c r="D112" s="428"/>
      <x:c r="E112" s="428"/>
    </x:row>
    <x:row r="113">
      <x:c r="A113" s="428"/>
      <x:c r="B113" s="428"/>
      <x:c r="C113" s="428"/>
      <x:c r="D113" s="428"/>
      <x:c r="E113" s="428"/>
    </x:row>
    <x:row r="114">
      <x:c r="A114" s="428"/>
      <x:c r="B114" s="428"/>
      <x:c r="C114" s="428"/>
      <x:c r="D114" s="428"/>
      <x:c r="E114" s="428"/>
    </x:row>
    <x:row r="115">
      <x:c r="A115" s="428"/>
      <x:c r="B115" s="428"/>
      <x:c r="C115" s="428"/>
      <x:c r="D115" s="428"/>
      <x:c r="E115" s="428"/>
    </x:row>
    <x:row r="116">
      <x:c r="A116" s="428"/>
      <x:c r="B116" s="428"/>
      <x:c r="C116" s="428"/>
      <x:c r="D116" s="428"/>
      <x:c r="E116" s="428"/>
    </x:row>
    <x:row r="117">
      <x:c r="A117" s="428"/>
      <x:c r="B117" s="428"/>
      <x:c r="C117" s="428"/>
      <x:c r="D117" s="428"/>
      <x:c r="E117" s="428"/>
    </x:row>
    <x:row r="118">
      <x:c r="A118" s="428"/>
      <x:c r="B118" s="428"/>
      <x:c r="C118" s="428"/>
      <x:c r="D118" s="428"/>
      <x:c r="E118" s="428"/>
    </x:row>
    <x:row r="119">
      <x:c r="A119" s="428"/>
      <x:c r="B119" s="428"/>
      <x:c r="C119" s="428"/>
      <x:c r="D119" s="428"/>
      <x:c r="E119" s="428"/>
    </x:row>
    <x:row r="120">
      <x:c r="A120" s="428"/>
      <x:c r="B120" s="428"/>
      <x:c r="C120" s="428"/>
      <x:c r="D120" s="428"/>
      <x:c r="E120" s="428"/>
    </x:row>
    <x:row r="121">
      <x:c r="A121" s="428"/>
      <x:c r="B121" s="428"/>
      <x:c r="C121" s="428"/>
      <x:c r="D121" s="428"/>
      <x:c r="E121" s="428"/>
    </x:row>
    <x:row r="122">
      <x:c r="A122" s="428"/>
      <x:c r="B122" s="428"/>
      <x:c r="C122" s="428"/>
      <x:c r="D122" s="428"/>
      <x:c r="E122" s="428"/>
    </x:row>
    <x:row r="123">
      <x:c r="A123" s="428"/>
      <x:c r="B123" s="428"/>
      <x:c r="C123" s="428"/>
      <x:c r="D123" s="428"/>
      <x:c r="E123" s="428"/>
    </x:row>
    <x:row r="124">
      <x:c r="A124" s="428"/>
      <x:c r="B124" s="428"/>
      <x:c r="C124" s="428"/>
      <x:c r="D124" s="428"/>
      <x:c r="E124" s="428"/>
    </x:row>
    <x:row r="125">
      <x:c r="A125" s="428"/>
      <x:c r="B125" s="428"/>
      <x:c r="C125" s="428"/>
      <x:c r="D125" s="428"/>
      <x:c r="E125" s="428"/>
    </x:row>
    <x:row r="126">
      <x:c r="A126" s="428"/>
      <x:c r="B126" s="428"/>
      <x:c r="C126" s="428"/>
      <x:c r="D126" s="428"/>
      <x:c r="E126" s="428"/>
    </x:row>
    <x:row r="127">
      <x:c r="A127" s="428"/>
      <x:c r="B127" s="428"/>
      <x:c r="C127" s="428"/>
      <x:c r="D127" s="428"/>
      <x:c r="E127" s="428"/>
    </x:row>
    <x:row r="128">
      <x:c r="A128" s="428"/>
      <x:c r="B128" s="428"/>
      <x:c r="C128" s="428"/>
      <x:c r="D128" s="428"/>
      <x:c r="E128" s="428"/>
    </x:row>
    <x:row r="129">
      <x:c r="A129" s="428"/>
      <x:c r="B129" s="428"/>
      <x:c r="C129" s="428"/>
      <x:c r="D129" s="428"/>
      <x:c r="E129" s="428"/>
    </x:row>
    <x:row r="130">
      <x:c r="A130" s="428"/>
      <x:c r="B130" s="428"/>
      <x:c r="C130" s="428"/>
      <x:c r="D130" s="428"/>
      <x:c r="E130" s="428"/>
    </x:row>
    <x:row r="131">
      <x:c r="A131" s="428"/>
      <x:c r="B131" s="428"/>
      <x:c r="C131" s="428"/>
      <x:c r="D131" s="428"/>
      <x:c r="E131" s="428"/>
    </x:row>
    <x:row r="132">
      <x:c r="A132" s="428"/>
      <x:c r="B132" s="428"/>
      <x:c r="C132" s="428"/>
      <x:c r="D132" s="428"/>
      <x:c r="E132" s="428"/>
    </x:row>
    <x:row r="133">
      <x:c r="A133" s="428"/>
      <x:c r="B133" s="428"/>
      <x:c r="C133" s="428"/>
      <x:c r="D133" s="428"/>
      <x:c r="E133" s="428"/>
    </x:row>
    <x:row r="134">
      <x:c r="A134" s="428"/>
      <x:c r="B134" s="428"/>
      <x:c r="C134" s="428"/>
      <x:c r="D134" s="428"/>
      <x:c r="E134" s="428"/>
    </x:row>
    <x:row r="135">
      <x:c r="A135" s="428"/>
      <x:c r="B135" s="428"/>
      <x:c r="C135" s="428"/>
      <x:c r="D135" s="428"/>
      <x:c r="E135" s="428"/>
    </x:row>
    <x:row r="136">
      <x:c r="A136" s="428"/>
      <x:c r="B136" s="428"/>
      <x:c r="C136" s="428"/>
      <x:c r="D136" s="428"/>
      <x:c r="E136" s="428"/>
    </x:row>
    <x:row r="137">
      <x:c r="A137" s="428"/>
      <x:c r="B137" s="428"/>
      <x:c r="C137" s="428"/>
      <x:c r="D137" s="428"/>
      <x:c r="E137" s="428"/>
    </x:row>
    <x:row r="138">
      <x:c r="A138" s="428"/>
      <x:c r="B138" s="428"/>
      <x:c r="C138" s="428"/>
      <x:c r="D138" s="428"/>
      <x:c r="E138" s="428"/>
    </x:row>
    <x:row r="139">
      <x:c r="A139" s="428"/>
      <x:c r="B139" s="428"/>
      <x:c r="C139" s="428"/>
      <x:c r="D139" s="428"/>
      <x:c r="E139" s="428"/>
    </x:row>
    <x:row r="140">
      <x:c r="A140" s="428"/>
      <x:c r="B140" s="428"/>
      <x:c r="C140" s="428"/>
      <x:c r="D140" s="428"/>
      <x:c r="E140" s="428"/>
    </x:row>
  </x:sheetData>
  <x:mergeCells>
    <x:mergeCell ref="A3:E3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66" hidden="0" customWidth="1"/>
    <x:col min="4" max="4" width="18" hidden="0" customWidth="1"/>
    <x:col min="5" max="5" width="28" hidden="0" customWidth="1"/>
    <x:col min="6" max="6" width="14" hidden="0" customWidth="1"/>
  </x:cols>
  <x:sheetData>
    <x:row r="1">
      <x:c r="A1" s="452" t="str">
        <x:v>✅ Confidence Mode Rules</x:v>
      </x:c>
      <x:c r="B1" s="452"/>
      <x:c r="C1" s="452"/>
      <x:c r="D1" s="452"/>
      <x:c r="E1" s="452"/>
      <x:c r="F1" s="452"/>
    </x:row>
    <x:row r="2">
      <x:c r="A2" s="452"/>
      <x:c r="B2" s="452"/>
      <x:c r="C2" s="452"/>
      <x:c r="D2" s="452"/>
      <x:c r="E2" s="452"/>
      <x:c r="F2" s="452"/>
    </x:row>
    <x:row r="3">
      <x:c r="A3" s="453" t="str">
        <x:v>Rules for confidence/reassurance messages. The app currently uses a simple version; this sheet defines the fuller content system.</x:v>
      </x:c>
      <x:c r="B3" s="453"/>
      <x:c r="C3" s="453"/>
      <x:c r="D3" s="453"/>
      <x:c r="E3" s="453"/>
      <x:c r="F3" s="453"/>
    </x:row>
    <x:row r="4">
      <x:c r="A4" s="449"/>
      <x:c r="B4" s="449"/>
      <x:c r="C4" s="449"/>
      <x:c r="D4" s="449"/>
      <x:c r="E4" s="449"/>
      <x:c r="F4" s="449"/>
    </x:row>
    <x:row r="5">
      <x:c r="A5" s="456" t="str">
        <x:v>Situation</x:v>
      </x:c>
      <x:c r="B5" s="456" t="str">
        <x:v>Trigger Keywords</x:v>
      </x:c>
      <x:c r="C5" s="456" t="str">
        <x:v>User Message</x:v>
      </x:c>
      <x:c r="D5" s="456" t="str">
        <x:v>Audience</x:v>
      </x:c>
      <x:c r="E5" s="456" t="str">
        <x:v>Data Source</x:v>
      </x:c>
      <x:c r="F5" s="456" t="str">
        <x:v>Priority</x:v>
      </x:c>
    </x:row>
    <x:row r="6">
      <x:c r="A6" s="457" t="str">
        <x:v>Train/station</x:v>
      </x:c>
      <x:c r="B6" s="457" t="str">
        <x:v>train, station, shinkansen, transfer, Narita, Haneda</x:v>
      </x:c>
      <x:c r="C6" s="457" t="str">
        <x:v>You are in transit mode. Keep Apple Wallet Suica ready and follow station signage.</x:v>
      </x:c>
      <x:c r="D6" s="457" t="str">
        <x:v>Everyone</x:v>
      </x:c>
      <x:c r="E6" s="457" t="str">
        <x:v>Transit Cards / Maps</x:v>
      </x:c>
      <x:c r="F6" s="457" t="str">
        <x:v>High</x:v>
      </x:c>
    </x:row>
    <x:row r="7">
      <x:c r="A7" s="457" t="str">
        <x:v>Shrine/temple</x:v>
      </x:c>
      <x:c r="B7" s="457" t="str">
        <x:v>temple, shrine, inari, senso, kiyomizu</x:v>
      </x:c>
      <x:c r="C7" s="457" t="str">
        <x:v>Keep voices low, follow photo signs, and pause to the side when checking phones.</x:v>
      </x:c>
      <x:c r="D7" s="457" t="str">
        <x:v>Nick/Hilda</x:v>
      </x:c>
      <x:c r="E7" s="457" t="str">
        <x:v>Etiquette Cards</x:v>
      </x:c>
      <x:c r="F7" s="457" t="str">
        <x:v>Medium</x:v>
      </x:c>
    </x:row>
    <x:row r="8">
      <x:c r="A8" s="457" t="str">
        <x:v>Restaurant</x:v>
      </x:c>
      <x:c r="B8" s="457" t="str">
        <x:v>restaurant, dinner, lunch, ramen, sushi, cafe</x:v>
      </x:c>
      <x:c r="C8" s="457" t="str">
        <x:v>Pointing at menus is okay. Have phrases ready if needed.</x:v>
      </x:c>
      <x:c r="D8" s="457" t="str">
        <x:v>Everyone</x:v>
      </x:c>
      <x:c r="E8" s="457" t="str">
        <x:v>Restaurants / Phrases</x:v>
      </x:c>
      <x:c r="F8" s="457" t="str">
        <x:v>High</x:v>
      </x:c>
    </x:row>
    <x:row r="9">
      <x:c r="A9" s="457" t="str">
        <x:v>Rain</x:v>
      </x:c>
      <x:c r="B9" s="457" t="str">
        <x:v>rain, umbrella, indoor</x:v>
      </x:c>
      <x:c r="C9" s="457" t="str">
        <x:v>Use Rain Mode and choose indoor backup activities.</x:v>
      </x:c>
      <x:c r="D9" s="457" t="str">
        <x:v>Everyone</x:v>
      </x:c>
      <x:c r="E9" s="457" t="str">
        <x:v>Rain Mode / Weather</x:v>
      </x:c>
      <x:c r="F9" s="457" t="str">
        <x:v>Medium</x:v>
      </x:c>
    </x:row>
    <x:row r="10">
      <x:c r="A10" s="457" t="str">
        <x:v>Lost/separated</x:v>
      </x:c>
      <x:c r="B10" s="457" t="str">
        <x:v>lost, separated, hotel, taxi</x:v>
      </x:c>
      <x:c r="C10" s="457" t="str">
        <x:v>Go to hotel lobby, station staff, or a pre-agreed meetup point.</x:v>
      </x:c>
      <x:c r="D10" s="457" t="str">
        <x:v>Everyone</x:v>
      </x:c>
      <x:c r="E10" s="457" t="str">
        <x:v>Lost Mode / Hotels</x:v>
      </x:c>
      <x:c r="F10" s="457" t="str">
        <x:v>Critical</x:v>
      </x:c>
    </x:row>
    <x:row r="11">
      <x:c r="A11" s="449"/>
      <x:c r="B11" s="449"/>
      <x:c r="C11" s="449"/>
      <x:c r="D11" s="449"/>
      <x:c r="E11" s="449"/>
      <x:c r="F11" s="449"/>
    </x:row>
    <x:row r="12">
      <x:c r="A12" s="449"/>
      <x:c r="B12" s="449"/>
      <x:c r="C12" s="449"/>
      <x:c r="D12" s="449"/>
      <x:c r="E12" s="449"/>
      <x:c r="F12" s="449"/>
    </x:row>
    <x:row r="13">
      <x:c r="A13" s="449"/>
      <x:c r="B13" s="449"/>
      <x:c r="C13" s="449"/>
      <x:c r="D13" s="449"/>
      <x:c r="E13" s="449"/>
      <x:c r="F13" s="449"/>
    </x:row>
    <x:row r="14">
      <x:c r="A14" s="449"/>
      <x:c r="B14" s="449"/>
      <x:c r="C14" s="449"/>
      <x:c r="D14" s="449"/>
      <x:c r="E14" s="449"/>
      <x:c r="F14" s="449"/>
    </x:row>
    <x:row r="15">
      <x:c r="A15" s="449"/>
      <x:c r="B15" s="449"/>
      <x:c r="C15" s="449"/>
      <x:c r="D15" s="449"/>
      <x:c r="E15" s="449"/>
      <x:c r="F15" s="449"/>
    </x:row>
    <x:row r="16">
      <x:c r="A16" s="449"/>
      <x:c r="B16" s="449"/>
      <x:c r="C16" s="449"/>
      <x:c r="D16" s="449"/>
      <x:c r="E16" s="449"/>
      <x:c r="F16" s="449"/>
    </x:row>
    <x:row r="17">
      <x:c r="A17" s="449"/>
      <x:c r="B17" s="449"/>
      <x:c r="C17" s="449"/>
      <x:c r="D17" s="449"/>
      <x:c r="E17" s="449"/>
      <x:c r="F17" s="449"/>
    </x:row>
    <x:row r="18">
      <x:c r="A18" s="449"/>
      <x:c r="B18" s="449"/>
      <x:c r="C18" s="449"/>
      <x:c r="D18" s="449"/>
      <x:c r="E18" s="449"/>
      <x:c r="F18" s="449"/>
    </x:row>
    <x:row r="19">
      <x:c r="A19" s="449"/>
      <x:c r="B19" s="449"/>
      <x:c r="C19" s="449"/>
      <x:c r="D19" s="449"/>
      <x:c r="E19" s="449"/>
      <x:c r="F19" s="449"/>
    </x:row>
    <x:row r="20">
      <x:c r="A20" s="449"/>
      <x:c r="B20" s="449"/>
      <x:c r="C20" s="449"/>
      <x:c r="D20" s="449"/>
      <x:c r="E20" s="449"/>
      <x:c r="F20" s="449"/>
    </x:row>
    <x:row r="21">
      <x:c r="A21" s="449"/>
      <x:c r="B21" s="449"/>
      <x:c r="C21" s="449"/>
      <x:c r="D21" s="449"/>
      <x:c r="E21" s="449"/>
      <x:c r="F21" s="449"/>
    </x:row>
    <x:row r="22">
      <x:c r="A22" s="449"/>
      <x:c r="B22" s="449"/>
      <x:c r="C22" s="449"/>
      <x:c r="D22" s="449"/>
      <x:c r="E22" s="449"/>
      <x:c r="F22" s="449"/>
    </x:row>
    <x:row r="23">
      <x:c r="A23" s="449"/>
      <x:c r="B23" s="449"/>
      <x:c r="C23" s="449"/>
      <x:c r="D23" s="449"/>
      <x:c r="E23" s="449"/>
      <x:c r="F23" s="449"/>
    </x:row>
    <x:row r="24">
      <x:c r="A24" s="449"/>
      <x:c r="B24" s="449"/>
      <x:c r="C24" s="449"/>
      <x:c r="D24" s="449"/>
      <x:c r="E24" s="449"/>
      <x:c r="F24" s="449"/>
    </x:row>
    <x:row r="25">
      <x:c r="A25" s="449"/>
      <x:c r="B25" s="449"/>
      <x:c r="C25" s="449"/>
      <x:c r="D25" s="449"/>
      <x:c r="E25" s="449"/>
      <x:c r="F25" s="449"/>
    </x:row>
    <x:row r="26">
      <x:c r="A26" s="449"/>
      <x:c r="B26" s="449"/>
      <x:c r="C26" s="449"/>
      <x:c r="D26" s="449"/>
      <x:c r="E26" s="449"/>
      <x:c r="F26" s="449"/>
    </x:row>
    <x:row r="27">
      <x:c r="A27" s="449"/>
      <x:c r="B27" s="449"/>
      <x:c r="C27" s="449"/>
      <x:c r="D27" s="449"/>
      <x:c r="E27" s="449"/>
      <x:c r="F27" s="449"/>
    </x:row>
    <x:row r="28">
      <x:c r="A28" s="449"/>
      <x:c r="B28" s="449"/>
      <x:c r="C28" s="449"/>
      <x:c r="D28" s="449"/>
      <x:c r="E28" s="449"/>
      <x:c r="F28" s="449"/>
    </x:row>
    <x:row r="29">
      <x:c r="A29" s="449"/>
      <x:c r="B29" s="449"/>
      <x:c r="C29" s="449"/>
      <x:c r="D29" s="449"/>
      <x:c r="E29" s="449"/>
      <x:c r="F29" s="449"/>
    </x:row>
    <x:row r="30">
      <x:c r="A30" s="449"/>
      <x:c r="B30" s="449"/>
      <x:c r="C30" s="449"/>
      <x:c r="D30" s="449"/>
      <x:c r="E30" s="449"/>
      <x:c r="F30" s="449"/>
    </x:row>
    <x:row r="31">
      <x:c r="A31" s="449"/>
      <x:c r="B31" s="449"/>
      <x:c r="C31" s="449"/>
      <x:c r="D31" s="449"/>
      <x:c r="E31" s="449"/>
      <x:c r="F31" s="449"/>
    </x:row>
    <x:row r="32">
      <x:c r="A32" s="449"/>
      <x:c r="B32" s="449"/>
      <x:c r="C32" s="449"/>
      <x:c r="D32" s="449"/>
      <x:c r="E32" s="449"/>
      <x:c r="F32" s="449"/>
    </x:row>
    <x:row r="33">
      <x:c r="A33" s="449"/>
      <x:c r="B33" s="449"/>
      <x:c r="C33" s="449"/>
      <x:c r="D33" s="449"/>
      <x:c r="E33" s="449"/>
      <x:c r="F33" s="449"/>
    </x:row>
    <x:row r="34">
      <x:c r="A34" s="449"/>
      <x:c r="B34" s="449"/>
      <x:c r="C34" s="449"/>
      <x:c r="D34" s="449"/>
      <x:c r="E34" s="449"/>
      <x:c r="F34" s="449"/>
    </x:row>
    <x:row r="35">
      <x:c r="A35" s="449"/>
      <x:c r="B35" s="449"/>
      <x:c r="C35" s="449"/>
      <x:c r="D35" s="449"/>
      <x:c r="E35" s="449"/>
      <x:c r="F35" s="449"/>
    </x:row>
    <x:row r="36">
      <x:c r="A36" s="449"/>
      <x:c r="B36" s="449"/>
      <x:c r="C36" s="449"/>
      <x:c r="D36" s="449"/>
      <x:c r="E36" s="449"/>
      <x:c r="F36" s="449"/>
    </x:row>
    <x:row r="37">
      <x:c r="A37" s="449"/>
      <x:c r="B37" s="449"/>
      <x:c r="C37" s="449"/>
      <x:c r="D37" s="449"/>
      <x:c r="E37" s="449"/>
      <x:c r="F37" s="449"/>
    </x:row>
    <x:row r="38">
      <x:c r="A38" s="449"/>
      <x:c r="B38" s="449"/>
      <x:c r="C38" s="449"/>
      <x:c r="D38" s="449"/>
      <x:c r="E38" s="449"/>
      <x:c r="F38" s="449"/>
    </x:row>
    <x:row r="39">
      <x:c r="A39" s="449"/>
      <x:c r="B39" s="449"/>
      <x:c r="C39" s="449"/>
      <x:c r="D39" s="449"/>
      <x:c r="E39" s="449"/>
      <x:c r="F39" s="449"/>
    </x:row>
    <x:row r="40">
      <x:c r="A40" s="449"/>
      <x:c r="B40" s="449"/>
      <x:c r="C40" s="449"/>
      <x:c r="D40" s="449"/>
      <x:c r="E40" s="449"/>
      <x:c r="F40" s="449"/>
    </x:row>
    <x:row r="41">
      <x:c r="A41" s="449"/>
      <x:c r="B41" s="449"/>
      <x:c r="C41" s="449"/>
      <x:c r="D41" s="449"/>
      <x:c r="E41" s="449"/>
      <x:c r="F41" s="449"/>
    </x:row>
    <x:row r="42">
      <x:c r="A42" s="449"/>
      <x:c r="B42" s="449"/>
      <x:c r="C42" s="449"/>
      <x:c r="D42" s="449"/>
      <x:c r="E42" s="449"/>
      <x:c r="F42" s="449"/>
    </x:row>
    <x:row r="43">
      <x:c r="A43" s="449"/>
      <x:c r="B43" s="449"/>
      <x:c r="C43" s="449"/>
      <x:c r="D43" s="449"/>
      <x:c r="E43" s="449"/>
      <x:c r="F43" s="449"/>
    </x:row>
    <x:row r="44">
      <x:c r="A44" s="449"/>
      <x:c r="B44" s="449"/>
      <x:c r="C44" s="449"/>
      <x:c r="D44" s="449"/>
      <x:c r="E44" s="449"/>
      <x:c r="F44" s="449"/>
    </x:row>
    <x:row r="45">
      <x:c r="A45" s="449"/>
      <x:c r="B45" s="449"/>
      <x:c r="C45" s="449"/>
      <x:c r="D45" s="449"/>
      <x:c r="E45" s="449"/>
      <x:c r="F45" s="449"/>
    </x:row>
    <x:row r="46">
      <x:c r="A46" s="449"/>
      <x:c r="B46" s="449"/>
      <x:c r="C46" s="449"/>
      <x:c r="D46" s="449"/>
      <x:c r="E46" s="449"/>
      <x:c r="F46" s="449"/>
    </x:row>
    <x:row r="47">
      <x:c r="A47" s="449"/>
      <x:c r="B47" s="449"/>
      <x:c r="C47" s="449"/>
      <x:c r="D47" s="449"/>
      <x:c r="E47" s="449"/>
      <x:c r="F47" s="449"/>
    </x:row>
    <x:row r="48">
      <x:c r="A48" s="449"/>
      <x:c r="B48" s="449"/>
      <x:c r="C48" s="449"/>
      <x:c r="D48" s="449"/>
      <x:c r="E48" s="449"/>
      <x:c r="F48" s="449"/>
    </x:row>
    <x:row r="49">
      <x:c r="A49" s="449"/>
      <x:c r="B49" s="449"/>
      <x:c r="C49" s="449"/>
      <x:c r="D49" s="449"/>
      <x:c r="E49" s="449"/>
      <x:c r="F49" s="449"/>
    </x:row>
    <x:row r="50">
      <x:c r="A50" s="449"/>
      <x:c r="B50" s="449"/>
      <x:c r="C50" s="449"/>
      <x:c r="D50" s="449"/>
      <x:c r="E50" s="449"/>
      <x:c r="F50" s="449"/>
    </x:row>
    <x:row r="51">
      <x:c r="A51" s="449"/>
      <x:c r="B51" s="449"/>
      <x:c r="C51" s="449"/>
      <x:c r="D51" s="449"/>
      <x:c r="E51" s="449"/>
      <x:c r="F51" s="449"/>
    </x:row>
    <x:row r="52">
      <x:c r="A52" s="449"/>
      <x:c r="B52" s="449"/>
      <x:c r="C52" s="449"/>
      <x:c r="D52" s="449"/>
      <x:c r="E52" s="449"/>
      <x:c r="F52" s="449"/>
    </x:row>
    <x:row r="53">
      <x:c r="A53" s="449"/>
      <x:c r="B53" s="449"/>
      <x:c r="C53" s="449"/>
      <x:c r="D53" s="449"/>
      <x:c r="E53" s="449"/>
      <x:c r="F53" s="449"/>
    </x:row>
    <x:row r="54">
      <x:c r="A54" s="449"/>
      <x:c r="B54" s="449"/>
      <x:c r="C54" s="449"/>
      <x:c r="D54" s="449"/>
      <x:c r="E54" s="449"/>
      <x:c r="F54" s="449"/>
    </x:row>
    <x:row r="55">
      <x:c r="A55" s="449"/>
      <x:c r="B55" s="449"/>
      <x:c r="C55" s="449"/>
      <x:c r="D55" s="449"/>
      <x:c r="E55" s="449"/>
      <x:c r="F55" s="449"/>
    </x:row>
    <x:row r="56">
      <x:c r="A56" s="449"/>
      <x:c r="B56" s="449"/>
      <x:c r="C56" s="449"/>
      <x:c r="D56" s="449"/>
      <x:c r="E56" s="449"/>
      <x:c r="F56" s="449"/>
    </x:row>
    <x:row r="57">
      <x:c r="A57" s="449"/>
      <x:c r="B57" s="449"/>
      <x:c r="C57" s="449"/>
      <x:c r="D57" s="449"/>
      <x:c r="E57" s="449"/>
      <x:c r="F57" s="449"/>
    </x:row>
    <x:row r="58">
      <x:c r="A58" s="449"/>
      <x:c r="B58" s="449"/>
      <x:c r="C58" s="449"/>
      <x:c r="D58" s="449"/>
      <x:c r="E58" s="449"/>
      <x:c r="F58" s="449"/>
    </x:row>
    <x:row r="59">
      <x:c r="A59" s="449"/>
      <x:c r="B59" s="449"/>
      <x:c r="C59" s="449"/>
      <x:c r="D59" s="449"/>
      <x:c r="E59" s="449"/>
      <x:c r="F59" s="449"/>
    </x:row>
    <x:row r="60">
      <x:c r="A60" s="449"/>
      <x:c r="B60" s="449"/>
      <x:c r="C60" s="449"/>
      <x:c r="D60" s="449"/>
      <x:c r="E60" s="449"/>
      <x:c r="F60" s="449"/>
    </x:row>
    <x:row r="61">
      <x:c r="A61" s="449"/>
      <x:c r="B61" s="449"/>
      <x:c r="C61" s="449"/>
      <x:c r="D61" s="449"/>
      <x:c r="E61" s="449"/>
      <x:c r="F61" s="449"/>
    </x:row>
    <x:row r="62">
      <x:c r="A62" s="449"/>
      <x:c r="B62" s="449"/>
      <x:c r="C62" s="449"/>
      <x:c r="D62" s="449"/>
      <x:c r="E62" s="449"/>
      <x:c r="F62" s="449"/>
    </x:row>
    <x:row r="63">
      <x:c r="A63" s="449"/>
      <x:c r="B63" s="449"/>
      <x:c r="C63" s="449"/>
      <x:c r="D63" s="449"/>
      <x:c r="E63" s="449"/>
      <x:c r="F63" s="449"/>
    </x:row>
    <x:row r="64">
      <x:c r="A64" s="449"/>
      <x:c r="B64" s="449"/>
      <x:c r="C64" s="449"/>
      <x:c r="D64" s="449"/>
      <x:c r="E64" s="449"/>
      <x:c r="F64" s="449"/>
    </x:row>
    <x:row r="65">
      <x:c r="A65" s="449"/>
      <x:c r="B65" s="449"/>
      <x:c r="C65" s="449"/>
      <x:c r="D65" s="449"/>
      <x:c r="E65" s="449"/>
      <x:c r="F65" s="449"/>
    </x:row>
    <x:row r="66">
      <x:c r="A66" s="449"/>
      <x:c r="B66" s="449"/>
      <x:c r="C66" s="449"/>
      <x:c r="D66" s="449"/>
      <x:c r="E66" s="449"/>
      <x:c r="F66" s="449"/>
    </x:row>
    <x:row r="67">
      <x:c r="A67" s="449"/>
      <x:c r="B67" s="449"/>
      <x:c r="C67" s="449"/>
      <x:c r="D67" s="449"/>
      <x:c r="E67" s="449"/>
      <x:c r="F67" s="449"/>
    </x:row>
    <x:row r="68">
      <x:c r="A68" s="449"/>
      <x:c r="B68" s="449"/>
      <x:c r="C68" s="449"/>
      <x:c r="D68" s="449"/>
      <x:c r="E68" s="449"/>
      <x:c r="F68" s="449"/>
    </x:row>
    <x:row r="69">
      <x:c r="A69" s="449"/>
      <x:c r="B69" s="449"/>
      <x:c r="C69" s="449"/>
      <x:c r="D69" s="449"/>
      <x:c r="E69" s="449"/>
      <x:c r="F69" s="449"/>
    </x:row>
    <x:row r="70">
      <x:c r="A70" s="449"/>
      <x:c r="B70" s="449"/>
      <x:c r="C70" s="449"/>
      <x:c r="D70" s="449"/>
      <x:c r="E70" s="449"/>
      <x:c r="F70" s="449"/>
    </x:row>
    <x:row r="71">
      <x:c r="A71" s="449"/>
      <x:c r="B71" s="449"/>
      <x:c r="C71" s="449"/>
      <x:c r="D71" s="449"/>
      <x:c r="E71" s="449"/>
      <x:c r="F71" s="449"/>
    </x:row>
    <x:row r="72">
      <x:c r="A72" s="449"/>
      <x:c r="B72" s="449"/>
      <x:c r="C72" s="449"/>
      <x:c r="D72" s="449"/>
      <x:c r="E72" s="449"/>
      <x:c r="F72" s="449"/>
    </x:row>
    <x:row r="73">
      <x:c r="A73" s="449"/>
      <x:c r="B73" s="449"/>
      <x:c r="C73" s="449"/>
      <x:c r="D73" s="449"/>
      <x:c r="E73" s="449"/>
      <x:c r="F73" s="449"/>
    </x:row>
    <x:row r="74">
      <x:c r="A74" s="449"/>
      <x:c r="B74" s="449"/>
      <x:c r="C74" s="449"/>
      <x:c r="D74" s="449"/>
      <x:c r="E74" s="449"/>
      <x:c r="F74" s="449"/>
    </x:row>
    <x:row r="75">
      <x:c r="A75" s="449"/>
      <x:c r="B75" s="449"/>
      <x:c r="C75" s="449"/>
      <x:c r="D75" s="449"/>
      <x:c r="E75" s="449"/>
      <x:c r="F75" s="449"/>
    </x:row>
    <x:row r="76">
      <x:c r="A76" s="449"/>
      <x:c r="B76" s="449"/>
      <x:c r="C76" s="449"/>
      <x:c r="D76" s="449"/>
      <x:c r="E76" s="449"/>
      <x:c r="F76" s="449"/>
    </x:row>
    <x:row r="77">
      <x:c r="A77" s="449"/>
      <x:c r="B77" s="449"/>
      <x:c r="C77" s="449"/>
      <x:c r="D77" s="449"/>
      <x:c r="E77" s="449"/>
      <x:c r="F77" s="449"/>
    </x:row>
    <x:row r="78">
      <x:c r="A78" s="449"/>
      <x:c r="B78" s="449"/>
      <x:c r="C78" s="449"/>
      <x:c r="D78" s="449"/>
      <x:c r="E78" s="449"/>
      <x:c r="F78" s="449"/>
    </x:row>
    <x:row r="79">
      <x:c r="A79" s="449"/>
      <x:c r="B79" s="449"/>
      <x:c r="C79" s="449"/>
      <x:c r="D79" s="449"/>
      <x:c r="E79" s="449"/>
      <x:c r="F79" s="449"/>
    </x:row>
    <x:row r="80">
      <x:c r="A80" s="449"/>
      <x:c r="B80" s="449"/>
      <x:c r="C80" s="449"/>
      <x:c r="D80" s="449"/>
      <x:c r="E80" s="449"/>
      <x:c r="F80" s="449"/>
    </x:row>
    <x:row r="81">
      <x:c r="A81" s="449"/>
      <x:c r="B81" s="449"/>
      <x:c r="C81" s="449"/>
      <x:c r="D81" s="449"/>
      <x:c r="E81" s="449"/>
      <x:c r="F81" s="449"/>
    </x:row>
    <x:row r="82">
      <x:c r="A82" s="449"/>
      <x:c r="B82" s="449"/>
      <x:c r="C82" s="449"/>
      <x:c r="D82" s="449"/>
      <x:c r="E82" s="449"/>
      <x:c r="F82" s="449"/>
    </x:row>
    <x:row r="83">
      <x:c r="A83" s="449"/>
      <x:c r="B83" s="449"/>
      <x:c r="C83" s="449"/>
      <x:c r="D83" s="449"/>
      <x:c r="E83" s="449"/>
      <x:c r="F83" s="449"/>
    </x:row>
    <x:row r="84">
      <x:c r="A84" s="449"/>
      <x:c r="B84" s="449"/>
      <x:c r="C84" s="449"/>
      <x:c r="D84" s="449"/>
      <x:c r="E84" s="449"/>
      <x:c r="F84" s="449"/>
    </x:row>
    <x:row r="85">
      <x:c r="A85" s="449"/>
      <x:c r="B85" s="449"/>
      <x:c r="C85" s="449"/>
      <x:c r="D85" s="449"/>
      <x:c r="E85" s="449"/>
      <x:c r="F85" s="449"/>
    </x:row>
    <x:row r="86">
      <x:c r="A86" s="449"/>
      <x:c r="B86" s="449"/>
      <x:c r="C86" s="449"/>
      <x:c r="D86" s="449"/>
      <x:c r="E86" s="449"/>
      <x:c r="F86" s="449"/>
    </x:row>
    <x:row r="87">
      <x:c r="A87" s="449"/>
      <x:c r="B87" s="449"/>
      <x:c r="C87" s="449"/>
      <x:c r="D87" s="449"/>
      <x:c r="E87" s="449"/>
      <x:c r="F87" s="449"/>
    </x:row>
    <x:row r="88">
      <x:c r="A88" s="449"/>
      <x:c r="B88" s="449"/>
      <x:c r="C88" s="449"/>
      <x:c r="D88" s="449"/>
      <x:c r="E88" s="449"/>
      <x:c r="F88" s="449"/>
    </x:row>
    <x:row r="89">
      <x:c r="A89" s="449"/>
      <x:c r="B89" s="449"/>
      <x:c r="C89" s="449"/>
      <x:c r="D89" s="449"/>
      <x:c r="E89" s="449"/>
      <x:c r="F89" s="449"/>
    </x:row>
    <x:row r="90">
      <x:c r="A90" s="449"/>
      <x:c r="B90" s="449"/>
      <x:c r="C90" s="449"/>
      <x:c r="D90" s="449"/>
      <x:c r="E90" s="449"/>
      <x:c r="F90" s="449"/>
    </x:row>
    <x:row r="91">
      <x:c r="A91" s="449"/>
      <x:c r="B91" s="449"/>
      <x:c r="C91" s="449"/>
      <x:c r="D91" s="449"/>
      <x:c r="E91" s="449"/>
      <x:c r="F91" s="449"/>
    </x:row>
    <x:row r="92">
      <x:c r="A92" s="449"/>
      <x:c r="B92" s="449"/>
      <x:c r="C92" s="449"/>
      <x:c r="D92" s="449"/>
      <x:c r="E92" s="449"/>
      <x:c r="F92" s="449"/>
    </x:row>
    <x:row r="93">
      <x:c r="A93" s="449"/>
      <x:c r="B93" s="449"/>
      <x:c r="C93" s="449"/>
      <x:c r="D93" s="449"/>
      <x:c r="E93" s="449"/>
      <x:c r="F93" s="449"/>
    </x:row>
    <x:row r="94">
      <x:c r="A94" s="449"/>
      <x:c r="B94" s="449"/>
      <x:c r="C94" s="449"/>
      <x:c r="D94" s="449"/>
      <x:c r="E94" s="449"/>
      <x:c r="F94" s="449"/>
    </x:row>
    <x:row r="95">
      <x:c r="A95" s="449"/>
      <x:c r="B95" s="449"/>
      <x:c r="C95" s="449"/>
      <x:c r="D95" s="449"/>
      <x:c r="E95" s="449"/>
      <x:c r="F95" s="449"/>
    </x:row>
    <x:row r="96">
      <x:c r="A96" s="449"/>
      <x:c r="B96" s="449"/>
      <x:c r="C96" s="449"/>
      <x:c r="D96" s="449"/>
      <x:c r="E96" s="449"/>
      <x:c r="F96" s="449"/>
    </x:row>
    <x:row r="97">
      <x:c r="A97" s="449"/>
      <x:c r="B97" s="449"/>
      <x:c r="C97" s="449"/>
      <x:c r="D97" s="449"/>
      <x:c r="E97" s="449"/>
      <x:c r="F97" s="449"/>
    </x:row>
    <x:row r="98">
      <x:c r="A98" s="449"/>
      <x:c r="B98" s="449"/>
      <x:c r="C98" s="449"/>
      <x:c r="D98" s="449"/>
      <x:c r="E98" s="449"/>
      <x:c r="F98" s="449"/>
    </x:row>
    <x:row r="99">
      <x:c r="A99" s="449"/>
      <x:c r="B99" s="449"/>
      <x:c r="C99" s="449"/>
      <x:c r="D99" s="449"/>
      <x:c r="E99" s="449"/>
      <x:c r="F99" s="449"/>
    </x:row>
    <x:row r="100">
      <x:c r="A100" s="449"/>
      <x:c r="B100" s="449"/>
      <x:c r="C100" s="449"/>
      <x:c r="D100" s="449"/>
      <x:c r="E100" s="449"/>
      <x:c r="F100" s="449"/>
    </x:row>
    <x:row r="101">
      <x:c r="A101" s="449"/>
      <x:c r="B101" s="449"/>
      <x:c r="C101" s="449"/>
      <x:c r="D101" s="449"/>
      <x:c r="E101" s="449"/>
      <x:c r="F101" s="449"/>
    </x:row>
    <x:row r="102">
      <x:c r="A102" s="449"/>
      <x:c r="B102" s="449"/>
      <x:c r="C102" s="449"/>
      <x:c r="D102" s="449"/>
      <x:c r="E102" s="449"/>
      <x:c r="F102" s="449"/>
    </x:row>
    <x:row r="103">
      <x:c r="A103" s="449"/>
      <x:c r="B103" s="449"/>
      <x:c r="C103" s="449"/>
      <x:c r="D103" s="449"/>
      <x:c r="E103" s="449"/>
      <x:c r="F103" s="449"/>
    </x:row>
    <x:row r="104">
      <x:c r="A104" s="449"/>
      <x:c r="B104" s="449"/>
      <x:c r="C104" s="449"/>
      <x:c r="D104" s="449"/>
      <x:c r="E104" s="449"/>
      <x:c r="F104" s="449"/>
    </x:row>
    <x:row r="105">
      <x:c r="A105" s="449"/>
      <x:c r="B105" s="449"/>
      <x:c r="C105" s="449"/>
      <x:c r="D105" s="449"/>
      <x:c r="E105" s="449"/>
      <x:c r="F105" s="449"/>
    </x:row>
    <x:row r="106">
      <x:c r="A106" s="449"/>
      <x:c r="B106" s="449"/>
      <x:c r="C106" s="449"/>
      <x:c r="D106" s="449"/>
      <x:c r="E106" s="449"/>
      <x:c r="F106" s="449"/>
    </x:row>
    <x:row r="107">
      <x:c r="A107" s="449"/>
      <x:c r="B107" s="449"/>
      <x:c r="C107" s="449"/>
      <x:c r="D107" s="449"/>
      <x:c r="E107" s="449"/>
      <x:c r="F107" s="449"/>
    </x:row>
    <x:row r="108">
      <x:c r="A108" s="449"/>
      <x:c r="B108" s="449"/>
      <x:c r="C108" s="449"/>
      <x:c r="D108" s="449"/>
      <x:c r="E108" s="449"/>
      <x:c r="F108" s="449"/>
    </x:row>
    <x:row r="109">
      <x:c r="A109" s="449"/>
      <x:c r="B109" s="449"/>
      <x:c r="C109" s="449"/>
      <x:c r="D109" s="449"/>
      <x:c r="E109" s="449"/>
      <x:c r="F109" s="449"/>
    </x:row>
    <x:row r="110">
      <x:c r="A110" s="449"/>
      <x:c r="B110" s="449"/>
      <x:c r="C110" s="449"/>
      <x:c r="D110" s="449"/>
      <x:c r="E110" s="449"/>
      <x:c r="F110" s="449"/>
    </x:row>
    <x:row r="111">
      <x:c r="A111" s="449"/>
      <x:c r="B111" s="449"/>
      <x:c r="C111" s="449"/>
      <x:c r="D111" s="449"/>
      <x:c r="E111" s="449"/>
      <x:c r="F111" s="449"/>
    </x:row>
    <x:row r="112">
      <x:c r="A112" s="449"/>
      <x:c r="B112" s="449"/>
      <x:c r="C112" s="449"/>
      <x:c r="D112" s="449"/>
      <x:c r="E112" s="449"/>
      <x:c r="F112" s="449"/>
    </x:row>
    <x:row r="113">
      <x:c r="A113" s="449"/>
      <x:c r="B113" s="449"/>
      <x:c r="C113" s="449"/>
      <x:c r="D113" s="449"/>
      <x:c r="E113" s="449"/>
      <x:c r="F113" s="449"/>
    </x:row>
    <x:row r="114">
      <x:c r="A114" s="449"/>
      <x:c r="B114" s="449"/>
      <x:c r="C114" s="449"/>
      <x:c r="D114" s="449"/>
      <x:c r="E114" s="449"/>
      <x:c r="F114" s="449"/>
    </x:row>
    <x:row r="115">
      <x:c r="A115" s="449"/>
      <x:c r="B115" s="449"/>
      <x:c r="C115" s="449"/>
      <x:c r="D115" s="449"/>
      <x:c r="E115" s="449"/>
      <x:c r="F115" s="449"/>
    </x:row>
    <x:row r="116">
      <x:c r="A116" s="449"/>
      <x:c r="B116" s="449"/>
      <x:c r="C116" s="449"/>
      <x:c r="D116" s="449"/>
      <x:c r="E116" s="449"/>
      <x:c r="F116" s="449"/>
    </x:row>
    <x:row r="117">
      <x:c r="A117" s="449"/>
      <x:c r="B117" s="449"/>
      <x:c r="C117" s="449"/>
      <x:c r="D117" s="449"/>
      <x:c r="E117" s="449"/>
      <x:c r="F117" s="449"/>
    </x:row>
    <x:row r="118">
      <x:c r="A118" s="449"/>
      <x:c r="B118" s="449"/>
      <x:c r="C118" s="449"/>
      <x:c r="D118" s="449"/>
      <x:c r="E118" s="449"/>
      <x:c r="F118" s="449"/>
    </x:row>
    <x:row r="119">
      <x:c r="A119" s="449"/>
      <x:c r="B119" s="449"/>
      <x:c r="C119" s="449"/>
      <x:c r="D119" s="449"/>
      <x:c r="E119" s="449"/>
      <x:c r="F119" s="449"/>
    </x:row>
    <x:row r="120">
      <x:c r="A120" s="449"/>
      <x:c r="B120" s="449"/>
      <x:c r="C120" s="449"/>
      <x:c r="D120" s="449"/>
      <x:c r="E120" s="449"/>
      <x:c r="F120" s="449"/>
    </x:row>
    <x:row r="121">
      <x:c r="A121" s="449"/>
      <x:c r="B121" s="449"/>
      <x:c r="C121" s="449"/>
      <x:c r="D121" s="449"/>
      <x:c r="E121" s="449"/>
      <x:c r="F121" s="449"/>
    </x:row>
    <x:row r="122">
      <x:c r="A122" s="449"/>
      <x:c r="B122" s="449"/>
      <x:c r="C122" s="449"/>
      <x:c r="D122" s="449"/>
      <x:c r="E122" s="449"/>
      <x:c r="F122" s="449"/>
    </x:row>
    <x:row r="123">
      <x:c r="A123" s="449"/>
      <x:c r="B123" s="449"/>
      <x:c r="C123" s="449"/>
      <x:c r="D123" s="449"/>
      <x:c r="E123" s="449"/>
      <x:c r="F123" s="449"/>
    </x:row>
    <x:row r="124">
      <x:c r="A124" s="449"/>
      <x:c r="B124" s="449"/>
      <x:c r="C124" s="449"/>
      <x:c r="D124" s="449"/>
      <x:c r="E124" s="449"/>
      <x:c r="F124" s="449"/>
    </x:row>
    <x:row r="125">
      <x:c r="A125" s="449"/>
      <x:c r="B125" s="449"/>
      <x:c r="C125" s="449"/>
      <x:c r="D125" s="449"/>
      <x:c r="E125" s="449"/>
      <x:c r="F125" s="449"/>
    </x:row>
    <x:row r="126">
      <x:c r="A126" s="449"/>
      <x:c r="B126" s="449"/>
      <x:c r="C126" s="449"/>
      <x:c r="D126" s="449"/>
      <x:c r="E126" s="449"/>
      <x:c r="F126" s="449"/>
    </x:row>
    <x:row r="127">
      <x:c r="A127" s="449"/>
      <x:c r="B127" s="449"/>
      <x:c r="C127" s="449"/>
      <x:c r="D127" s="449"/>
      <x:c r="E127" s="449"/>
      <x:c r="F127" s="449"/>
    </x:row>
    <x:row r="128">
      <x:c r="A128" s="449"/>
      <x:c r="B128" s="449"/>
      <x:c r="C128" s="449"/>
      <x:c r="D128" s="449"/>
      <x:c r="E128" s="449"/>
      <x:c r="F128" s="449"/>
    </x:row>
    <x:row r="129">
      <x:c r="A129" s="449"/>
      <x:c r="B129" s="449"/>
      <x:c r="C129" s="449"/>
      <x:c r="D129" s="449"/>
      <x:c r="E129" s="449"/>
      <x:c r="F129" s="449"/>
    </x:row>
    <x:row r="130">
      <x:c r="A130" s="449"/>
      <x:c r="B130" s="449"/>
      <x:c r="C130" s="449"/>
      <x:c r="D130" s="449"/>
      <x:c r="E130" s="449"/>
      <x:c r="F130" s="449"/>
    </x:row>
    <x:row r="131">
      <x:c r="A131" s="449"/>
      <x:c r="B131" s="449"/>
      <x:c r="C131" s="449"/>
      <x:c r="D131" s="449"/>
      <x:c r="E131" s="449"/>
      <x:c r="F131" s="449"/>
    </x:row>
    <x:row r="132">
      <x:c r="A132" s="449"/>
      <x:c r="B132" s="449"/>
      <x:c r="C132" s="449"/>
      <x:c r="D132" s="449"/>
      <x:c r="E132" s="449"/>
      <x:c r="F132" s="449"/>
    </x:row>
    <x:row r="133">
      <x:c r="A133" s="449"/>
      <x:c r="B133" s="449"/>
      <x:c r="C133" s="449"/>
      <x:c r="D133" s="449"/>
      <x:c r="E133" s="449"/>
      <x:c r="F133" s="449"/>
    </x:row>
    <x:row r="134">
      <x:c r="A134" s="449"/>
      <x:c r="B134" s="449"/>
      <x:c r="C134" s="449"/>
      <x:c r="D134" s="449"/>
      <x:c r="E134" s="449"/>
      <x:c r="F134" s="449"/>
    </x:row>
    <x:row r="135">
      <x:c r="A135" s="449"/>
      <x:c r="B135" s="449"/>
      <x:c r="C135" s="449"/>
      <x:c r="D135" s="449"/>
      <x:c r="E135" s="449"/>
      <x:c r="F135" s="449"/>
    </x:row>
    <x:row r="136">
      <x:c r="A136" s="449"/>
      <x:c r="B136" s="449"/>
      <x:c r="C136" s="449"/>
      <x:c r="D136" s="449"/>
      <x:c r="E136" s="449"/>
      <x:c r="F136" s="449"/>
    </x:row>
    <x:row r="137">
      <x:c r="A137" s="449"/>
      <x:c r="B137" s="449"/>
      <x:c r="C137" s="449"/>
      <x:c r="D137" s="449"/>
      <x:c r="E137" s="449"/>
      <x:c r="F137" s="449"/>
    </x:row>
    <x:row r="138">
      <x:c r="A138" s="449"/>
      <x:c r="B138" s="449"/>
      <x:c r="C138" s="449"/>
      <x:c r="D138" s="449"/>
      <x:c r="E138" s="449"/>
      <x:c r="F138" s="449"/>
    </x:row>
    <x:row r="139">
      <x:c r="A139" s="449"/>
      <x:c r="B139" s="449"/>
      <x:c r="C139" s="449"/>
      <x:c r="D139" s="449"/>
      <x:c r="E139" s="449"/>
      <x:c r="F139" s="449"/>
    </x:row>
    <x:row r="140">
      <x:c r="A140" s="449"/>
      <x:c r="B140" s="449"/>
      <x:c r="C140" s="449"/>
      <x:c r="D140" s="449"/>
      <x:c r="E140" s="449"/>
      <x:c r="F140" s="449"/>
    </x:row>
  </x:sheetData>
  <x:mergeCells>
    <x:mergeCell ref="A3:F3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4" hidden="0" customWidth="1"/>
    <x:col min="4" max="4" width="28" hidden="0" customWidth="1"/>
    <x:col min="5" max="5" width="14" hidden="0" customWidth="1"/>
  </x:cols>
  <x:sheetData>
    <x:row r="1">
      <x:c r="A1" s="452" t="str">
        <x:v>☀ Daily Brief Rules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Rules for the morning Daily Briefing card.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Brief Item</x:v>
      </x:c>
      <x:c r="B5" s="456" t="str">
        <x:v>When to Show</x:v>
      </x:c>
      <x:c r="C5" s="456" t="str">
        <x:v>Message Template</x:v>
      </x:c>
      <x:c r="D5" s="456" t="str">
        <x:v>Source</x:v>
      </x:c>
      <x:c r="E5" s="456" t="str">
        <x:v>Priority</x:v>
      </x:c>
    </x:row>
    <x:row r="6">
      <x:c r="A6" s="457" t="str">
        <x:v>Weather</x:v>
      </x:c>
      <x:c r="B6" s="457" t="str">
        <x:v>Weather available</x:v>
      </x:c>
      <x:c r="C6" s="457" t="str">
        <x:v>{icon} {high}/{low}F · {summary}</x:v>
      </x:c>
      <x:c r="D6" s="457" t="str">
        <x:v>Weather API</x:v>
      </x:c>
      <x:c r="E6" s="457" t="str">
        <x:v>High</x:v>
      </x:c>
    </x:row>
    <x:row r="7">
      <x:c r="A7" s="457" t="str">
        <x:v>Walking</x:v>
      </x:c>
      <x:c r="B7" s="457" t="str">
        <x:v>Walking field not blank</x:v>
      </x:c>
      <x:c r="C7" s="457" t="str">
        <x:v>Walking: {walking}</x:v>
      </x:c>
      <x:c r="D7" s="457" t="str">
        <x:v>Master Itinerary</x:v>
      </x:c>
      <x:c r="E7" s="457" t="str">
        <x:v>High</x:v>
      </x:c>
    </x:row>
    <x:row r="8">
      <x:c r="A8" s="457" t="str">
        <x:v>Bring</x:v>
      </x:c>
      <x:c r="B8" s="457" t="str">
        <x:v>Bring/Hilda Reminder not blank</x:v>
      </x:c>
      <x:c r="C8" s="457" t="str">
        <x:v>Bring: {bring}</x:v>
      </x:c>
      <x:c r="D8" s="457" t="str">
        <x:v>Master Itinerary</x:v>
      </x:c>
      <x:c r="E8" s="457" t="str">
        <x:v>High</x:v>
      </x:c>
    </x:row>
    <x:row r="9">
      <x:c r="A9" s="457" t="str">
        <x:v>Rain</x:v>
      </x:c>
      <x:c r="B9" s="457" t="str">
        <x:v>Rain chance &gt;= 40%</x:v>
      </x:c>
      <x:c r="C9" s="457" t="str">
        <x:v>Rain possible — check Rain Mode</x:v>
      </x:c>
      <x:c r="D9" s="457" t="str">
        <x:v>Weather API / Rain Mode</x:v>
      </x:c>
      <x:c r="E9" s="457" t="str">
        <x:v>Medium</x:v>
      </x:c>
    </x:row>
    <x:row r="10">
      <x:c r="A10" s="457" t="str">
        <x:v>Busy day</x:v>
      </x:c>
      <x:c r="B10" s="457" t="str">
        <x:v>Energy contains Busy</x:v>
      </x:c>
      <x:c r="C10" s="457" t="str">
        <x:v>Busy day — plan a rest stop</x:v>
      </x:c>
      <x:c r="D10" s="457" t="str">
        <x:v>Master Itinerary</x:v>
      </x:c>
      <x:c r="E10" s="457" t="str">
        <x:v>Medium</x:v>
      </x:c>
    </x:row>
    <x:row r="11">
      <x:c r="A11" s="457" t="str">
        <x:v>Reservation</x:v>
      </x:c>
      <x:c r="B11" s="457" t="str">
        <x:v>Reservation due today/tomorrow</x:v>
      </x:c>
      <x:c r="C11" s="457" t="str">
        <x:v>Reservation reminder: {item}</x:v>
      </x:c>
      <x:c r="D11" s="457" t="str">
        <x:v>Reservations</x:v>
      </x:c>
      <x:c r="E11" s="457" t="str">
        <x:v>High</x:v>
      </x:c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38" hidden="0" customWidth="1"/>
  </x:cols>
  <x:sheetData>
    <x:row r="1">
      <x:c r="A1" s="452" t="str">
        <x:v>👥 Family Status / Manual Check-in</x:v>
      </x:c>
      <x:c r="B1" s="452"/>
      <x:c r="C1" s="452"/>
      <x:c r="D1" s="452"/>
    </x:row>
    <x:row r="2">
      <x:c r="A2" s="452"/>
      <x:c r="B2" s="452"/>
      <x:c r="C2" s="452"/>
      <x:c r="D2" s="452"/>
    </x:row>
    <x:row r="3">
      <x:c r="A3" s="453" t="str">
        <x:v>Local-device manual family status. This avoids privacy complexity while still helping coordination.</x:v>
      </x:c>
      <x:c r="B3" s="453"/>
      <x:c r="C3" s="453"/>
      <x:c r="D3" s="453"/>
    </x:row>
    <x:row r="4">
      <x:c r="A4" s="449"/>
      <x:c r="B4" s="449"/>
      <x:c r="C4" s="449"/>
      <x:c r="D4" s="449"/>
    </x:row>
    <x:row r="5">
      <x:c r="A5" s="456" t="str">
        <x:v>Person</x:v>
      </x:c>
      <x:c r="B5" s="456" t="str">
        <x:v>Default Status</x:v>
      </x:c>
      <x:c r="C5" s="456" t="str">
        <x:v>Useful Statuses</x:v>
      </x:c>
      <x:c r="D5" s="456" t="str">
        <x:v>Notes</x:v>
      </x:c>
    </x:row>
    <x:row r="6">
      <x:c r="A6" s="457" t="str">
        <x:v>David</x:v>
      </x:c>
      <x:c r="B6" s="457" t="str">
        <x:v>With group</x:v>
      </x:c>
      <x:c r="C6" s="457" t="str">
        <x:v>Hotel, Station, Shopping, Restaurant, Exploring, With group, Resting</x:v>
      </x:c>
      <x:c r="D6" s="457" t="str">
        <x:v>Manual only; not live location.</x:v>
      </x:c>
    </x:row>
    <x:row r="7">
      <x:c r="A7" s="457" t="str">
        <x:v>Noelle</x:v>
      </x:c>
      <x:c r="B7" s="457" t="str">
        <x:v>With group</x:v>
      </x:c>
      <x:c r="C7" s="457" t="str">
        <x:v>Hotel, Station, Shopping, Restaurant, Exploring, With group, Resting</x:v>
      </x:c>
      <x:c r="D7" s="457" t="str">
        <x:v>Manual only; not live location.</x:v>
      </x:c>
    </x:row>
    <x:row r="8">
      <x:c r="A8" s="457" t="str">
        <x:v>Nick</x:v>
      </x:c>
      <x:c r="B8" s="457" t="str">
        <x:v>With group</x:v>
      </x:c>
      <x:c r="C8" s="457" t="str">
        <x:v>Hotel, Station, Shopping, Restaurant, Exploring, With group, Resting</x:v>
      </x:c>
      <x:c r="D8" s="457" t="str">
        <x:v>Useful if people split up.</x:v>
      </x:c>
    </x:row>
    <x:row r="9">
      <x:c r="A9" s="457" t="str">
        <x:v>Hilda</x:v>
      </x:c>
      <x:c r="B9" s="457" t="str">
        <x:v>With group</x:v>
      </x:c>
      <x:c r="C9" s="457" t="str">
        <x:v>Hotel, Station, Shopping, Restaurant, Exploring, With group, Resting</x:v>
      </x:c>
      <x:c r="D9" s="457" t="str">
        <x:v>Keep simple and reassuring.</x:v>
      </x:c>
    </x:row>
    <x:row r="10">
      <x:c r="A10" s="449"/>
      <x:c r="B10" s="449"/>
      <x:c r="C10" s="449"/>
      <x:c r="D10" s="449"/>
    </x:row>
    <x:row r="11">
      <x:c r="A11" s="449"/>
      <x:c r="B11" s="449"/>
      <x:c r="C11" s="449"/>
      <x:c r="D11" s="449"/>
    </x:row>
    <x:row r="12">
      <x:c r="A12" s="449"/>
      <x:c r="B12" s="449"/>
      <x:c r="C12" s="449"/>
      <x:c r="D12" s="449"/>
    </x:row>
    <x:row r="13">
      <x:c r="A13" s="449"/>
      <x:c r="B13" s="449"/>
      <x:c r="C13" s="449"/>
      <x:c r="D13" s="449"/>
    </x:row>
    <x:row r="14">
      <x:c r="A14" s="449"/>
      <x:c r="B14" s="449"/>
      <x:c r="C14" s="449"/>
      <x:c r="D14" s="449"/>
    </x:row>
    <x:row r="15">
      <x:c r="A15" s="449"/>
      <x:c r="B15" s="449"/>
      <x:c r="C15" s="449"/>
      <x:c r="D15" s="449"/>
    </x:row>
    <x:row r="16">
      <x:c r="A16" s="449"/>
      <x:c r="B16" s="449"/>
      <x:c r="C16" s="449"/>
      <x:c r="D16" s="449"/>
    </x:row>
    <x:row r="17">
      <x:c r="A17" s="449"/>
      <x:c r="B17" s="449"/>
      <x:c r="C17" s="449"/>
      <x:c r="D17" s="449"/>
    </x:row>
    <x:row r="18">
      <x:c r="A18" s="449"/>
      <x:c r="B18" s="449"/>
      <x:c r="C18" s="449"/>
      <x:c r="D18" s="449"/>
    </x:row>
    <x:row r="19">
      <x:c r="A19" s="449"/>
      <x:c r="B19" s="449"/>
      <x:c r="C19" s="449"/>
      <x:c r="D19" s="449"/>
    </x:row>
    <x:row r="20">
      <x:c r="A20" s="449"/>
      <x:c r="B20" s="449"/>
      <x:c r="C20" s="449"/>
      <x:c r="D20" s="449"/>
    </x:row>
    <x:row r="21">
      <x:c r="A21" s="449"/>
      <x:c r="B21" s="449"/>
      <x:c r="C21" s="449"/>
      <x:c r="D21" s="449"/>
    </x:row>
    <x:row r="22">
      <x:c r="A22" s="449"/>
      <x:c r="B22" s="449"/>
      <x:c r="C22" s="449"/>
      <x:c r="D22" s="449"/>
    </x:row>
    <x:row r="23">
      <x:c r="A23" s="449"/>
      <x:c r="B23" s="449"/>
      <x:c r="C23" s="449"/>
      <x:c r="D23" s="449"/>
    </x:row>
    <x:row r="24">
      <x:c r="A24" s="449"/>
      <x:c r="B24" s="449"/>
      <x:c r="C24" s="449"/>
      <x:c r="D24" s="449"/>
    </x:row>
    <x:row r="25">
      <x:c r="A25" s="449"/>
      <x:c r="B25" s="449"/>
      <x:c r="C25" s="449"/>
      <x:c r="D25" s="449"/>
    </x:row>
    <x:row r="26">
      <x:c r="A26" s="449"/>
      <x:c r="B26" s="449"/>
      <x:c r="C26" s="449"/>
      <x:c r="D26" s="449"/>
    </x:row>
    <x:row r="27">
      <x:c r="A27" s="449"/>
      <x:c r="B27" s="449"/>
      <x:c r="C27" s="449"/>
      <x:c r="D27" s="449"/>
    </x:row>
    <x:row r="28">
      <x:c r="A28" s="449"/>
      <x:c r="B28" s="449"/>
      <x:c r="C28" s="449"/>
      <x:c r="D28" s="449"/>
    </x:row>
    <x:row r="29">
      <x:c r="A29" s="449"/>
      <x:c r="B29" s="449"/>
      <x:c r="C29" s="449"/>
      <x:c r="D29" s="449"/>
    </x:row>
    <x:row r="30">
      <x:c r="A30" s="449"/>
      <x:c r="B30" s="449"/>
      <x:c r="C30" s="449"/>
      <x:c r="D30" s="449"/>
    </x:row>
    <x:row r="31">
      <x:c r="A31" s="449"/>
      <x:c r="B31" s="449"/>
      <x:c r="C31" s="449"/>
      <x:c r="D31" s="449"/>
    </x:row>
    <x:row r="32">
      <x:c r="A32" s="449"/>
      <x:c r="B32" s="449"/>
      <x:c r="C32" s="449"/>
      <x:c r="D32" s="449"/>
    </x:row>
    <x:row r="33">
      <x:c r="A33" s="449"/>
      <x:c r="B33" s="449"/>
      <x:c r="C33" s="449"/>
      <x:c r="D33" s="449"/>
    </x:row>
    <x:row r="34">
      <x:c r="A34" s="449"/>
      <x:c r="B34" s="449"/>
      <x:c r="C34" s="449"/>
      <x:c r="D34" s="449"/>
    </x:row>
    <x:row r="35">
      <x:c r="A35" s="449"/>
      <x:c r="B35" s="449"/>
      <x:c r="C35" s="449"/>
      <x:c r="D35" s="449"/>
    </x:row>
    <x:row r="36">
      <x:c r="A36" s="449"/>
      <x:c r="B36" s="449"/>
      <x:c r="C36" s="449"/>
      <x:c r="D36" s="449"/>
    </x:row>
    <x:row r="37">
      <x:c r="A37" s="449"/>
      <x:c r="B37" s="449"/>
      <x:c r="C37" s="449"/>
      <x:c r="D37" s="449"/>
    </x:row>
    <x:row r="38">
      <x:c r="A38" s="449"/>
      <x:c r="B38" s="449"/>
      <x:c r="C38" s="449"/>
      <x:c r="D38" s="449"/>
    </x:row>
    <x:row r="39">
      <x:c r="A39" s="449"/>
      <x:c r="B39" s="449"/>
      <x:c r="C39" s="449"/>
      <x:c r="D39" s="449"/>
    </x:row>
    <x:row r="40">
      <x:c r="A40" s="449"/>
      <x:c r="B40" s="449"/>
      <x:c r="C40" s="449"/>
      <x:c r="D40" s="449"/>
    </x:row>
    <x:row r="41">
      <x:c r="A41" s="449"/>
      <x:c r="B41" s="449"/>
      <x:c r="C41" s="449"/>
      <x:c r="D41" s="449"/>
    </x:row>
    <x:row r="42">
      <x:c r="A42" s="449"/>
      <x:c r="B42" s="449"/>
      <x:c r="C42" s="449"/>
      <x:c r="D42" s="449"/>
    </x:row>
    <x:row r="43">
      <x:c r="A43" s="449"/>
      <x:c r="B43" s="449"/>
      <x:c r="C43" s="449"/>
      <x:c r="D43" s="449"/>
    </x:row>
    <x:row r="44">
      <x:c r="A44" s="449"/>
      <x:c r="B44" s="449"/>
      <x:c r="C44" s="449"/>
      <x:c r="D44" s="449"/>
    </x:row>
    <x:row r="45">
      <x:c r="A45" s="449"/>
      <x:c r="B45" s="449"/>
      <x:c r="C45" s="449"/>
      <x:c r="D45" s="449"/>
    </x:row>
    <x:row r="46">
      <x:c r="A46" s="449"/>
      <x:c r="B46" s="449"/>
      <x:c r="C46" s="449"/>
      <x:c r="D46" s="449"/>
    </x:row>
    <x:row r="47">
      <x:c r="A47" s="449"/>
      <x:c r="B47" s="449"/>
      <x:c r="C47" s="449"/>
      <x:c r="D47" s="449"/>
    </x:row>
    <x:row r="48">
      <x:c r="A48" s="449"/>
      <x:c r="B48" s="449"/>
      <x:c r="C48" s="449"/>
      <x:c r="D48" s="449"/>
    </x:row>
    <x:row r="49">
      <x:c r="A49" s="449"/>
      <x:c r="B49" s="449"/>
      <x:c r="C49" s="449"/>
      <x:c r="D49" s="449"/>
    </x:row>
    <x:row r="50">
      <x:c r="A50" s="449"/>
      <x:c r="B50" s="449"/>
      <x:c r="C50" s="449"/>
      <x:c r="D50" s="449"/>
    </x:row>
    <x:row r="51">
      <x:c r="A51" s="449"/>
      <x:c r="B51" s="449"/>
      <x:c r="C51" s="449"/>
      <x:c r="D51" s="449"/>
    </x:row>
    <x:row r="52">
      <x:c r="A52" s="449"/>
      <x:c r="B52" s="449"/>
      <x:c r="C52" s="449"/>
      <x:c r="D52" s="449"/>
    </x:row>
    <x:row r="53">
      <x:c r="A53" s="449"/>
      <x:c r="B53" s="449"/>
      <x:c r="C53" s="449"/>
      <x:c r="D53" s="449"/>
    </x:row>
    <x:row r="54">
      <x:c r="A54" s="449"/>
      <x:c r="B54" s="449"/>
      <x:c r="C54" s="449"/>
      <x:c r="D54" s="449"/>
    </x:row>
    <x:row r="55">
      <x:c r="A55" s="449"/>
      <x:c r="B55" s="449"/>
      <x:c r="C55" s="449"/>
      <x:c r="D55" s="449"/>
    </x:row>
    <x:row r="56">
      <x:c r="A56" s="449"/>
      <x:c r="B56" s="449"/>
      <x:c r="C56" s="449"/>
      <x:c r="D56" s="449"/>
    </x:row>
    <x:row r="57">
      <x:c r="A57" s="449"/>
      <x:c r="B57" s="449"/>
      <x:c r="C57" s="449"/>
      <x:c r="D57" s="449"/>
    </x:row>
    <x:row r="58">
      <x:c r="A58" s="449"/>
      <x:c r="B58" s="449"/>
      <x:c r="C58" s="449"/>
      <x:c r="D58" s="449"/>
    </x:row>
    <x:row r="59">
      <x:c r="A59" s="449"/>
      <x:c r="B59" s="449"/>
      <x:c r="C59" s="449"/>
      <x:c r="D59" s="449"/>
    </x:row>
    <x:row r="60">
      <x:c r="A60" s="449"/>
      <x:c r="B60" s="449"/>
      <x:c r="C60" s="449"/>
      <x:c r="D60" s="449"/>
    </x:row>
    <x:row r="61">
      <x:c r="A61" s="449"/>
      <x:c r="B61" s="449"/>
      <x:c r="C61" s="449"/>
      <x:c r="D61" s="449"/>
    </x:row>
    <x:row r="62">
      <x:c r="A62" s="449"/>
      <x:c r="B62" s="449"/>
      <x:c r="C62" s="449"/>
      <x:c r="D62" s="449"/>
    </x:row>
    <x:row r="63">
      <x:c r="A63" s="449"/>
      <x:c r="B63" s="449"/>
      <x:c r="C63" s="449"/>
      <x:c r="D63" s="449"/>
    </x:row>
    <x:row r="64">
      <x:c r="A64" s="449"/>
      <x:c r="B64" s="449"/>
      <x:c r="C64" s="449"/>
      <x:c r="D64" s="449"/>
    </x:row>
    <x:row r="65">
      <x:c r="A65" s="449"/>
      <x:c r="B65" s="449"/>
      <x:c r="C65" s="449"/>
      <x:c r="D65" s="449"/>
    </x:row>
    <x:row r="66">
      <x:c r="A66" s="449"/>
      <x:c r="B66" s="449"/>
      <x:c r="C66" s="449"/>
      <x:c r="D66" s="449"/>
    </x:row>
    <x:row r="67">
      <x:c r="A67" s="449"/>
      <x:c r="B67" s="449"/>
      <x:c r="C67" s="449"/>
      <x:c r="D67" s="449"/>
    </x:row>
    <x:row r="68">
      <x:c r="A68" s="449"/>
      <x:c r="B68" s="449"/>
      <x:c r="C68" s="449"/>
      <x:c r="D68" s="449"/>
    </x:row>
    <x:row r="69">
      <x:c r="A69" s="449"/>
      <x:c r="B69" s="449"/>
      <x:c r="C69" s="449"/>
      <x:c r="D69" s="449"/>
    </x:row>
    <x:row r="70">
      <x:c r="A70" s="449"/>
      <x:c r="B70" s="449"/>
      <x:c r="C70" s="449"/>
      <x:c r="D70" s="449"/>
    </x:row>
    <x:row r="71">
      <x:c r="A71" s="449"/>
      <x:c r="B71" s="449"/>
      <x:c r="C71" s="449"/>
      <x:c r="D71" s="449"/>
    </x:row>
    <x:row r="72">
      <x:c r="A72" s="449"/>
      <x:c r="B72" s="449"/>
      <x:c r="C72" s="449"/>
      <x:c r="D72" s="449"/>
    </x:row>
    <x:row r="73">
      <x:c r="A73" s="449"/>
      <x:c r="B73" s="449"/>
      <x:c r="C73" s="449"/>
      <x:c r="D73" s="449"/>
    </x:row>
    <x:row r="74">
      <x:c r="A74" s="449"/>
      <x:c r="B74" s="449"/>
      <x:c r="C74" s="449"/>
      <x:c r="D74" s="449"/>
    </x:row>
    <x:row r="75">
      <x:c r="A75" s="449"/>
      <x:c r="B75" s="449"/>
      <x:c r="C75" s="449"/>
      <x:c r="D75" s="449"/>
    </x:row>
    <x:row r="76">
      <x:c r="A76" s="449"/>
      <x:c r="B76" s="449"/>
      <x:c r="C76" s="449"/>
      <x:c r="D76" s="449"/>
    </x:row>
    <x:row r="77">
      <x:c r="A77" s="449"/>
      <x:c r="B77" s="449"/>
      <x:c r="C77" s="449"/>
      <x:c r="D77" s="449"/>
    </x:row>
    <x:row r="78">
      <x:c r="A78" s="449"/>
      <x:c r="B78" s="449"/>
      <x:c r="C78" s="449"/>
      <x:c r="D78" s="449"/>
    </x:row>
    <x:row r="79">
      <x:c r="A79" s="449"/>
      <x:c r="B79" s="449"/>
      <x:c r="C79" s="449"/>
      <x:c r="D79" s="449"/>
    </x:row>
    <x:row r="80">
      <x:c r="A80" s="449"/>
      <x:c r="B80" s="449"/>
      <x:c r="C80" s="449"/>
      <x:c r="D80" s="449"/>
    </x:row>
    <x:row r="81">
      <x:c r="A81" s="449"/>
      <x:c r="B81" s="449"/>
      <x:c r="C81" s="449"/>
      <x:c r="D81" s="449"/>
    </x:row>
    <x:row r="82">
      <x:c r="A82" s="449"/>
      <x:c r="B82" s="449"/>
      <x:c r="C82" s="449"/>
      <x:c r="D82" s="449"/>
    </x:row>
    <x:row r="83">
      <x:c r="A83" s="449"/>
      <x:c r="B83" s="449"/>
      <x:c r="C83" s="449"/>
      <x:c r="D83" s="449"/>
    </x:row>
    <x:row r="84">
      <x:c r="A84" s="449"/>
      <x:c r="B84" s="449"/>
      <x:c r="C84" s="449"/>
      <x:c r="D84" s="449"/>
    </x:row>
    <x:row r="85">
      <x:c r="A85" s="449"/>
      <x:c r="B85" s="449"/>
      <x:c r="C85" s="449"/>
      <x:c r="D85" s="449"/>
    </x:row>
    <x:row r="86">
      <x:c r="A86" s="449"/>
      <x:c r="B86" s="449"/>
      <x:c r="C86" s="449"/>
      <x:c r="D86" s="449"/>
    </x:row>
    <x:row r="87">
      <x:c r="A87" s="449"/>
      <x:c r="B87" s="449"/>
      <x:c r="C87" s="449"/>
      <x:c r="D87" s="449"/>
    </x:row>
    <x:row r="88">
      <x:c r="A88" s="449"/>
      <x:c r="B88" s="449"/>
      <x:c r="C88" s="449"/>
      <x:c r="D88" s="449"/>
    </x:row>
    <x:row r="89">
      <x:c r="A89" s="449"/>
      <x:c r="B89" s="449"/>
      <x:c r="C89" s="449"/>
      <x:c r="D89" s="449"/>
    </x:row>
    <x:row r="90">
      <x:c r="A90" s="449"/>
      <x:c r="B90" s="449"/>
      <x:c r="C90" s="449"/>
      <x:c r="D90" s="449"/>
    </x:row>
    <x:row r="91">
      <x:c r="A91" s="449"/>
      <x:c r="B91" s="449"/>
      <x:c r="C91" s="449"/>
      <x:c r="D91" s="449"/>
    </x:row>
    <x:row r="92">
      <x:c r="A92" s="449"/>
      <x:c r="B92" s="449"/>
      <x:c r="C92" s="449"/>
      <x:c r="D92" s="449"/>
    </x:row>
    <x:row r="93">
      <x:c r="A93" s="449"/>
      <x:c r="B93" s="449"/>
      <x:c r="C93" s="449"/>
      <x:c r="D93" s="449"/>
    </x:row>
    <x:row r="94">
      <x:c r="A94" s="449"/>
      <x:c r="B94" s="449"/>
      <x:c r="C94" s="449"/>
      <x:c r="D94" s="449"/>
    </x:row>
    <x:row r="95">
      <x:c r="A95" s="449"/>
      <x:c r="B95" s="449"/>
      <x:c r="C95" s="449"/>
      <x:c r="D95" s="449"/>
    </x:row>
    <x:row r="96">
      <x:c r="A96" s="449"/>
      <x:c r="B96" s="449"/>
      <x:c r="C96" s="449"/>
      <x:c r="D96" s="449"/>
    </x:row>
    <x:row r="97">
      <x:c r="A97" s="449"/>
      <x:c r="B97" s="449"/>
      <x:c r="C97" s="449"/>
      <x:c r="D97" s="449"/>
    </x:row>
    <x:row r="98">
      <x:c r="A98" s="449"/>
      <x:c r="B98" s="449"/>
      <x:c r="C98" s="449"/>
      <x:c r="D98" s="449"/>
    </x:row>
    <x:row r="99">
      <x:c r="A99" s="449"/>
      <x:c r="B99" s="449"/>
      <x:c r="C99" s="449"/>
      <x:c r="D99" s="449"/>
    </x:row>
    <x:row r="100">
      <x:c r="A100" s="449"/>
      <x:c r="B100" s="449"/>
      <x:c r="C100" s="449"/>
      <x:c r="D100" s="449"/>
    </x:row>
    <x:row r="101">
      <x:c r="A101" s="449"/>
      <x:c r="B101" s="449"/>
      <x:c r="C101" s="449"/>
      <x:c r="D101" s="449"/>
    </x:row>
    <x:row r="102">
      <x:c r="A102" s="449"/>
      <x:c r="B102" s="449"/>
      <x:c r="C102" s="449"/>
      <x:c r="D102" s="449"/>
    </x:row>
    <x:row r="103">
      <x:c r="A103" s="449"/>
      <x:c r="B103" s="449"/>
      <x:c r="C103" s="449"/>
      <x:c r="D103" s="449"/>
    </x:row>
    <x:row r="104">
      <x:c r="A104" s="449"/>
      <x:c r="B104" s="449"/>
      <x:c r="C104" s="449"/>
      <x:c r="D104" s="449"/>
    </x:row>
    <x:row r="105">
      <x:c r="A105" s="449"/>
      <x:c r="B105" s="449"/>
      <x:c r="C105" s="449"/>
      <x:c r="D105" s="449"/>
    </x:row>
    <x:row r="106">
      <x:c r="A106" s="449"/>
      <x:c r="B106" s="449"/>
      <x:c r="C106" s="449"/>
      <x:c r="D106" s="449"/>
    </x:row>
    <x:row r="107">
      <x:c r="A107" s="449"/>
      <x:c r="B107" s="449"/>
      <x:c r="C107" s="449"/>
      <x:c r="D107" s="449"/>
    </x:row>
    <x:row r="108">
      <x:c r="A108" s="449"/>
      <x:c r="B108" s="449"/>
      <x:c r="C108" s="449"/>
      <x:c r="D108" s="449"/>
    </x:row>
    <x:row r="109">
      <x:c r="A109" s="449"/>
      <x:c r="B109" s="449"/>
      <x:c r="C109" s="449"/>
      <x:c r="D109" s="449"/>
    </x:row>
    <x:row r="110">
      <x:c r="A110" s="449"/>
      <x:c r="B110" s="449"/>
      <x:c r="C110" s="449"/>
      <x:c r="D110" s="449"/>
    </x:row>
    <x:row r="111">
      <x:c r="A111" s="449"/>
      <x:c r="B111" s="449"/>
      <x:c r="C111" s="449"/>
      <x:c r="D111" s="449"/>
    </x:row>
    <x:row r="112">
      <x:c r="A112" s="449"/>
      <x:c r="B112" s="449"/>
      <x:c r="C112" s="449"/>
      <x:c r="D112" s="449"/>
    </x:row>
    <x:row r="113">
      <x:c r="A113" s="449"/>
      <x:c r="B113" s="449"/>
      <x:c r="C113" s="449"/>
      <x:c r="D113" s="449"/>
    </x:row>
    <x:row r="114">
      <x:c r="A114" s="449"/>
      <x:c r="B114" s="449"/>
      <x:c r="C114" s="449"/>
      <x:c r="D114" s="449"/>
    </x:row>
    <x:row r="115">
      <x:c r="A115" s="449"/>
      <x:c r="B115" s="449"/>
      <x:c r="C115" s="449"/>
      <x:c r="D115" s="449"/>
    </x:row>
    <x:row r="116">
      <x:c r="A116" s="449"/>
      <x:c r="B116" s="449"/>
      <x:c r="C116" s="449"/>
      <x:c r="D116" s="449"/>
    </x:row>
    <x:row r="117">
      <x:c r="A117" s="449"/>
      <x:c r="B117" s="449"/>
      <x:c r="C117" s="449"/>
      <x:c r="D117" s="449"/>
    </x:row>
    <x:row r="118">
      <x:c r="A118" s="449"/>
      <x:c r="B118" s="449"/>
      <x:c r="C118" s="449"/>
      <x:c r="D118" s="449"/>
    </x:row>
    <x:row r="119">
      <x:c r="A119" s="449"/>
      <x:c r="B119" s="449"/>
      <x:c r="C119" s="449"/>
      <x:c r="D119" s="449"/>
    </x:row>
    <x:row r="120">
      <x:c r="A120" s="449"/>
      <x:c r="B120" s="449"/>
      <x:c r="C120" s="449"/>
      <x:c r="D120" s="449"/>
    </x:row>
    <x:row r="121">
      <x:c r="A121" s="449"/>
      <x:c r="B121" s="449"/>
      <x:c r="C121" s="449"/>
      <x:c r="D121" s="449"/>
    </x:row>
    <x:row r="122">
      <x:c r="A122" s="449"/>
      <x:c r="B122" s="449"/>
      <x:c r="C122" s="449"/>
      <x:c r="D122" s="449"/>
    </x:row>
    <x:row r="123">
      <x:c r="A123" s="449"/>
      <x:c r="B123" s="449"/>
      <x:c r="C123" s="449"/>
      <x:c r="D123" s="449"/>
    </x:row>
    <x:row r="124">
      <x:c r="A124" s="449"/>
      <x:c r="B124" s="449"/>
      <x:c r="C124" s="449"/>
      <x:c r="D124" s="449"/>
    </x:row>
    <x:row r="125">
      <x:c r="A125" s="449"/>
      <x:c r="B125" s="449"/>
      <x:c r="C125" s="449"/>
      <x:c r="D125" s="449"/>
    </x:row>
    <x:row r="126">
      <x:c r="A126" s="449"/>
      <x:c r="B126" s="449"/>
      <x:c r="C126" s="449"/>
      <x:c r="D126" s="449"/>
    </x:row>
    <x:row r="127">
      <x:c r="A127" s="449"/>
      <x:c r="B127" s="449"/>
      <x:c r="C127" s="449"/>
      <x:c r="D127" s="449"/>
    </x:row>
    <x:row r="128">
      <x:c r="A128" s="449"/>
      <x:c r="B128" s="449"/>
      <x:c r="C128" s="449"/>
      <x:c r="D128" s="449"/>
    </x:row>
    <x:row r="129">
      <x:c r="A129" s="449"/>
      <x:c r="B129" s="449"/>
      <x:c r="C129" s="449"/>
      <x:c r="D129" s="449"/>
    </x:row>
    <x:row r="130">
      <x:c r="A130" s="449"/>
      <x:c r="B130" s="449"/>
      <x:c r="C130" s="449"/>
      <x:c r="D130" s="449"/>
    </x:row>
    <x:row r="131">
      <x:c r="A131" s="449"/>
      <x:c r="B131" s="449"/>
      <x:c r="C131" s="449"/>
      <x:c r="D131" s="449"/>
    </x:row>
    <x:row r="132">
      <x:c r="A132" s="449"/>
      <x:c r="B132" s="449"/>
      <x:c r="C132" s="449"/>
      <x:c r="D132" s="449"/>
    </x:row>
    <x:row r="133">
      <x:c r="A133" s="449"/>
      <x:c r="B133" s="449"/>
      <x:c r="C133" s="449"/>
      <x:c r="D133" s="449"/>
    </x:row>
    <x:row r="134">
      <x:c r="A134" s="449"/>
      <x:c r="B134" s="449"/>
      <x:c r="C134" s="449"/>
      <x:c r="D134" s="449"/>
    </x:row>
    <x:row r="135">
      <x:c r="A135" s="449"/>
      <x:c r="B135" s="449"/>
      <x:c r="C135" s="449"/>
      <x:c r="D135" s="449"/>
    </x:row>
    <x:row r="136">
      <x:c r="A136" s="449"/>
      <x:c r="B136" s="449"/>
      <x:c r="C136" s="449"/>
      <x:c r="D136" s="449"/>
    </x:row>
    <x:row r="137">
      <x:c r="A137" s="449"/>
      <x:c r="B137" s="449"/>
      <x:c r="C137" s="449"/>
      <x:c r="D137" s="449"/>
    </x:row>
    <x:row r="138">
      <x:c r="A138" s="449"/>
      <x:c r="B138" s="449"/>
      <x:c r="C138" s="449"/>
      <x:c r="D138" s="449"/>
    </x:row>
    <x:row r="139">
      <x:c r="A139" s="449"/>
      <x:c r="B139" s="449"/>
      <x:c r="C139" s="449"/>
      <x:c r="D139" s="449"/>
    </x:row>
    <x:row r="140">
      <x:c r="A140" s="449"/>
      <x:c r="B140" s="449"/>
      <x:c r="C140" s="449"/>
      <x:c r="D140" s="449"/>
    </x:row>
  </x:sheetData>
  <x:mergeCells>
    <x:mergeCell ref="A3:D3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8" hidden="0" customWidth="1"/>
    <x:col min="4" max="4" width="32" hidden="0" customWidth="1"/>
    <x:col min="5" max="5" width="44" hidden="0" customWidth="1"/>
  </x:cols>
  <x:sheetData>
    <x:row r="1">
      <x:c r="A1" s="452" t="str">
        <x:v>🎨 City Art Direction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Art direction for custom headers. These can make the app feel unique and personal.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Destination</x:v>
      </x:c>
      <x:c r="B5" s="456" t="str">
        <x:v>Header Idea</x:v>
      </x:c>
      <x:c r="C5" s="456" t="str">
        <x:v>Mood</x:v>
      </x:c>
      <x:c r="D5" s="456" t="str">
        <x:v>Color Notes</x:v>
      </x:c>
      <x:c r="E5" s="456" t="str">
        <x:v>David Art Notes</x:v>
      </x:c>
    </x:row>
    <x:row r="6">
      <x:c r="A6" s="457" t="str">
        <x:v>Tokyo</x:v>
      </x:c>
      <x:c r="B6" s="457" t="str">
        <x:v>Skyline / Akasaka night / Shibuya crossing</x:v>
      </x:c>
      <x:c r="C6" s="457" t="str">
        <x:v>Energetic, clean, cinematic</x:v>
      </x:c>
      <x:c r="D6" s="457" t="str">
        <x:v>Deep green, red accents, warm lights</x:v>
      </x:c>
      <x:c r="E6" s="457" t="str">
        <x:v>Low-contrast panoramic header</x:v>
      </x:c>
    </x:row>
    <x:row r="7">
      <x:c r="A7" s="457" t="str">
        <x:v>Kyoto</x:v>
      </x:c>
      <x:c r="B7" s="457" t="str">
        <x:v>Temple silhouettes / Fushimi Inari gates</x:v>
      </x:c>
      <x:c r="C7" s="457" t="str">
        <x:v>Warm, sacred, quiet</x:v>
      </x:c>
      <x:c r="D7" s="457" t="str">
        <x:v>Vermilion, warm cream, soft shadows</x:v>
      </x:c>
      <x:c r="E7" s="457" t="str">
        <x:v>Avoid clutter; elegant silhouettes</x:v>
      </x:c>
    </x:row>
    <x:row r="8">
      <x:c r="A8" s="457" t="str">
        <x:v>Hakone</x:v>
      </x:c>
      <x:c r="B8" s="457" t="str">
        <x:v>Mountains / lake / ryokan / mist</x:v>
      </x:c>
      <x:c r="C8" s="457" t="str">
        <x:v>Restful, atmospheric</x:v>
      </x:c>
      <x:c r="D8" s="457" t="str">
        <x:v>Sage, grey-blue, warm ryokan light</x:v>
      </x:c>
      <x:c r="E8" s="457" t="str">
        <x:v>Great for calm Hilda mode</x:v>
      </x:c>
    </x:row>
    <x:row r="9">
      <x:c r="A9" s="457" t="str">
        <x:v>Nara</x:v>
      </x:c>
      <x:c r="B9" s="457" t="str">
        <x:v>Deer park / Todai-ji scale</x:v>
      </x:c>
      <x:c r="C9" s="457" t="str">
        <x:v>Soft, open, playful</x:v>
      </x:c>
      <x:c r="D9" s="457" t="str">
        <x:v>Morning gold, grass green, stone grey</x:v>
      </x:c>
      <x:c r="E9" s="457" t="str">
        <x:v>Gentle and airy</x:v>
      </x:c>
    </x:row>
    <x:row r="10">
      <x:c r="A10" s="449"/>
      <x:c r="B10" s="449"/>
      <x:c r="C10" s="449"/>
      <x:c r="D10" s="449"/>
      <x:c r="E10" s="449"/>
    </x:row>
    <x:row r="11">
      <x:c r="A11" s="449"/>
      <x:c r="B11" s="449"/>
      <x:c r="C11" s="449"/>
      <x:c r="D11" s="449"/>
      <x:c r="E11" s="449"/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16" hidden="0" customWidth="1"/>
    <x:col min="5" max="5" width="44" hidden="0" customWidth="1"/>
  </x:cols>
  <x:sheetData>
    <x:row r="1">
      <x:c r="A1" s="452" t="str">
        <x:v>📖 Memory Book Plan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Planning sheet for the post-trip memory book / PDF export.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Section</x:v>
      </x:c>
      <x:c r="B5" s="456" t="str">
        <x:v>Content</x:v>
      </x:c>
      <x:c r="C5" s="456" t="str">
        <x:v>Source</x:v>
      </x:c>
      <x:c r="D5" s="456" t="str">
        <x:v>Export Later?</x:v>
      </x:c>
      <x:c r="E5" s="456" t="str">
        <x:v>Notes</x:v>
      </x:c>
    </x:row>
    <x:row r="6">
      <x:c r="A6" s="457" t="str">
        <x:v>Cover</x:v>
      </x:c>
      <x:c r="B6" s="457" t="str">
        <x:v>Japan 2026 title, dates, group</x:v>
      </x:c>
      <x:c r="C6" s="457" t="str">
        <x:v>App Config / Itinerary</x:v>
      </x:c>
      <x:c r="D6" s="457" t="str">
        <x:v>Yes</x:v>
      </x:c>
      <x:c r="E6" s="457" t="str">
        <x:v>Could use city artwork</x:v>
      </x:c>
    </x:row>
    <x:row r="7">
      <x:c r="A7" s="457" t="str">
        <x:v>Daily Pages</x:v>
      </x:c>
      <x:c r="B7" s="457" t="str">
        <x:v>Date, city, itinerary, journal notes</x:v>
      </x:c>
      <x:c r="C7" s="457" t="str">
        <x:v>Master Itinerary / Journal</x:v>
      </x:c>
      <x:c r="D7" s="457" t="str">
        <x:v>Yes</x:v>
      </x:c>
      <x:c r="E7" s="457" t="str">
        <x:v>One spread per day</x:v>
      </x:c>
    </x:row>
    <x:row r="8">
      <x:c r="A8" s="457" t="str">
        <x:v>Favorite Meals</x:v>
      </x:c>
      <x:c r="B8" s="457" t="str">
        <x:v>Restaurant, must order, rating, notes</x:v>
      </x:c>
      <x:c r="C8" s="457" t="str">
        <x:v>Restaurants / Journal</x:v>
      </x:c>
      <x:c r="D8" s="457" t="str">
        <x:v>Yes</x:v>
      </x:c>
      <x:c r="E8" s="457" t="str">
        <x:v>Could include photos later</x:v>
      </x:c>
    </x:row>
    <x:row r="9">
      <x:c r="A9" s="457" t="str">
        <x:v>Favorites</x:v>
      </x:c>
      <x:c r="B9" s="457" t="str">
        <x:v>Saved places, shopping, phrases</x:v>
      </x:c>
      <x:c r="C9" s="457" t="str">
        <x:v>Local favorites / Sheet</x:v>
      </x:c>
      <x:c r="D9" s="457" t="str">
        <x:v>Yes</x:v>
      </x:c>
      <x:c r="E9" s="457" t="str">
        <x:v>May need sync later</x:v>
      </x:c>
    </x:row>
    <x:row r="10">
      <x:c r="A10" s="457" t="str">
        <x:v>Trip Stats</x:v>
      </x:c>
      <x:c r="B10" s="457" t="str">
        <x:v>Days, cities, walking, spend, restaurants</x:v>
      </x:c>
      <x:c r="C10" s="457" t="str">
        <x:v>Itinerary / Budget / Journal</x:v>
      </x:c>
      <x:c r="D10" s="457" t="str">
        <x:v>Yes</x:v>
      </x:c>
      <x:c r="E10" s="457" t="str">
        <x:v>Compute later</x:v>
      </x:c>
    </x:row>
    <x:row r="11">
      <x:c r="A11" s="457" t="str">
        <x:v>Photo Pages</x:v>
      </x:c>
      <x:c r="B11" s="457" t="str">
        <x:v>Favorite photos per day</x:v>
      </x:c>
      <x:c r="C11" s="457" t="str">
        <x:v>Future upload/local files</x:v>
      </x:c>
      <x:c r="D11" s="457" t="str">
        <x:v>Yes</x:v>
      </x:c>
      <x:c r="E11" s="457" t="str">
        <x:v>Phase 4</x:v>
      </x:c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44" hidden="0" customWidth="1"/>
  </x:cols>
  <x:sheetData>
    <x:row r="1">
      <x:c r="A1" s="464" t="str">
        <x:v>🎨 Travel OS Design System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Use this as the design source of truth before creating custom icons/artwork.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Token Group</x:v>
      </x:c>
      <x:c r="B5" s="468" t="str">
        <x:v>Token</x:v>
      </x:c>
      <x:c r="C5" s="468" t="str">
        <x:v>Value / Rule</x:v>
      </x:c>
      <x:c r="D5" s="468" t="str">
        <x:v>Use</x:v>
      </x:c>
    </x:row>
    <x:row r="6">
      <x:c r="A6" s="469" t="str">
        <x:v>Color</x:v>
      </x:c>
      <x:c r="B6" s="469" t="str">
        <x:v>Background</x:v>
      </x:c>
      <x:c r="C6" s="469" t="str">
        <x:v>#08100b</x:v>
      </x:c>
      <x:c r="D6" s="469" t="str">
        <x:v>Main app background</x:v>
      </x:c>
    </x:row>
    <x:row r="7">
      <x:c r="A7" s="469" t="str">
        <x:v>Color</x:v>
      </x:c>
      <x:c r="B7" s="469" t="str">
        <x:v>Cream</x:v>
      </x:c>
      <x:c r="C7" s="469" t="str">
        <x:v>#FFF8EB</x:v>
      </x:c>
      <x:c r="D7" s="469" t="str">
        <x:v>Primary cards</x:v>
      </x:c>
    </x:row>
    <x:row r="8">
      <x:c r="A8" s="469" t="str">
        <x:v>Color</x:v>
      </x:c>
      <x:c r="B8" s="469" t="str">
        <x:v>Deep Red</x:v>
      </x:c>
      <x:c r="C8" s="469" t="str">
        <x:v>#6F1D1B</x:v>
      </x:c>
      <x:c r="D8" s="469" t="str">
        <x:v>Brand/accent</x:v>
      </x:c>
    </x:row>
    <x:row r="9">
      <x:c r="A9" s="469" t="str">
        <x:v>Color</x:v>
      </x:c>
      <x:c r="B9" s="469" t="str">
        <x:v>Sage</x:v>
      </x:c>
      <x:c r="C9" s="469" t="str">
        <x:v>#DCE8D4</x:v>
      </x:c>
      <x:c r="D9" s="469" t="str">
        <x:v>Comfort / confidence</x:v>
      </x:c>
    </x:row>
    <x:row r="10">
      <x:c r="A10" s="469" t="str">
        <x:v>Color</x:v>
      </x:c>
      <x:c r="B10" s="469" t="str">
        <x:v>Blue</x:v>
      </x:c>
      <x:c r="C10" s="469" t="str">
        <x:v>#DCEAF7</x:v>
      </x:c>
      <x:c r="D10" s="469" t="str">
        <x:v>Transit / weather</x:v>
      </x:c>
    </x:row>
    <x:row r="11">
      <x:c r="A11" s="469" t="str">
        <x:v>Color</x:v>
      </x:c>
      <x:c r="B11" s="469" t="str">
        <x:v>Lavender</x:v>
      </x:c>
      <x:c r="C11" s="469" t="str">
        <x:v>#E8E2F3</x:v>
      </x:c>
      <x:c r="D11" s="469" t="str">
        <x:v>Hilda / calm mode</x:v>
      </x:c>
    </x:row>
    <x:row r="12">
      <x:c r="A12" s="469" t="str">
        <x:v>Radius</x:v>
      </x:c>
      <x:c r="B12" s="469" t="str">
        <x:v>Large</x:v>
      </x:c>
      <x:c r="C12" s="469" t="str">
        <x:v>26-28px</x:v>
      </x:c>
      <x:c r="D12" s="469" t="str">
        <x:v>Cards and hero panels</x:v>
      </x:c>
    </x:row>
    <x:row r="13">
      <x:c r="A13" s="469" t="str">
        <x:v>Spacing</x:v>
      </x:c>
      <x:c r="B13" s="469" t="str">
        <x:v>Base scale</x:v>
      </x:c>
      <x:c r="C13" s="469" t="str">
        <x:v>4 / 8 / 12 / 16 / 24</x:v>
      </x:c>
      <x:c r="D13" s="469" t="str">
        <x:v>All layout spacing</x:v>
      </x:c>
    </x:row>
    <x:row r="14">
      <x:c r="A14" s="469" t="str">
        <x:v>Typography</x:v>
      </x:c>
      <x:c r="B14" s="469" t="str">
        <x:v>Hero</x:v>
      </x:c>
      <x:c r="C14" s="469" t="str">
        <x:v>Large, bold, tight tracking</x:v>
      </x:c>
      <x:c r="D14" s="469" t="str">
        <x:v>City/date headers</x:v>
      </x:c>
    </x:row>
    <x:row r="15">
      <x:c r="A15" s="469" t="str">
        <x:v>Typography</x:v>
      </x:c>
      <x:c r="B15" s="469" t="str">
        <x:v>Body</x:v>
      </x:c>
      <x:c r="C15" s="469" t="str">
        <x:v>Readable, wrapped, high contrast</x:v>
      </x:c>
      <x:c r="D15" s="469" t="str">
        <x:v>Instructions and notes</x:v>
      </x:c>
    </x:row>
    <x:row r="16">
      <x:c r="A16" s="469" t="str">
        <x:v>Motion</x:v>
      </x:c>
      <x:c r="B16" s="469" t="str">
        <x:v>Standard</x:v>
      </x:c>
      <x:c r="C16" s="469" t="str">
        <x:v>.18-.22s ease</x:v>
      </x:c>
      <x:c r="D16" s="469" t="str">
        <x:v>Buttons/cards/page feel</x:v>
      </x:c>
    </x:row>
    <x:row r="17">
      <x:c r="A17" s="469" t="str">
        <x:v>Accessibility</x:v>
      </x:c>
      <x:c r="B17" s="469" t="str">
        <x:v>Tap target</x:v>
      </x:c>
      <x:c r="C17" s="469" t="str">
        <x:v>44px minimum</x:v>
      </x:c>
      <x:c r="D17" s="469" t="str">
        <x:v>All controls</x:v>
      </x:c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6" hidden="0" customWidth="1"/>
    <x:col min="4" max="4" width="34" hidden="0" customWidth="1"/>
    <x:col min="5" max="5" width="22" hidden="0" customWidth="1"/>
    <x:col min="6" max="6" width="44" hidden="0" customWidth="1"/>
  </x:cols>
  <x:sheetData>
    <x:row r="1">
      <x:c r="A1" s="476" t="str">
        <x:v>📱 Native App Plan — Postponed</x:v>
      </x:c>
      <x:c r="B1" s="476"/>
      <x:c r="C1" s="476"/>
      <x:c r="D1" s="476"/>
      <x:c r="E1" s="476"/>
      <x:c r="F1" s="476"/>
    </x:row>
    <x:row r="2">
      <x:c r="A2" s="476"/>
      <x:c r="B2" s="476"/>
      <x:c r="C2" s="476"/>
      <x:c r="D2" s="476"/>
      <x:c r="E2" s="476"/>
      <x:c r="F2" s="476"/>
    </x:row>
    <x:row r="3">
      <x:c r="A3" s="477" t="str">
        <x:v>Native app work is intentionally postponed. Keep focus on the working Cloudflare PWA until after Japan 2026 or until native features become truly necessary.</x:v>
      </x:c>
      <x:c r="B3" s="477"/>
      <x:c r="C3" s="477"/>
      <x:c r="D3" s="477"/>
      <x:c r="E3" s="477"/>
      <x:c r="F3" s="477"/>
    </x:row>
    <x:row r="4">
      <x:c r="A4" s="473"/>
      <x:c r="B4" s="473"/>
      <x:c r="C4" s="473"/>
      <x:c r="D4" s="473"/>
      <x:c r="E4" s="473"/>
      <x:c r="F4" s="473"/>
    </x:row>
    <x:row r="5">
      <x:c r="A5" s="480" t="str">
        <x:v>Option</x:v>
      </x:c>
      <x:c r="B5" s="480" t="str">
        <x:v>Status</x:v>
      </x:c>
      <x:c r="C5" s="480" t="str">
        <x:v>Reason</x:v>
      </x:c>
      <x:c r="D5" s="480" t="str">
        <x:v>When to Revisit</x:v>
      </x:c>
      <x:c r="E5" s="480" t="str">
        <x:v>Current Decision</x:v>
      </x:c>
      <x:c r="F5" s="480" t="str">
        <x:v>Notes</x:v>
      </x:c>
    </x:row>
    <x:row r="6">
      <x:c r="A6" s="481" t="str">
        <x:v>Expo / React Native</x:v>
      </x:c>
      <x:c r="B6" s="481" t="str">
        <x:v>Postponed</x:v>
      </x:c>
      <x:c r="C6" s="481" t="str">
        <x:v>Separate rebuild</x:v>
      </x:c>
      <x:c r="D6" s="481" t="str">
        <x:v>After PWA stabilizes / after trip</x:v>
      </x:c>
      <x:c r="E6" s="481" t="str">
        <x:v>Not now</x:v>
      </x:c>
      <x:c r="F6" s="481" t="str">
        <x:v>Least painful native option later</x:v>
      </x:c>
    </x:row>
    <x:row r="7">
      <x:c r="A7" s="481" t="str">
        <x:v>SwiftUI</x:v>
      </x:c>
      <x:c r="B7" s="481" t="str">
        <x:v>Postponed</x:v>
      </x:c>
      <x:c r="C7" s="481" t="str">
        <x:v>More custom iOS work</x:v>
      </x:c>
      <x:c r="D7" s="481" t="str">
        <x:v>Only if iPhone-only premium app becomes the goal</x:v>
      </x:c>
      <x:c r="E7" s="481" t="str">
        <x:v>Not now</x:v>
      </x:c>
      <x:c r="F7" s="481" t="str">
        <x:v>Best Apple feel, most work</x:v>
      </x:c>
    </x:row>
    <x:row r="8">
      <x:c r="A8" s="481" t="str">
        <x:v>Capacitor wrapper</x:v>
      </x:c>
      <x:c r="B8" s="481" t="str">
        <x:v>Postponed</x:v>
      </x:c>
      <x:c r="C8" s="481" t="str">
        <x:v>Awkward middle ground</x:v>
      </x:c>
      <x:c r="D8" s="481" t="str">
        <x:v>Only if PWA needs App Store wrapper</x:v>
      </x:c>
      <x:c r="E8" s="481" t="str">
        <x:v>Not now</x:v>
      </x:c>
      <x:c r="F8" s="481" t="str">
        <x:v>Not necessary</x:v>
      </x:c>
    </x:row>
    <x:row r="9">
      <x:c r="A9" s="481" t="str">
        <x:v>PWA</x:v>
      </x:c>
      <x:c r="B9" s="481" t="str">
        <x:v>Active</x:v>
      </x:c>
      <x:c r="C9" s="481" t="str">
        <x:v>Already works and is easy to update</x:v>
      </x:c>
      <x:c r="D9" s="481" t="str">
        <x:v>Now</x:v>
      </x:c>
      <x:c r="E9" s="481" t="str">
        <x:v>Use this</x:v>
      </x:c>
      <x:c r="F9" s="481" t="str">
        <x:v>Best path for Japan 2026</x:v>
      </x:c>
    </x:row>
    <x:row r="10">
      <x:c r="A10" s="473"/>
      <x:c r="B10" s="473"/>
      <x:c r="C10" s="473"/>
      <x:c r="D10" s="473"/>
      <x:c r="E10" s="473"/>
      <x:c r="F10" s="473"/>
    </x:row>
    <x:row r="11">
      <x:c r="A11" s="473"/>
      <x:c r="B11" s="473"/>
      <x:c r="C11" s="473"/>
      <x:c r="D11" s="473"/>
      <x:c r="E11" s="473"/>
      <x:c r="F11" s="473"/>
    </x:row>
    <x:row r="12">
      <x:c r="A12" s="473"/>
      <x:c r="B12" s="473"/>
      <x:c r="C12" s="473"/>
      <x:c r="D12" s="473"/>
      <x:c r="E12" s="473"/>
      <x:c r="F12" s="473"/>
    </x:row>
    <x:row r="13">
      <x:c r="A13" s="473"/>
      <x:c r="B13" s="473"/>
      <x:c r="C13" s="473"/>
      <x:c r="D13" s="473"/>
      <x:c r="E13" s="473"/>
      <x:c r="F13" s="473"/>
    </x:row>
    <x:row r="14">
      <x:c r="A14" s="473"/>
      <x:c r="B14" s="473"/>
      <x:c r="C14" s="473"/>
      <x:c r="D14" s="473"/>
      <x:c r="E14" s="473"/>
      <x:c r="F14" s="473"/>
    </x:row>
    <x:row r="15">
      <x:c r="A15" s="473"/>
      <x:c r="B15" s="473"/>
      <x:c r="C15" s="473"/>
      <x:c r="D15" s="473"/>
      <x:c r="E15" s="473"/>
      <x:c r="F15" s="473"/>
    </x:row>
    <x:row r="16">
      <x:c r="A16" s="473"/>
      <x:c r="B16" s="473"/>
      <x:c r="C16" s="473"/>
      <x:c r="D16" s="473"/>
      <x:c r="E16" s="473"/>
      <x:c r="F16" s="473"/>
    </x:row>
    <x:row r="17">
      <x:c r="A17" s="473"/>
      <x:c r="B17" s="473"/>
      <x:c r="C17" s="473"/>
      <x:c r="D17" s="473"/>
      <x:c r="E17" s="473"/>
      <x:c r="F17" s="473"/>
    </x:row>
    <x:row r="18">
      <x:c r="A18" s="473"/>
      <x:c r="B18" s="473"/>
      <x:c r="C18" s="473"/>
      <x:c r="D18" s="473"/>
      <x:c r="E18" s="473"/>
      <x:c r="F18" s="473"/>
    </x:row>
    <x:row r="19">
      <x:c r="A19" s="473"/>
      <x:c r="B19" s="473"/>
      <x:c r="C19" s="473"/>
      <x:c r="D19" s="473"/>
      <x:c r="E19" s="473"/>
      <x:c r="F19" s="473"/>
    </x:row>
    <x:row r="20">
      <x:c r="A20" s="473"/>
      <x:c r="B20" s="473"/>
      <x:c r="C20" s="473"/>
      <x:c r="D20" s="473"/>
      <x:c r="E20" s="473"/>
      <x:c r="F20" s="473"/>
    </x:row>
    <x:row r="21">
      <x:c r="A21" s="473"/>
      <x:c r="B21" s="473"/>
      <x:c r="C21" s="473"/>
      <x:c r="D21" s="473"/>
      <x:c r="E21" s="473"/>
      <x:c r="F21" s="473"/>
    </x:row>
    <x:row r="22">
      <x:c r="A22" s="473"/>
      <x:c r="B22" s="473"/>
      <x:c r="C22" s="473"/>
      <x:c r="D22" s="473"/>
      <x:c r="E22" s="473"/>
      <x:c r="F22" s="473"/>
    </x:row>
    <x:row r="23">
      <x:c r="A23" s="473"/>
      <x:c r="B23" s="473"/>
      <x:c r="C23" s="473"/>
      <x:c r="D23" s="473"/>
      <x:c r="E23" s="473"/>
      <x:c r="F23" s="473"/>
    </x:row>
    <x:row r="24">
      <x:c r="A24" s="473"/>
      <x:c r="B24" s="473"/>
      <x:c r="C24" s="473"/>
      <x:c r="D24" s="473"/>
      <x:c r="E24" s="473"/>
      <x:c r="F24" s="473"/>
    </x:row>
    <x:row r="25">
      <x:c r="A25" s="473"/>
      <x:c r="B25" s="473"/>
      <x:c r="C25" s="473"/>
      <x:c r="D25" s="473"/>
      <x:c r="E25" s="473"/>
      <x:c r="F25" s="473"/>
    </x:row>
    <x:row r="26">
      <x:c r="A26" s="473"/>
      <x:c r="B26" s="473"/>
      <x:c r="C26" s="473"/>
      <x:c r="D26" s="473"/>
      <x:c r="E26" s="473"/>
      <x:c r="F26" s="473"/>
    </x:row>
    <x:row r="27">
      <x:c r="A27" s="473"/>
      <x:c r="B27" s="473"/>
      <x:c r="C27" s="473"/>
      <x:c r="D27" s="473"/>
      <x:c r="E27" s="473"/>
      <x:c r="F27" s="473"/>
    </x:row>
    <x:row r="28">
      <x:c r="A28" s="473"/>
      <x:c r="B28" s="473"/>
      <x:c r="C28" s="473"/>
      <x:c r="D28" s="473"/>
      <x:c r="E28" s="473"/>
      <x:c r="F28" s="473"/>
    </x:row>
    <x:row r="29">
      <x:c r="A29" s="473"/>
      <x:c r="B29" s="473"/>
      <x:c r="C29" s="473"/>
      <x:c r="D29" s="473"/>
      <x:c r="E29" s="473"/>
      <x:c r="F29" s="473"/>
    </x:row>
    <x:row r="30">
      <x:c r="A30" s="473"/>
      <x:c r="B30" s="473"/>
      <x:c r="C30" s="473"/>
      <x:c r="D30" s="473"/>
      <x:c r="E30" s="473"/>
      <x:c r="F30" s="473"/>
    </x:row>
    <x:row r="31">
      <x:c r="A31" s="473"/>
      <x:c r="B31" s="473"/>
      <x:c r="C31" s="473"/>
      <x:c r="D31" s="473"/>
      <x:c r="E31" s="473"/>
      <x:c r="F31" s="473"/>
    </x:row>
    <x:row r="32">
      <x:c r="A32" s="473"/>
      <x:c r="B32" s="473"/>
      <x:c r="C32" s="473"/>
      <x:c r="D32" s="473"/>
      <x:c r="E32" s="473"/>
      <x:c r="F32" s="473"/>
    </x:row>
    <x:row r="33">
      <x:c r="A33" s="473"/>
      <x:c r="B33" s="473"/>
      <x:c r="C33" s="473"/>
      <x:c r="D33" s="473"/>
      <x:c r="E33" s="473"/>
      <x:c r="F33" s="473"/>
    </x:row>
    <x:row r="34">
      <x:c r="A34" s="473"/>
      <x:c r="B34" s="473"/>
      <x:c r="C34" s="473"/>
      <x:c r="D34" s="473"/>
      <x:c r="E34" s="473"/>
      <x:c r="F34" s="473"/>
    </x:row>
    <x:row r="35">
      <x:c r="A35" s="473"/>
      <x:c r="B35" s="473"/>
      <x:c r="C35" s="473"/>
      <x:c r="D35" s="473"/>
      <x:c r="E35" s="473"/>
      <x:c r="F35" s="473"/>
    </x:row>
    <x:row r="36">
      <x:c r="A36" s="473"/>
      <x:c r="B36" s="473"/>
      <x:c r="C36" s="473"/>
      <x:c r="D36" s="473"/>
      <x:c r="E36" s="473"/>
      <x:c r="F36" s="473"/>
    </x:row>
    <x:row r="37">
      <x:c r="A37" s="473"/>
      <x:c r="B37" s="473"/>
      <x:c r="C37" s="473"/>
      <x:c r="D37" s="473"/>
      <x:c r="E37" s="473"/>
      <x:c r="F37" s="473"/>
    </x:row>
    <x:row r="38">
      <x:c r="A38" s="473"/>
      <x:c r="B38" s="473"/>
      <x:c r="C38" s="473"/>
      <x:c r="D38" s="473"/>
      <x:c r="E38" s="473"/>
      <x:c r="F38" s="473"/>
    </x:row>
    <x:row r="39">
      <x:c r="A39" s="473"/>
      <x:c r="B39" s="473"/>
      <x:c r="C39" s="473"/>
      <x:c r="D39" s="473"/>
      <x:c r="E39" s="473"/>
      <x:c r="F39" s="473"/>
    </x:row>
    <x:row r="40">
      <x:c r="A40" s="473"/>
      <x:c r="B40" s="473"/>
      <x:c r="C40" s="473"/>
      <x:c r="D40" s="473"/>
      <x:c r="E40" s="473"/>
      <x:c r="F40" s="473"/>
    </x:row>
    <x:row r="41">
      <x:c r="A41" s="461"/>
      <x:c r="B41" s="461"/>
      <x:c r="C41" s="461"/>
      <x:c r="D41" s="461"/>
      <x:c r="E41" s="461"/>
      <x:c r="F41" s="461"/>
    </x:row>
    <x:row r="42">
      <x:c r="A42" s="461"/>
      <x:c r="B42" s="461"/>
      <x:c r="C42" s="461"/>
      <x:c r="D42" s="461"/>
      <x:c r="E42" s="461"/>
      <x:c r="F42" s="461"/>
    </x:row>
    <x:row r="43">
      <x:c r="A43" s="461"/>
      <x:c r="B43" s="461"/>
      <x:c r="C43" s="461"/>
      <x:c r="D43" s="461"/>
      <x:c r="E43" s="461"/>
      <x:c r="F43" s="461"/>
    </x:row>
    <x:row r="44">
      <x:c r="A44" s="461"/>
      <x:c r="B44" s="461"/>
      <x:c r="C44" s="461"/>
      <x:c r="D44" s="461"/>
      <x:c r="E44" s="461"/>
      <x:c r="F44" s="461"/>
    </x:row>
    <x:row r="45">
      <x:c r="A45" s="461"/>
      <x:c r="B45" s="461"/>
      <x:c r="C45" s="461"/>
      <x:c r="D45" s="461"/>
      <x:c r="E45" s="461"/>
      <x:c r="F45" s="461"/>
    </x:row>
    <x:row r="46">
      <x:c r="A46" s="461"/>
      <x:c r="B46" s="461"/>
      <x:c r="C46" s="461"/>
      <x:c r="D46" s="461"/>
      <x:c r="E46" s="461"/>
      <x:c r="F46" s="461"/>
    </x:row>
    <x:row r="47">
      <x:c r="A47" s="461"/>
      <x:c r="B47" s="461"/>
      <x:c r="C47" s="461"/>
      <x:c r="D47" s="461"/>
      <x:c r="E47" s="461"/>
      <x:c r="F47" s="461"/>
    </x:row>
    <x:row r="48">
      <x:c r="A48" s="461"/>
      <x:c r="B48" s="461"/>
      <x:c r="C48" s="461"/>
      <x:c r="D48" s="461"/>
      <x:c r="E48" s="461"/>
      <x:c r="F48" s="461"/>
    </x:row>
    <x:row r="49">
      <x:c r="A49" s="461"/>
      <x:c r="B49" s="461"/>
      <x:c r="C49" s="461"/>
      <x:c r="D49" s="461"/>
      <x:c r="E49" s="461"/>
      <x:c r="F49" s="461"/>
    </x:row>
    <x:row r="50">
      <x:c r="A50" s="461"/>
      <x:c r="B50" s="461"/>
      <x:c r="C50" s="461"/>
      <x:c r="D50" s="461"/>
      <x:c r="E50" s="461"/>
      <x:c r="F50" s="461"/>
    </x:row>
    <x:row r="51">
      <x:c r="A51" s="461"/>
      <x:c r="B51" s="461"/>
      <x:c r="C51" s="461"/>
      <x:c r="D51" s="461"/>
      <x:c r="E51" s="461"/>
      <x:c r="F51" s="461"/>
    </x:row>
    <x:row r="52">
      <x:c r="A52" s="461"/>
      <x:c r="B52" s="461"/>
      <x:c r="C52" s="461"/>
      <x:c r="D52" s="461"/>
      <x:c r="E52" s="461"/>
      <x:c r="F52" s="461"/>
    </x:row>
    <x:row r="53">
      <x:c r="A53" s="461"/>
      <x:c r="B53" s="461"/>
      <x:c r="C53" s="461"/>
      <x:c r="D53" s="461"/>
      <x:c r="E53" s="461"/>
      <x:c r="F53" s="461"/>
    </x:row>
    <x:row r="54">
      <x:c r="A54" s="461"/>
      <x:c r="B54" s="461"/>
      <x:c r="C54" s="461"/>
      <x:c r="D54" s="461"/>
      <x:c r="E54" s="461"/>
      <x:c r="F54" s="461"/>
    </x:row>
    <x:row r="55">
      <x:c r="A55" s="461"/>
      <x:c r="B55" s="461"/>
      <x:c r="C55" s="461"/>
      <x:c r="D55" s="461"/>
      <x:c r="E55" s="461"/>
      <x:c r="F55" s="461"/>
    </x:row>
    <x:row r="56">
      <x:c r="A56" s="461"/>
      <x:c r="B56" s="461"/>
      <x:c r="C56" s="461"/>
      <x:c r="D56" s="461"/>
      <x:c r="E56" s="461"/>
      <x:c r="F56" s="461"/>
    </x:row>
    <x:row r="57">
      <x:c r="A57" s="461"/>
      <x:c r="B57" s="461"/>
      <x:c r="C57" s="461"/>
      <x:c r="D57" s="461"/>
      <x:c r="E57" s="461"/>
      <x:c r="F57" s="461"/>
    </x:row>
    <x:row r="58">
      <x:c r="A58" s="461"/>
      <x:c r="B58" s="461"/>
      <x:c r="C58" s="461"/>
      <x:c r="D58" s="461"/>
      <x:c r="E58" s="461"/>
      <x:c r="F58" s="461"/>
    </x:row>
    <x:row r="59">
      <x:c r="A59" s="461"/>
      <x:c r="B59" s="461"/>
      <x:c r="C59" s="461"/>
      <x:c r="D59" s="461"/>
      <x:c r="E59" s="461"/>
      <x:c r="F59" s="461"/>
    </x:row>
    <x:row r="60">
      <x:c r="A60" s="461"/>
      <x:c r="B60" s="461"/>
      <x:c r="C60" s="461"/>
      <x:c r="D60" s="461"/>
      <x:c r="E60" s="461"/>
      <x:c r="F60" s="461"/>
    </x:row>
    <x:row r="61">
      <x:c r="A61" s="461"/>
      <x:c r="B61" s="461"/>
      <x:c r="C61" s="461"/>
      <x:c r="D61" s="461"/>
      <x:c r="E61" s="461"/>
      <x:c r="F61" s="461"/>
    </x:row>
    <x:row r="62">
      <x:c r="A62" s="461"/>
      <x:c r="B62" s="461"/>
      <x:c r="C62" s="461"/>
      <x:c r="D62" s="461"/>
      <x:c r="E62" s="461"/>
      <x:c r="F62" s="461"/>
    </x:row>
    <x:row r="63">
      <x:c r="A63" s="461"/>
      <x:c r="B63" s="461"/>
      <x:c r="C63" s="461"/>
      <x:c r="D63" s="461"/>
      <x:c r="E63" s="461"/>
      <x:c r="F63" s="461"/>
    </x:row>
    <x:row r="64">
      <x:c r="A64" s="461"/>
      <x:c r="B64" s="461"/>
      <x:c r="C64" s="461"/>
      <x:c r="D64" s="461"/>
      <x:c r="E64" s="461"/>
      <x:c r="F64" s="461"/>
    </x:row>
    <x:row r="65">
      <x:c r="A65" s="461"/>
      <x:c r="B65" s="461"/>
      <x:c r="C65" s="461"/>
      <x:c r="D65" s="461"/>
      <x:c r="E65" s="461"/>
      <x:c r="F65" s="461"/>
    </x:row>
    <x:row r="66">
      <x:c r="A66" s="461"/>
      <x:c r="B66" s="461"/>
      <x:c r="C66" s="461"/>
      <x:c r="D66" s="461"/>
      <x:c r="E66" s="461"/>
      <x:c r="F66" s="461"/>
    </x:row>
    <x:row r="67">
      <x:c r="A67" s="461"/>
      <x:c r="B67" s="461"/>
      <x:c r="C67" s="461"/>
      <x:c r="D67" s="461"/>
      <x:c r="E67" s="461"/>
      <x:c r="F67" s="461"/>
    </x:row>
    <x:row r="68">
      <x:c r="A68" s="461"/>
      <x:c r="B68" s="461"/>
      <x:c r="C68" s="461"/>
      <x:c r="D68" s="461"/>
      <x:c r="E68" s="461"/>
      <x:c r="F68" s="461"/>
    </x:row>
    <x:row r="69">
      <x:c r="A69" s="461"/>
      <x:c r="B69" s="461"/>
      <x:c r="C69" s="461"/>
      <x:c r="D69" s="461"/>
      <x:c r="E69" s="461"/>
      <x:c r="F69" s="461"/>
    </x:row>
    <x:row r="70">
      <x:c r="A70" s="461"/>
      <x:c r="B70" s="461"/>
      <x:c r="C70" s="461"/>
      <x:c r="D70" s="461"/>
      <x:c r="E70" s="461"/>
      <x:c r="F70" s="461"/>
    </x:row>
    <x:row r="71">
      <x:c r="A71" s="461"/>
      <x:c r="B71" s="461"/>
      <x:c r="C71" s="461"/>
      <x:c r="D71" s="461"/>
      <x:c r="E71" s="461"/>
      <x:c r="F71" s="461"/>
    </x:row>
    <x:row r="72">
      <x:c r="A72" s="461"/>
      <x:c r="B72" s="461"/>
      <x:c r="C72" s="461"/>
      <x:c r="D72" s="461"/>
      <x:c r="E72" s="461"/>
      <x:c r="F72" s="461"/>
    </x:row>
    <x:row r="73">
      <x:c r="A73" s="461"/>
      <x:c r="B73" s="461"/>
      <x:c r="C73" s="461"/>
      <x:c r="D73" s="461"/>
      <x:c r="E73" s="461"/>
      <x:c r="F73" s="461"/>
    </x:row>
    <x:row r="74">
      <x:c r="A74" s="461"/>
      <x:c r="B74" s="461"/>
      <x:c r="C74" s="461"/>
      <x:c r="D74" s="461"/>
      <x:c r="E74" s="461"/>
      <x:c r="F74" s="461"/>
    </x:row>
    <x:row r="75">
      <x:c r="A75" s="461"/>
      <x:c r="B75" s="461"/>
      <x:c r="C75" s="461"/>
      <x:c r="D75" s="461"/>
      <x:c r="E75" s="461"/>
      <x:c r="F75" s="461"/>
    </x:row>
    <x:row r="76">
      <x:c r="A76" s="461"/>
      <x:c r="B76" s="461"/>
      <x:c r="C76" s="461"/>
      <x:c r="D76" s="461"/>
      <x:c r="E76" s="461"/>
      <x:c r="F76" s="461"/>
    </x:row>
    <x:row r="77">
      <x:c r="A77" s="461"/>
      <x:c r="B77" s="461"/>
      <x:c r="C77" s="461"/>
      <x:c r="D77" s="461"/>
      <x:c r="E77" s="461"/>
      <x:c r="F77" s="461"/>
    </x:row>
    <x:row r="78">
      <x:c r="A78" s="461"/>
      <x:c r="B78" s="461"/>
      <x:c r="C78" s="461"/>
      <x:c r="D78" s="461"/>
      <x:c r="E78" s="461"/>
      <x:c r="F78" s="461"/>
    </x:row>
    <x:row r="79">
      <x:c r="A79" s="461"/>
      <x:c r="B79" s="461"/>
      <x:c r="C79" s="461"/>
      <x:c r="D79" s="461"/>
      <x:c r="E79" s="461"/>
      <x:c r="F79" s="461"/>
    </x:row>
    <x:row r="80">
      <x:c r="A80" s="461"/>
      <x:c r="B80" s="461"/>
      <x:c r="C80" s="461"/>
      <x:c r="D80" s="461"/>
      <x:c r="E80" s="461"/>
      <x:c r="F80" s="461"/>
    </x:row>
    <x:row r="81">
      <x:c r="A81" s="461"/>
      <x:c r="B81" s="461"/>
      <x:c r="C81" s="461"/>
      <x:c r="D81" s="461"/>
      <x:c r="E81" s="461"/>
      <x:c r="F81" s="461"/>
    </x:row>
    <x:row r="82">
      <x:c r="A82" s="461"/>
      <x:c r="B82" s="461"/>
      <x:c r="C82" s="461"/>
      <x:c r="D82" s="461"/>
      <x:c r="E82" s="461"/>
      <x:c r="F82" s="461"/>
    </x:row>
    <x:row r="83">
      <x:c r="A83" s="461"/>
      <x:c r="B83" s="461"/>
      <x:c r="C83" s="461"/>
      <x:c r="D83" s="461"/>
      <x:c r="E83" s="461"/>
      <x:c r="F83" s="461"/>
    </x:row>
    <x:row r="84">
      <x:c r="A84" s="461"/>
      <x:c r="B84" s="461"/>
      <x:c r="C84" s="461"/>
      <x:c r="D84" s="461"/>
      <x:c r="E84" s="461"/>
      <x:c r="F84" s="461"/>
    </x:row>
    <x:row r="85">
      <x:c r="A85" s="461"/>
      <x:c r="B85" s="461"/>
      <x:c r="C85" s="461"/>
      <x:c r="D85" s="461"/>
      <x:c r="E85" s="461"/>
      <x:c r="F85" s="461"/>
    </x:row>
    <x:row r="86">
      <x:c r="A86" s="461"/>
      <x:c r="B86" s="461"/>
      <x:c r="C86" s="461"/>
      <x:c r="D86" s="461"/>
      <x:c r="E86" s="461"/>
      <x:c r="F86" s="461"/>
    </x:row>
    <x:row r="87">
      <x:c r="A87" s="461"/>
      <x:c r="B87" s="461"/>
      <x:c r="C87" s="461"/>
      <x:c r="D87" s="461"/>
      <x:c r="E87" s="461"/>
      <x:c r="F87" s="461"/>
    </x:row>
    <x:row r="88">
      <x:c r="A88" s="461"/>
      <x:c r="B88" s="461"/>
      <x:c r="C88" s="461"/>
      <x:c r="D88" s="461"/>
      <x:c r="E88" s="461"/>
      <x:c r="F88" s="461"/>
    </x:row>
    <x:row r="89">
      <x:c r="A89" s="461"/>
      <x:c r="B89" s="461"/>
      <x:c r="C89" s="461"/>
      <x:c r="D89" s="461"/>
      <x:c r="E89" s="461"/>
      <x:c r="F89" s="461"/>
    </x:row>
    <x:row r="90">
      <x:c r="A90" s="461"/>
      <x:c r="B90" s="461"/>
      <x:c r="C90" s="461"/>
      <x:c r="D90" s="461"/>
      <x:c r="E90" s="461"/>
      <x:c r="F90" s="461"/>
    </x:row>
    <x:row r="91">
      <x:c r="A91" s="461"/>
      <x:c r="B91" s="461"/>
      <x:c r="C91" s="461"/>
      <x:c r="D91" s="461"/>
      <x:c r="E91" s="461"/>
      <x:c r="F91" s="461"/>
    </x:row>
    <x:row r="92">
      <x:c r="A92" s="461"/>
      <x:c r="B92" s="461"/>
      <x:c r="C92" s="461"/>
      <x:c r="D92" s="461"/>
      <x:c r="E92" s="461"/>
      <x:c r="F92" s="461"/>
    </x:row>
    <x:row r="93">
      <x:c r="A93" s="461"/>
      <x:c r="B93" s="461"/>
      <x:c r="C93" s="461"/>
      <x:c r="D93" s="461"/>
      <x:c r="E93" s="461"/>
      <x:c r="F93" s="461"/>
    </x:row>
    <x:row r="94">
      <x:c r="A94" s="461"/>
      <x:c r="B94" s="461"/>
      <x:c r="C94" s="461"/>
      <x:c r="D94" s="461"/>
      <x:c r="E94" s="461"/>
      <x:c r="F94" s="461"/>
    </x:row>
    <x:row r="95">
      <x:c r="A95" s="461"/>
      <x:c r="B95" s="461"/>
      <x:c r="C95" s="461"/>
      <x:c r="D95" s="461"/>
      <x:c r="E95" s="461"/>
      <x:c r="F95" s="461"/>
    </x:row>
    <x:row r="96">
      <x:c r="A96" s="461"/>
      <x:c r="B96" s="461"/>
      <x:c r="C96" s="461"/>
      <x:c r="D96" s="461"/>
      <x:c r="E96" s="461"/>
      <x:c r="F96" s="461"/>
    </x:row>
    <x:row r="97">
      <x:c r="A97" s="461"/>
      <x:c r="B97" s="461"/>
      <x:c r="C97" s="461"/>
      <x:c r="D97" s="461"/>
      <x:c r="E97" s="461"/>
      <x:c r="F97" s="461"/>
    </x:row>
    <x:row r="98">
      <x:c r="A98" s="461"/>
      <x:c r="B98" s="461"/>
      <x:c r="C98" s="461"/>
      <x:c r="D98" s="461"/>
      <x:c r="E98" s="461"/>
      <x:c r="F98" s="461"/>
    </x:row>
    <x:row r="99">
      <x:c r="A99" s="461"/>
      <x:c r="B99" s="461"/>
      <x:c r="C99" s="461"/>
      <x:c r="D99" s="461"/>
      <x:c r="E99" s="461"/>
      <x:c r="F99" s="461"/>
    </x:row>
    <x:row r="100">
      <x:c r="A100" s="461"/>
      <x:c r="B100" s="461"/>
      <x:c r="C100" s="461"/>
      <x:c r="D100" s="461"/>
      <x:c r="E100" s="461"/>
      <x:c r="F100" s="461"/>
    </x:row>
    <x:row r="101">
      <x:c r="A101" s="461"/>
      <x:c r="B101" s="461"/>
      <x:c r="C101" s="461"/>
      <x:c r="D101" s="461"/>
      <x:c r="E101" s="461"/>
      <x:c r="F101" s="461"/>
    </x:row>
    <x:row r="102">
      <x:c r="A102" s="461"/>
      <x:c r="B102" s="461"/>
      <x:c r="C102" s="461"/>
      <x:c r="D102" s="461"/>
      <x:c r="E102" s="461"/>
      <x:c r="F102" s="461"/>
    </x:row>
    <x:row r="103">
      <x:c r="A103" s="461"/>
      <x:c r="B103" s="461"/>
      <x:c r="C103" s="461"/>
      <x:c r="D103" s="461"/>
      <x:c r="E103" s="461"/>
      <x:c r="F103" s="461"/>
    </x:row>
    <x:row r="104">
      <x:c r="A104" s="461"/>
      <x:c r="B104" s="461"/>
      <x:c r="C104" s="461"/>
      <x:c r="D104" s="461"/>
      <x:c r="E104" s="461"/>
      <x:c r="F104" s="461"/>
    </x:row>
    <x:row r="105">
      <x:c r="A105" s="461"/>
      <x:c r="B105" s="461"/>
      <x:c r="C105" s="461"/>
      <x:c r="D105" s="461"/>
      <x:c r="E105" s="461"/>
      <x:c r="F105" s="461"/>
    </x:row>
    <x:row r="106">
      <x:c r="A106" s="461"/>
      <x:c r="B106" s="461"/>
      <x:c r="C106" s="461"/>
      <x:c r="D106" s="461"/>
      <x:c r="E106" s="461"/>
      <x:c r="F106" s="461"/>
    </x:row>
    <x:row r="107">
      <x:c r="A107" s="461"/>
      <x:c r="B107" s="461"/>
      <x:c r="C107" s="461"/>
      <x:c r="D107" s="461"/>
      <x:c r="E107" s="461"/>
      <x:c r="F107" s="461"/>
    </x:row>
    <x:row r="108">
      <x:c r="A108" s="461"/>
      <x:c r="B108" s="461"/>
      <x:c r="C108" s="461"/>
      <x:c r="D108" s="461"/>
      <x:c r="E108" s="461"/>
      <x:c r="F108" s="461"/>
    </x:row>
    <x:row r="109">
      <x:c r="A109" s="461"/>
      <x:c r="B109" s="461"/>
      <x:c r="C109" s="461"/>
      <x:c r="D109" s="461"/>
      <x:c r="E109" s="461"/>
      <x:c r="F109" s="461"/>
    </x:row>
    <x:row r="110">
      <x:c r="A110" s="461"/>
      <x:c r="B110" s="461"/>
      <x:c r="C110" s="461"/>
      <x:c r="D110" s="461"/>
      <x:c r="E110" s="461"/>
      <x:c r="F110" s="461"/>
    </x:row>
    <x:row r="111">
      <x:c r="A111" s="461"/>
      <x:c r="B111" s="461"/>
      <x:c r="C111" s="461"/>
      <x:c r="D111" s="461"/>
      <x:c r="E111" s="461"/>
      <x:c r="F111" s="461"/>
    </x:row>
    <x:row r="112">
      <x:c r="A112" s="461"/>
      <x:c r="B112" s="461"/>
      <x:c r="C112" s="461"/>
      <x:c r="D112" s="461"/>
      <x:c r="E112" s="461"/>
      <x:c r="F112" s="461"/>
    </x:row>
    <x:row r="113">
      <x:c r="A113" s="461"/>
      <x:c r="B113" s="461"/>
      <x:c r="C113" s="461"/>
      <x:c r="D113" s="461"/>
      <x:c r="E113" s="461"/>
      <x:c r="F113" s="461"/>
    </x:row>
    <x:row r="114">
      <x:c r="A114" s="461"/>
      <x:c r="B114" s="461"/>
      <x:c r="C114" s="461"/>
      <x:c r="D114" s="461"/>
      <x:c r="E114" s="461"/>
      <x:c r="F114" s="461"/>
    </x:row>
    <x:row r="115">
      <x:c r="A115" s="461"/>
      <x:c r="B115" s="461"/>
      <x:c r="C115" s="461"/>
      <x:c r="D115" s="461"/>
      <x:c r="E115" s="461"/>
      <x:c r="F115" s="461"/>
    </x:row>
    <x:row r="116">
      <x:c r="A116" s="461"/>
      <x:c r="B116" s="461"/>
      <x:c r="C116" s="461"/>
      <x:c r="D116" s="461"/>
      <x:c r="E116" s="461"/>
      <x:c r="F116" s="461"/>
    </x:row>
    <x:row r="117">
      <x:c r="A117" s="461"/>
      <x:c r="B117" s="461"/>
      <x:c r="C117" s="461"/>
      <x:c r="D117" s="461"/>
      <x:c r="E117" s="461"/>
      <x:c r="F117" s="461"/>
    </x:row>
    <x:row r="118">
      <x:c r="A118" s="461"/>
      <x:c r="B118" s="461"/>
      <x:c r="C118" s="461"/>
      <x:c r="D118" s="461"/>
      <x:c r="E118" s="461"/>
      <x:c r="F118" s="461"/>
    </x:row>
    <x:row r="119">
      <x:c r="A119" s="461"/>
      <x:c r="B119" s="461"/>
      <x:c r="C119" s="461"/>
      <x:c r="D119" s="461"/>
      <x:c r="E119" s="461"/>
      <x:c r="F119" s="461"/>
    </x:row>
    <x:row r="120">
      <x:c r="A120" s="461"/>
      <x:c r="B120" s="461"/>
      <x:c r="C120" s="461"/>
      <x:c r="D120" s="461"/>
      <x:c r="E120" s="461"/>
      <x:c r="F120" s="461"/>
    </x:row>
    <x:row r="121">
      <x:c r="A121" s="461"/>
      <x:c r="B121" s="461"/>
      <x:c r="C121" s="461"/>
      <x:c r="D121" s="461"/>
      <x:c r="E121" s="461"/>
      <x:c r="F121" s="461"/>
    </x:row>
    <x:row r="122">
      <x:c r="A122" s="461"/>
      <x:c r="B122" s="461"/>
      <x:c r="C122" s="461"/>
      <x:c r="D122" s="461"/>
      <x:c r="E122" s="461"/>
      <x:c r="F122" s="461"/>
    </x:row>
    <x:row r="123">
      <x:c r="A123" s="461"/>
      <x:c r="B123" s="461"/>
      <x:c r="C123" s="461"/>
      <x:c r="D123" s="461"/>
      <x:c r="E123" s="461"/>
      <x:c r="F123" s="461"/>
    </x:row>
    <x:row r="124">
      <x:c r="A124" s="461"/>
      <x:c r="B124" s="461"/>
      <x:c r="C124" s="461"/>
      <x:c r="D124" s="461"/>
      <x:c r="E124" s="461"/>
      <x:c r="F124" s="461"/>
    </x:row>
    <x:row r="125">
      <x:c r="A125" s="461"/>
      <x:c r="B125" s="461"/>
      <x:c r="C125" s="461"/>
      <x:c r="D125" s="461"/>
      <x:c r="E125" s="461"/>
      <x:c r="F125" s="461"/>
    </x:row>
    <x:row r="126">
      <x:c r="A126" s="461"/>
      <x:c r="B126" s="461"/>
      <x:c r="C126" s="461"/>
      <x:c r="D126" s="461"/>
      <x:c r="E126" s="461"/>
      <x:c r="F126" s="461"/>
    </x:row>
    <x:row r="127">
      <x:c r="A127" s="461"/>
      <x:c r="B127" s="461"/>
      <x:c r="C127" s="461"/>
      <x:c r="D127" s="461"/>
      <x:c r="E127" s="461"/>
      <x:c r="F127" s="461"/>
    </x:row>
    <x:row r="128">
      <x:c r="A128" s="461"/>
      <x:c r="B128" s="461"/>
      <x:c r="C128" s="461"/>
      <x:c r="D128" s="461"/>
      <x:c r="E128" s="461"/>
      <x:c r="F128" s="461"/>
    </x:row>
    <x:row r="129">
      <x:c r="A129" s="461"/>
      <x:c r="B129" s="461"/>
      <x:c r="C129" s="461"/>
      <x:c r="D129" s="461"/>
      <x:c r="E129" s="461"/>
      <x:c r="F129" s="461"/>
    </x:row>
    <x:row r="130">
      <x:c r="A130" s="461"/>
      <x:c r="B130" s="461"/>
      <x:c r="C130" s="461"/>
      <x:c r="D130" s="461"/>
      <x:c r="E130" s="461"/>
      <x:c r="F130" s="461"/>
    </x:row>
    <x:row r="131">
      <x:c r="A131" s="461"/>
      <x:c r="B131" s="461"/>
      <x:c r="C131" s="461"/>
      <x:c r="D131" s="461"/>
      <x:c r="E131" s="461"/>
      <x:c r="F131" s="461"/>
    </x:row>
    <x:row r="132">
      <x:c r="A132" s="461"/>
      <x:c r="B132" s="461"/>
      <x:c r="C132" s="461"/>
      <x:c r="D132" s="461"/>
      <x:c r="E132" s="461"/>
      <x:c r="F132" s="461"/>
    </x:row>
    <x:row r="133">
      <x:c r="A133" s="461"/>
      <x:c r="B133" s="461"/>
      <x:c r="C133" s="461"/>
      <x:c r="D133" s="461"/>
      <x:c r="E133" s="461"/>
      <x:c r="F133" s="461"/>
    </x:row>
    <x:row r="134">
      <x:c r="A134" s="461"/>
      <x:c r="B134" s="461"/>
      <x:c r="C134" s="461"/>
      <x:c r="D134" s="461"/>
      <x:c r="E134" s="461"/>
      <x:c r="F134" s="461"/>
    </x:row>
    <x:row r="135">
      <x:c r="A135" s="461"/>
      <x:c r="B135" s="461"/>
      <x:c r="C135" s="461"/>
      <x:c r="D135" s="461"/>
      <x:c r="E135" s="461"/>
      <x:c r="F135" s="461"/>
    </x:row>
    <x:row r="136">
      <x:c r="A136" s="461"/>
      <x:c r="B136" s="461"/>
      <x:c r="C136" s="461"/>
      <x:c r="D136" s="461"/>
      <x:c r="E136" s="461"/>
      <x:c r="F136" s="461"/>
    </x:row>
    <x:row r="137">
      <x:c r="A137" s="461"/>
      <x:c r="B137" s="461"/>
      <x:c r="C137" s="461"/>
      <x:c r="D137" s="461"/>
      <x:c r="E137" s="461"/>
      <x:c r="F137" s="461"/>
    </x:row>
    <x:row r="138">
      <x:c r="A138" s="461"/>
      <x:c r="B138" s="461"/>
      <x:c r="C138" s="461"/>
      <x:c r="D138" s="461"/>
      <x:c r="E138" s="461"/>
      <x:c r="F138" s="461"/>
    </x:row>
    <x:row r="139">
      <x:c r="A139" s="461"/>
      <x:c r="B139" s="461"/>
      <x:c r="C139" s="461"/>
      <x:c r="D139" s="461"/>
      <x:c r="E139" s="461"/>
      <x:c r="F139" s="461"/>
    </x:row>
    <x:row r="140">
      <x:c r="A140" s="461"/>
      <x:c r="B140" s="461"/>
      <x:c r="C140" s="461"/>
      <x:c r="D140" s="461"/>
      <x:c r="E140" s="461"/>
      <x:c r="F140" s="461"/>
    </x:row>
    <x:row r="141">
      <x:c r="A141" s="461"/>
      <x:c r="B141" s="461"/>
      <x:c r="C141" s="461"/>
      <x:c r="D141" s="461"/>
      <x:c r="E141" s="461"/>
      <x:c r="F141" s="461"/>
    </x:row>
    <x:row r="142">
      <x:c r="A142" s="461"/>
      <x:c r="B142" s="461"/>
      <x:c r="C142" s="461"/>
      <x:c r="D142" s="461"/>
      <x:c r="E142" s="461"/>
      <x:c r="F142" s="461"/>
    </x:row>
    <x:row r="143">
      <x:c r="A143" s="461"/>
      <x:c r="B143" s="461"/>
      <x:c r="C143" s="461"/>
      <x:c r="D143" s="461"/>
      <x:c r="E143" s="461"/>
      <x:c r="F143" s="461"/>
    </x:row>
    <x:row r="144">
      <x:c r="A144" s="461"/>
      <x:c r="B144" s="461"/>
      <x:c r="C144" s="461"/>
      <x:c r="D144" s="461"/>
      <x:c r="E144" s="461"/>
      <x:c r="F144" s="461"/>
    </x:row>
    <x:row r="145">
      <x:c r="A145" s="461"/>
      <x:c r="B145" s="461"/>
      <x:c r="C145" s="461"/>
      <x:c r="D145" s="461"/>
      <x:c r="E145" s="461"/>
      <x:c r="F145" s="461"/>
    </x:row>
    <x:row r="146">
      <x:c r="A146" s="461"/>
      <x:c r="B146" s="461"/>
      <x:c r="C146" s="461"/>
      <x:c r="D146" s="461"/>
      <x:c r="E146" s="461"/>
      <x:c r="F146" s="461"/>
    </x:row>
    <x:row r="147">
      <x:c r="A147" s="461"/>
      <x:c r="B147" s="461"/>
      <x:c r="C147" s="461"/>
      <x:c r="D147" s="461"/>
      <x:c r="E147" s="461"/>
      <x:c r="F147" s="461"/>
    </x:row>
    <x:row r="148">
      <x:c r="A148" s="461"/>
      <x:c r="B148" s="461"/>
      <x:c r="C148" s="461"/>
      <x:c r="D148" s="461"/>
      <x:c r="E148" s="461"/>
      <x:c r="F148" s="461"/>
    </x:row>
    <x:row r="149">
      <x:c r="A149" s="461"/>
      <x:c r="B149" s="461"/>
      <x:c r="C149" s="461"/>
      <x:c r="D149" s="461"/>
      <x:c r="E149" s="461"/>
      <x:c r="F149" s="461"/>
    </x:row>
    <x:row r="150">
      <x:c r="A150" s="461"/>
      <x:c r="B150" s="461"/>
      <x:c r="C150" s="461"/>
      <x:c r="D150" s="461"/>
      <x:c r="E150" s="461"/>
      <x:c r="F150" s="461"/>
    </x:row>
    <x:row r="151">
      <x:c r="A151" s="461"/>
      <x:c r="B151" s="461"/>
      <x:c r="C151" s="461"/>
      <x:c r="D151" s="461"/>
      <x:c r="E151" s="461"/>
      <x:c r="F151" s="461"/>
    </x:row>
    <x:row r="152">
      <x:c r="A152" s="461"/>
      <x:c r="B152" s="461"/>
      <x:c r="C152" s="461"/>
      <x:c r="D152" s="461"/>
      <x:c r="E152" s="461"/>
      <x:c r="F152" s="461"/>
    </x:row>
    <x:row r="153">
      <x:c r="A153" s="461"/>
      <x:c r="B153" s="461"/>
      <x:c r="C153" s="461"/>
      <x:c r="D153" s="461"/>
      <x:c r="E153" s="461"/>
      <x:c r="F153" s="461"/>
    </x:row>
    <x:row r="154">
      <x:c r="A154" s="461"/>
      <x:c r="B154" s="461"/>
      <x:c r="C154" s="461"/>
      <x:c r="D154" s="461"/>
      <x:c r="E154" s="461"/>
      <x:c r="F154" s="461"/>
    </x:row>
    <x:row r="155">
      <x:c r="A155" s="461"/>
      <x:c r="B155" s="461"/>
      <x:c r="C155" s="461"/>
      <x:c r="D155" s="461"/>
      <x:c r="E155" s="461"/>
      <x:c r="F155" s="461"/>
    </x:row>
    <x:row r="156">
      <x:c r="A156" s="461"/>
      <x:c r="B156" s="461"/>
      <x:c r="C156" s="461"/>
      <x:c r="D156" s="461"/>
      <x:c r="E156" s="461"/>
      <x:c r="F156" s="461"/>
    </x:row>
    <x:row r="157">
      <x:c r="A157" s="461"/>
      <x:c r="B157" s="461"/>
      <x:c r="C157" s="461"/>
      <x:c r="D157" s="461"/>
      <x:c r="E157" s="461"/>
      <x:c r="F157" s="461"/>
    </x:row>
    <x:row r="158">
      <x:c r="A158" s="461"/>
      <x:c r="B158" s="461"/>
      <x:c r="C158" s="461"/>
      <x:c r="D158" s="461"/>
      <x:c r="E158" s="461"/>
      <x:c r="F158" s="461"/>
    </x:row>
    <x:row r="159">
      <x:c r="A159" s="461"/>
      <x:c r="B159" s="461"/>
      <x:c r="C159" s="461"/>
      <x:c r="D159" s="461"/>
      <x:c r="E159" s="461"/>
      <x:c r="F159" s="461"/>
    </x:row>
    <x:row r="160">
      <x:c r="A160" s="461"/>
      <x:c r="B160" s="461"/>
      <x:c r="C160" s="461"/>
      <x:c r="D160" s="461"/>
      <x:c r="E160" s="461"/>
      <x:c r="F160" s="461"/>
    </x:row>
  </x:sheetData>
  <x:mergeCells>
    <x:mergeCell ref="A3:F3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8" hidden="0" customWidth="1"/>
    <x:col min="4" max="4" width="18" hidden="0" customWidth="1"/>
  </x:cols>
  <x:sheetData>
    <x:row r="1">
      <x:c r="A1" s="464" t="str">
        <x:v>🧪 Travel OS QA Checklist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Run this after each GitHub/Cloudflare deployment.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Area</x:v>
      </x:c>
      <x:c r="B5" s="468" t="str">
        <x:v>Test</x:v>
      </x:c>
      <x:c r="C5" s="468" t="str">
        <x:v>Expected Result</x:v>
      </x:c>
      <x:c r="D5" s="468" t="str">
        <x:v>Status</x:v>
      </x:c>
    </x:row>
    <x:row r="6">
      <x:c r="A6" s="469" t="str">
        <x:v>Install</x:v>
      </x:c>
      <x:c r="B6" s="469" t="str">
        <x:v>Open in Safari and Add to Home Screen</x:v>
      </x:c>
      <x:c r="C6" s="469" t="str">
        <x:v>Launches standalone with icon</x:v>
      </x:c>
      <x:c r="D6" s="469" t="str">
        <x:v>To test</x:v>
      </x:c>
    </x:row>
    <x:row r="7">
      <x:c r="A7" s="469" t="str">
        <x:v>Offline</x:v>
      </x:c>
      <x:c r="B7" s="469" t="str">
        <x:v>Open app, airplane mode, relaunch</x:v>
      </x:c>
      <x:c r="C7" s="469" t="str">
        <x:v>Itinerary/SOS/Lost/Phrases still visible</x:v>
      </x:c>
      <x:c r="D7" s="469" t="str">
        <x:v>To test</x:v>
      </x:c>
    </x:row>
    <x:row r="8">
      <x:c r="A8" s="469" t="str">
        <x:v>Cloudflare API</x:v>
      </x:c>
      <x:c r="B8" s="469" t="str">
        <x:v>Open /api?action=core</x:v>
      </x:c>
      <x:c r="C8" s="469" t="str">
        <x:v>Returns JSON ok:true</x:v>
      </x:c>
      <x:c r="D8" s="469" t="str">
        <x:v>To test</x:v>
      </x:c>
    </x:row>
    <x:row r="9">
      <x:c r="A9" s="469" t="str">
        <x:v>Weather</x:v>
      </x:c>
      <x:c r="B9" s="469" t="str">
        <x:v>Dates outside forecast window</x:v>
      </x:c>
      <x:c r="C9" s="469" t="str">
        <x:v>Shows exact forecast unavailable message</x:v>
      </x:c>
      <x:c r="D9" s="469" t="str">
        <x:v>To test</x:v>
      </x:c>
    </x:row>
    <x:row r="10">
      <x:c r="A10" s="469" t="str">
        <x:v>Search</x:v>
      </x:c>
      <x:c r="B10" s="469" t="str">
        <x:v>Search ramen/bathroom/suica/hotel</x:v>
      </x:c>
      <x:c r="C10" s="469" t="str">
        <x:v>Relevant results appear</x:v>
      </x:c>
      <x:c r="D10" s="469" t="str">
        <x:v>To test</x:v>
      </x:c>
    </x:row>
    <x:row r="11">
      <x:c r="A11" s="469" t="str">
        <x:v>Swipe</x:v>
      </x:c>
      <x:c r="B11" s="469" t="str">
        <x:v>Swipe between primary tabs</x:v>
      </x:c>
      <x:c r="C11" s="469" t="str">
        <x:v>Moves one tab left/right</x:v>
      </x:c>
      <x:c r="D11" s="469" t="str">
        <x:v>To test</x:v>
      </x:c>
    </x:row>
    <x:row r="12">
      <x:c r="A12" s="469" t="str">
        <x:v>Hilda Mode</x:v>
      </x:c>
      <x:c r="B12" s="469" t="str">
        <x:v>Open Hilda tab</x:v>
      </x:c>
      <x:c r="C12" s="469" t="str">
        <x:v>Large simple plan + help actions</x:v>
      </x:c>
      <x:c r="D12" s="469" t="str">
        <x:v>To test</x:v>
      </x:c>
    </x:row>
    <x:row r="13">
      <x:c r="A13" s="469" t="str">
        <x:v>Suica</x:v>
      </x:c>
      <x:c r="B13" s="469" t="str">
        <x:v>Open Suica hub</x:v>
      </x:c>
      <x:c r="C13" s="469" t="str">
        <x:v>Apple Wallet Suica is default</x:v>
      </x:c>
      <x:c r="D13" s="469" t="str">
        <x:v>To test</x:v>
      </x:c>
    </x:row>
    <x:row r="14">
      <x:c r="A14" s="469" t="str">
        <x:v>Cache reset</x:v>
      </x:c>
      <x:c r="B14" s="469" t="str">
        <x:v>Open ?reset=1</x:v>
      </x:c>
      <x:c r="C14" s="469" t="str">
        <x:v>Clears stale data and reloads</x:v>
      </x:c>
      <x:c r="D14" s="469" t="str">
        <x:v>To test</x:v>
      </x:c>
    </x:row>
    <x:row r="15">
      <x:c r="A15" s="469" t="str">
        <x:v>Mobile layout</x:v>
      </x:c>
      <x:c r="B15" s="469" t="str">
        <x:v>Test iPhone width</x:v>
      </x:c>
      <x:c r="C15" s="469" t="str">
        <x:v>No clipping or impossible taps</x:v>
      </x:c>
      <x:c r="D15" s="469" t="str">
        <x:v>To test</x:v>
      </x:c>
    </x:row>
    <x:row r="16">
      <x:c r="A16" s="461"/>
      <x:c r="B16" s="461"/>
      <x:c r="C16" s="461"/>
      <x:c r="D16" s="461"/>
    </x:row>
    <x:row r="17">
      <x:c r="A17" s="461"/>
      <x:c r="B17" s="461"/>
      <x:c r="C17" s="461"/>
      <x:c r="D17" s="461"/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52" hidden="0" customWidth="1"/>
  </x:cols>
  <x:sheetData>
    <x:row r="1">
      <x:c r="A1" s="464" t="str">
        <x:v>🧱 Code Refactor Roadmap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Refactor roadmap so future changes do not become fragile.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Module</x:v>
      </x:c>
      <x:c r="B5" s="468" t="str">
        <x:v>Responsibility</x:v>
      </x:c>
      <x:c r="C5" s="468" t="str">
        <x:v>Current Status</x:v>
      </x:c>
      <x:c r="D5" s="468" t="str">
        <x:v>Future Work</x:v>
      </x:c>
    </x:row>
    <x:row r="6">
      <x:c r="A6" s="469" t="str">
        <x:v>Data Layer</x:v>
      </x:c>
      <x:c r="B6" s="469" t="str">
        <x:v>API fetch, cache, errors</x:v>
      </x:c>
      <x:c r="C6" s="469" t="str">
        <x:v>Single app.js</x:v>
      </x:c>
      <x:c r="D6" s="469" t="str">
        <x:v>Split into api/cache modules in native or larger web build</x:v>
      </x:c>
    </x:row>
    <x:row r="7">
      <x:c r="A7" s="469" t="str">
        <x:v>UI Components</x:v>
      </x:c>
      <x:c r="B7" s="469" t="str">
        <x:v>Cards, buttons, nav, timelines</x:v>
      </x:c>
      <x:c r="C7" s="469" t="str">
        <x:v>Reusable functions</x:v>
      </x:c>
      <x:c r="D7" s="469" t="str">
        <x:v>Formal component library if rebuilt</x:v>
      </x:c>
    </x:row>
    <x:row r="8">
      <x:c r="A8" s="469" t="str">
        <x:v>Search</x:v>
      </x:c>
      <x:c r="B8" s="469" t="str">
        <x:v>Spotlight scoring</x:v>
      </x:c>
      <x:c r="C8" s="469" t="str">
        <x:v>Basic scoring</x:v>
      </x:c>
      <x:c r="D8" s="469" t="str">
        <x:v>Synonyms, tags, weighted fields</x:v>
      </x:c>
    </x:row>
    <x:row r="9">
      <x:c r="A9" s="469" t="str">
        <x:v>Offline</x:v>
      </x:c>
      <x:c r="B9" s="469" t="str">
        <x:v>Service worker + localStorage</x:v>
      </x:c>
      <x:c r="C9" s="469" t="str">
        <x:v>Works for core</x:v>
      </x:c>
      <x:c r="D9" s="469" t="str">
        <x:v>IndexedDB if data grows</x:v>
      </x:c>
    </x:row>
    <x:row r="10">
      <x:c r="A10" s="469" t="str">
        <x:v>Family</x:v>
      </x:c>
      <x:c r="B10" s="469" t="str">
        <x:v>Companion modes/status</x:v>
      </x:c>
      <x:c r="C10" s="469" t="str">
        <x:v>Local/manual</x:v>
      </x:c>
      <x:c r="D10" s="469" t="str">
        <x:v>Optional shared sync later</x:v>
      </x:c>
    </x:row>
    <x:row r="11">
      <x:c r="A11" s="469" t="str">
        <x:v>Journal</x:v>
      </x:c>
      <x:c r="B11" s="469" t="str">
        <x:v>Memory book foundation</x:v>
      </x:c>
      <x:c r="C11" s="469" t="str">
        <x:v>Planned/local</x:v>
      </x:c>
      <x:c r="D11" s="469" t="str">
        <x:v>Photo upload/export later</x:v>
      </x:c>
    </x:row>
    <x:row r="12">
      <x:c r="A12" s="469" t="str">
        <x:v>Admin</x:v>
      </x:c>
      <x:c r="B12" s="469" t="str">
        <x:v>Editing forms</x:v>
      </x:c>
      <x:c r="C12" s="469" t="str">
        <x:v>Roadmap only</x:v>
      </x:c>
      <x:c r="D12" s="469" t="str">
        <x:v>Cloudflare function POST to Apps Script later</x:v>
      </x:c>
    </x:row>
    <x:row r="13">
      <x:c r="A13" s="469" t="str">
        <x:v>Native</x:v>
      </x:c>
      <x:c r="B13" s="469" t="str">
        <x:v>Expo/SwiftUI</x:v>
      </x:c>
      <x:c r="C13" s="469" t="str">
        <x:v>Not started</x:v>
      </x:c>
      <x:c r="D13" s="469" t="str">
        <x:v>Rebuild only after PWA stabilizes</x:v>
      </x:c>
    </x:row>
    <x:row r="14">
      <x:c r="A14" s="461"/>
      <x:c r="B14" s="461"/>
      <x:c r="C14" s="461"/>
      <x:c r="D14" s="461"/>
    </x:row>
    <x:row r="15">
      <x:c r="A15" s="461"/>
      <x:c r="B15" s="461"/>
      <x:c r="C15" s="461"/>
      <x:c r="D15" s="461"/>
    </x:row>
    <x:row r="16">
      <x:c r="A16" s="461"/>
      <x:c r="B16" s="461"/>
      <x:c r="C16" s="461"/>
      <x:c r="D16" s="461"/>
    </x:row>
    <x:row r="17">
      <x:c r="A17" s="461"/>
      <x:c r="B17" s="461"/>
      <x:c r="C17" s="461"/>
      <x:c r="D17" s="461"/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14" hidden="0" customWidth="1"/>
    <x:col min="5" max="5" width="44" hidden="0" customWidth="1"/>
  </x:cols>
  <x:sheetData>
    <x:row r="1">
      <x:c r="A1" s="476" t="str">
        <x:v>📱 PWA-Only Roadmap</x:v>
      </x:c>
      <x:c r="B1" s="476"/>
      <x:c r="C1" s="476"/>
      <x:c r="D1" s="476"/>
      <x:c r="E1" s="476"/>
    </x:row>
    <x:row r="2">
      <x:c r="A2" s="476"/>
      <x:c r="B2" s="476"/>
      <x:c r="C2" s="476"/>
      <x:c r="D2" s="476"/>
      <x:c r="E2" s="476"/>
    </x:row>
    <x:row r="3">
      <x:c r="A3" s="477" t="str">
        <x:v>Phase 10/native app is intentionally postponed. The active roadmap focuses on making the existing Cloudflare PWA excellent.</x:v>
      </x:c>
      <x:c r="B3" s="477"/>
      <x:c r="C3" s="477"/>
      <x:c r="D3" s="477"/>
      <x:c r="E3" s="477"/>
    </x:row>
    <x:row r="4">
      <x:c r="A4" s="473"/>
      <x:c r="B4" s="473"/>
      <x:c r="C4" s="473"/>
      <x:c r="D4" s="473"/>
      <x:c r="E4" s="473"/>
    </x:row>
    <x:row r="5">
      <x:c r="A5" s="480" t="str">
        <x:v>Phase</x:v>
      </x:c>
      <x:c r="B5" s="480" t="str">
        <x:v>Focus</x:v>
      </x:c>
      <x:c r="C5" s="480" t="str">
        <x:v>What To Build</x:v>
      </x:c>
      <x:c r="D5" s="480" t="str">
        <x:v>Priority</x:v>
      </x:c>
      <x:c r="E5" s="480" t="str">
        <x:v>Notes</x:v>
      </x:c>
    </x:row>
    <x:row r="6">
      <x:c r="A6" s="481" t="str">
        <x:v>PWA Polish</x:v>
      </x:c>
      <x:c r="B6" s="481" t="str">
        <x:v>Native-feeling PWA</x:v>
      </x:c>
      <x:c r="C6" s="481" t="str">
        <x:v>Install prompt, splash, smoother transitions, better spacing, design tokens</x:v>
      </x:c>
      <x:c r="D6" s="481" t="str">
        <x:v>High</x:v>
      </x:c>
      <x:c r="E6" s="481" t="str">
        <x:v>Current focus</x:v>
      </x:c>
    </x:row>
    <x:row r="7">
      <x:c r="A7" s="481" t="str">
        <x:v>Design System</x:v>
      </x:c>
      <x:c r="B7" s="481" t="str">
        <x:v>Consistency</x:v>
      </x:c>
      <x:c r="C7" s="481" t="str">
        <x:v>Typography scale, buttons, cards, colors, icons, motion rules</x:v>
      </x:c>
      <x:c r="D7" s="481" t="str">
        <x:v>High</x:v>
      </x:c>
      <x:c r="E7" s="481" t="str">
        <x:v>Use before adding more UI</x:v>
      </x:c>
    </x:row>
    <x:row r="8">
      <x:c r="A8" s="481" t="str">
        <x:v>Offline Mode</x:v>
      </x:c>
      <x:c r="B8" s="481" t="str">
        <x:v>Reliability</x:v>
      </x:c>
      <x:c r="C8" s="481" t="str">
        <x:v>Cache essential itinerary, hotels, SOS, Lost, Suica, phrases, reservations</x:v>
      </x:c>
      <x:c r="D8" s="481" t="str">
        <x:v>High</x:v>
      </x:c>
      <x:c r="E8" s="481" t="str">
        <x:v>Important for Japan travel</x:v>
      </x:c>
    </x:row>
    <x:row r="9">
      <x:c r="A9" s="481" t="str">
        <x:v>Smart Companion</x:v>
      </x:c>
      <x:c r="B9" s="481" t="str">
        <x:v>Context intelligence</x:v>
      </x:c>
      <x:c r="C9" s="481" t="str">
        <x:v>Daily Brief, Confidence Mode, Smart Suggestions, Evening Mode</x:v>
      </x:c>
      <x:c r="D9" s="481" t="str">
        <x:v>High</x:v>
      </x:c>
      <x:c r="E9" s="481" t="str">
        <x:v>Already started; keep improving</x:v>
      </x:c>
    </x:row>
    <x:row r="10">
      <x:c r="A10" s="481" t="str">
        <x:v>Search</x:v>
      </x:c>
      <x:c r="B10" s="481" t="str">
        <x:v>Spotlight-style search</x:v>
      </x:c>
      <x:c r="C10" s="481" t="str">
        <x:v>Synonyms, weighted results, category filters</x:v>
      </x:c>
      <x:c r="D10" s="481" t="str">
        <x:v>Medium</x:v>
      </x:c>
      <x:c r="E10" s="481" t="str">
        <x:v>PWA-friendly</x:v>
      </x:c>
    </x:row>
    <x:row r="11">
      <x:c r="A11" s="481" t="str">
        <x:v>Memory Book</x:v>
      </x:c>
      <x:c r="B11" s="481" t="str">
        <x:v>Post-trip keepsake</x:v>
      </x:c>
      <x:c r="C11" s="481" t="str">
        <x:v>Journal, favorite meals, trip stats, PDF export later</x:v>
      </x:c>
      <x:c r="D11" s="481" t="str">
        <x:v>Medium</x:v>
      </x:c>
      <x:c r="E11" s="481" t="str">
        <x:v>No native app required</x:v>
      </x:c>
    </x:row>
    <x:row r="12">
      <x:c r="A12" s="481" t="str">
        <x:v>Admin CMS</x:v>
      </x:c>
      <x:c r="B12" s="481" t="str">
        <x:v>Easier editing</x:v>
      </x:c>
      <x:c r="C12" s="481" t="str">
        <x:v>Simple forms that write to Google Sheets via Apps Script</x:v>
      </x:c>
      <x:c r="D12" s="481" t="str">
        <x:v>Medium</x:v>
      </x:c>
      <x:c r="E12" s="481" t="str">
        <x:v>Future PWA feature</x:v>
      </x:c>
    </x:row>
    <x:row r="13">
      <x:c r="A13" s="481" t="str">
        <x:v>Native App</x:v>
      </x:c>
      <x:c r="B13" s="481" t="str">
        <x:v>Postponed</x:v>
      </x:c>
      <x:c r="C13" s="481" t="str">
        <x:v>Do not build Expo/SwiftUI yet</x:v>
      </x:c>
      <x:c r="D13" s="481" t="str">
        <x:v>Later</x:v>
      </x:c>
      <x:c r="E13" s="481" t="str">
        <x:v>Only revisit after Japan 2026 if needed</x:v>
      </x:c>
    </x:row>
    <x:row r="14">
      <x:c r="A14" s="473"/>
      <x:c r="B14" s="473"/>
      <x:c r="C14" s="473"/>
      <x:c r="D14" s="473"/>
      <x:c r="E14" s="473"/>
    </x:row>
    <x:row r="15">
      <x:c r="A15" s="473"/>
      <x:c r="B15" s="473"/>
      <x:c r="C15" s="473"/>
      <x:c r="D15" s="473"/>
      <x:c r="E15" s="473"/>
    </x:row>
    <x:row r="16">
      <x:c r="A16" s="473"/>
      <x:c r="B16" s="473"/>
      <x:c r="C16" s="473"/>
      <x:c r="D16" s="473"/>
      <x:c r="E16" s="473"/>
    </x:row>
    <x:row r="17">
      <x:c r="A17" s="473"/>
      <x:c r="B17" s="473"/>
      <x:c r="C17" s="473"/>
      <x:c r="D17" s="473"/>
      <x:c r="E17" s="473"/>
    </x:row>
    <x:row r="18">
      <x:c r="A18" s="473"/>
      <x:c r="B18" s="473"/>
      <x:c r="C18" s="473"/>
      <x:c r="D18" s="473"/>
      <x:c r="E18" s="473"/>
    </x:row>
    <x:row r="19">
      <x:c r="A19" s="473"/>
      <x:c r="B19" s="473"/>
      <x:c r="C19" s="473"/>
      <x:c r="D19" s="473"/>
      <x:c r="E19" s="473"/>
    </x:row>
    <x:row r="20">
      <x:c r="A20" s="473"/>
      <x:c r="B20" s="473"/>
      <x:c r="C20" s="473"/>
      <x:c r="D20" s="473"/>
      <x:c r="E20" s="473"/>
    </x:row>
    <x:row r="21">
      <x:c r="A21" s="473"/>
      <x:c r="B21" s="473"/>
      <x:c r="C21" s="473"/>
      <x:c r="D21" s="473"/>
      <x:c r="E21" s="473"/>
    </x:row>
    <x:row r="22">
      <x:c r="A22" s="473"/>
      <x:c r="B22" s="473"/>
      <x:c r="C22" s="473"/>
      <x:c r="D22" s="473"/>
      <x:c r="E22" s="473"/>
    </x:row>
    <x:row r="23">
      <x:c r="A23" s="473"/>
      <x:c r="B23" s="473"/>
      <x:c r="C23" s="473"/>
      <x:c r="D23" s="473"/>
      <x:c r="E23" s="473"/>
    </x:row>
    <x:row r="24">
      <x:c r="A24" s="473"/>
      <x:c r="B24" s="473"/>
      <x:c r="C24" s="473"/>
      <x:c r="D24" s="473"/>
      <x:c r="E24" s="473"/>
    </x:row>
    <x:row r="25">
      <x:c r="A25" s="473"/>
      <x:c r="B25" s="473"/>
      <x:c r="C25" s="473"/>
      <x:c r="D25" s="473"/>
      <x:c r="E25" s="473"/>
    </x:row>
    <x:row r="26">
      <x:c r="A26" s="473"/>
      <x:c r="B26" s="473"/>
      <x:c r="C26" s="473"/>
      <x:c r="D26" s="473"/>
      <x:c r="E26" s="473"/>
    </x:row>
    <x:row r="27">
      <x:c r="A27" s="473"/>
      <x:c r="B27" s="473"/>
      <x:c r="C27" s="473"/>
      <x:c r="D27" s="473"/>
      <x:c r="E27" s="473"/>
    </x:row>
    <x:row r="28">
      <x:c r="A28" s="473"/>
      <x:c r="B28" s="473"/>
      <x:c r="C28" s="473"/>
      <x:c r="D28" s="473"/>
      <x:c r="E28" s="473"/>
    </x:row>
    <x:row r="29">
      <x:c r="A29" s="473"/>
      <x:c r="B29" s="473"/>
      <x:c r="C29" s="473"/>
      <x:c r="D29" s="473"/>
      <x:c r="E29" s="473"/>
    </x:row>
    <x:row r="30">
      <x:c r="A30" s="473"/>
      <x:c r="B30" s="473"/>
      <x:c r="C30" s="473"/>
      <x:c r="D30" s="473"/>
      <x:c r="E30" s="473"/>
    </x:row>
    <x:row r="31">
      <x:c r="A31" s="473"/>
      <x:c r="B31" s="473"/>
      <x:c r="C31" s="473"/>
      <x:c r="D31" s="473"/>
      <x:c r="E31" s="473"/>
    </x:row>
    <x:row r="32">
      <x:c r="A32" s="473"/>
      <x:c r="B32" s="473"/>
      <x:c r="C32" s="473"/>
      <x:c r="D32" s="473"/>
      <x:c r="E32" s="473"/>
    </x:row>
    <x:row r="33">
      <x:c r="A33" s="473"/>
      <x:c r="B33" s="473"/>
      <x:c r="C33" s="473"/>
      <x:c r="D33" s="473"/>
      <x:c r="E33" s="473"/>
    </x:row>
    <x:row r="34">
      <x:c r="A34" s="473"/>
      <x:c r="B34" s="473"/>
      <x:c r="C34" s="473"/>
      <x:c r="D34" s="473"/>
      <x:c r="E34" s="473"/>
    </x:row>
    <x:row r="35">
      <x:c r="A35" s="473"/>
      <x:c r="B35" s="473"/>
      <x:c r="C35" s="473"/>
      <x:c r="D35" s="473"/>
      <x:c r="E35" s="473"/>
    </x:row>
    <x:row r="36">
      <x:c r="A36" s="473"/>
      <x:c r="B36" s="473"/>
      <x:c r="C36" s="473"/>
      <x:c r="D36" s="473"/>
      <x:c r="E36" s="473"/>
    </x:row>
    <x:row r="37">
      <x:c r="A37" s="473"/>
      <x:c r="B37" s="473"/>
      <x:c r="C37" s="473"/>
      <x:c r="D37" s="473"/>
      <x:c r="E37" s="473"/>
    </x:row>
    <x:row r="38">
      <x:c r="A38" s="473"/>
      <x:c r="B38" s="473"/>
      <x:c r="C38" s="473"/>
      <x:c r="D38" s="473"/>
      <x:c r="E38" s="473"/>
    </x:row>
    <x:row r="39">
      <x:c r="A39" s="473"/>
      <x:c r="B39" s="473"/>
      <x:c r="C39" s="473"/>
      <x:c r="D39" s="473"/>
      <x:c r="E39" s="473"/>
    </x:row>
    <x:row r="40">
      <x:c r="A40" s="473"/>
      <x:c r="B40" s="473"/>
      <x:c r="C40" s="473"/>
      <x:c r="D40" s="473"/>
      <x:c r="E40" s="473"/>
    </x:row>
    <x:row r="41">
      <x:c r="A41" s="473"/>
      <x:c r="B41" s="473"/>
      <x:c r="C41" s="473"/>
      <x:c r="D41" s="473"/>
      <x:c r="E41" s="473"/>
    </x:row>
    <x:row r="42">
      <x:c r="A42" s="473"/>
      <x:c r="B42" s="473"/>
      <x:c r="C42" s="473"/>
      <x:c r="D42" s="473"/>
      <x:c r="E42" s="473"/>
    </x:row>
    <x:row r="43">
      <x:c r="A43" s="473"/>
      <x:c r="B43" s="473"/>
      <x:c r="C43" s="473"/>
      <x:c r="D43" s="473"/>
      <x:c r="E43" s="473"/>
    </x:row>
    <x:row r="44">
      <x:c r="A44" s="473"/>
      <x:c r="B44" s="473"/>
      <x:c r="C44" s="473"/>
      <x:c r="D44" s="473"/>
      <x:c r="E44" s="473"/>
    </x:row>
    <x:row r="45">
      <x:c r="A45" s="473"/>
      <x:c r="B45" s="473"/>
      <x:c r="C45" s="473"/>
      <x:c r="D45" s="473"/>
      <x:c r="E45" s="473"/>
    </x:row>
    <x:row r="46">
      <x:c r="A46" s="473"/>
      <x:c r="B46" s="473"/>
      <x:c r="C46" s="473"/>
      <x:c r="D46" s="473"/>
      <x:c r="E46" s="473"/>
    </x:row>
    <x:row r="47">
      <x:c r="A47" s="473"/>
      <x:c r="B47" s="473"/>
      <x:c r="C47" s="473"/>
      <x:c r="D47" s="473"/>
      <x:c r="E47" s="473"/>
    </x:row>
    <x:row r="48">
      <x:c r="A48" s="473"/>
      <x:c r="B48" s="473"/>
      <x:c r="C48" s="473"/>
      <x:c r="D48" s="473"/>
      <x:c r="E48" s="473"/>
    </x:row>
    <x:row r="49">
      <x:c r="A49" s="473"/>
      <x:c r="B49" s="473"/>
      <x:c r="C49" s="473"/>
      <x:c r="D49" s="473"/>
      <x:c r="E49" s="473"/>
    </x:row>
    <x:row r="50">
      <x:c r="A50" s="473"/>
      <x:c r="B50" s="473"/>
      <x:c r="C50" s="473"/>
      <x:c r="D50" s="473"/>
      <x:c r="E50" s="473"/>
    </x:row>
    <x:row r="51">
      <x:c r="A51" s="473"/>
      <x:c r="B51" s="473"/>
      <x:c r="C51" s="473"/>
      <x:c r="D51" s="473"/>
      <x:c r="E51" s="473"/>
    </x:row>
    <x:row r="52">
      <x:c r="A52" s="473"/>
      <x:c r="B52" s="473"/>
      <x:c r="C52" s="473"/>
      <x:c r="D52" s="473"/>
      <x:c r="E52" s="473"/>
    </x:row>
    <x:row r="53">
      <x:c r="A53" s="473"/>
      <x:c r="B53" s="473"/>
      <x:c r="C53" s="473"/>
      <x:c r="D53" s="473"/>
      <x:c r="E53" s="473"/>
    </x:row>
    <x:row r="54">
      <x:c r="A54" s="473"/>
      <x:c r="B54" s="473"/>
      <x:c r="C54" s="473"/>
      <x:c r="D54" s="473"/>
      <x:c r="E54" s="473"/>
    </x:row>
    <x:row r="55">
      <x:c r="A55" s="473"/>
      <x:c r="B55" s="473"/>
      <x:c r="C55" s="473"/>
      <x:c r="D55" s="473"/>
      <x:c r="E55" s="473"/>
    </x:row>
    <x:row r="56">
      <x:c r="A56" s="473"/>
      <x:c r="B56" s="473"/>
      <x:c r="C56" s="473"/>
      <x:c r="D56" s="473"/>
      <x:c r="E56" s="473"/>
    </x:row>
    <x:row r="57">
      <x:c r="A57" s="473"/>
      <x:c r="B57" s="473"/>
      <x:c r="C57" s="473"/>
      <x:c r="D57" s="473"/>
      <x:c r="E57" s="473"/>
    </x:row>
    <x:row r="58">
      <x:c r="A58" s="473"/>
      <x:c r="B58" s="473"/>
      <x:c r="C58" s="473"/>
      <x:c r="D58" s="473"/>
      <x:c r="E58" s="473"/>
    </x:row>
    <x:row r="59">
      <x:c r="A59" s="473"/>
      <x:c r="B59" s="473"/>
      <x:c r="C59" s="473"/>
      <x:c r="D59" s="473"/>
      <x:c r="E59" s="473"/>
    </x:row>
    <x:row r="60">
      <x:c r="A60" s="473"/>
      <x:c r="B60" s="473"/>
      <x:c r="C60" s="473"/>
      <x:c r="D60" s="473"/>
      <x:c r="E60" s="473"/>
    </x:row>
    <x:row r="61">
      <x:c r="A61" s="473"/>
      <x:c r="B61" s="473"/>
      <x:c r="C61" s="473"/>
      <x:c r="D61" s="473"/>
      <x:c r="E61" s="473"/>
    </x:row>
    <x:row r="62">
      <x:c r="A62" s="473"/>
      <x:c r="B62" s="473"/>
      <x:c r="C62" s="473"/>
      <x:c r="D62" s="473"/>
      <x:c r="E62" s="473"/>
    </x:row>
    <x:row r="63">
      <x:c r="A63" s="473"/>
      <x:c r="B63" s="473"/>
      <x:c r="C63" s="473"/>
      <x:c r="D63" s="473"/>
      <x:c r="E63" s="473"/>
    </x:row>
    <x:row r="64">
      <x:c r="A64" s="473"/>
      <x:c r="B64" s="473"/>
      <x:c r="C64" s="473"/>
      <x:c r="D64" s="473"/>
      <x:c r="E64" s="473"/>
    </x:row>
    <x:row r="65">
      <x:c r="A65" s="473"/>
      <x:c r="B65" s="473"/>
      <x:c r="C65" s="473"/>
      <x:c r="D65" s="473"/>
      <x:c r="E65" s="473"/>
    </x:row>
    <x:row r="66">
      <x:c r="A66" s="473"/>
      <x:c r="B66" s="473"/>
      <x:c r="C66" s="473"/>
      <x:c r="D66" s="473"/>
      <x:c r="E66" s="473"/>
    </x:row>
    <x:row r="67">
      <x:c r="A67" s="473"/>
      <x:c r="B67" s="473"/>
      <x:c r="C67" s="473"/>
      <x:c r="D67" s="473"/>
      <x:c r="E67" s="473"/>
    </x:row>
    <x:row r="68">
      <x:c r="A68" s="473"/>
      <x:c r="B68" s="473"/>
      <x:c r="C68" s="473"/>
      <x:c r="D68" s="473"/>
      <x:c r="E68" s="473"/>
    </x:row>
    <x:row r="69">
      <x:c r="A69" s="473"/>
      <x:c r="B69" s="473"/>
      <x:c r="C69" s="473"/>
      <x:c r="D69" s="473"/>
      <x:c r="E69" s="473"/>
    </x:row>
    <x:row r="70">
      <x:c r="A70" s="473"/>
      <x:c r="B70" s="473"/>
      <x:c r="C70" s="473"/>
      <x:c r="D70" s="473"/>
      <x:c r="E70" s="473"/>
    </x:row>
    <x:row r="71">
      <x:c r="A71" s="473"/>
      <x:c r="B71" s="473"/>
      <x:c r="C71" s="473"/>
      <x:c r="D71" s="473"/>
      <x:c r="E71" s="473"/>
    </x:row>
    <x:row r="72">
      <x:c r="A72" s="473"/>
      <x:c r="B72" s="473"/>
      <x:c r="C72" s="473"/>
      <x:c r="D72" s="473"/>
      <x:c r="E72" s="473"/>
    </x:row>
    <x:row r="73">
      <x:c r="A73" s="473"/>
      <x:c r="B73" s="473"/>
      <x:c r="C73" s="473"/>
      <x:c r="D73" s="473"/>
      <x:c r="E73" s="473"/>
    </x:row>
    <x:row r="74">
      <x:c r="A74" s="473"/>
      <x:c r="B74" s="473"/>
      <x:c r="C74" s="473"/>
      <x:c r="D74" s="473"/>
      <x:c r="E74" s="473"/>
    </x:row>
    <x:row r="75">
      <x:c r="A75" s="473"/>
      <x:c r="B75" s="473"/>
      <x:c r="C75" s="473"/>
      <x:c r="D75" s="473"/>
      <x:c r="E75" s="473"/>
    </x:row>
    <x:row r="76">
      <x:c r="A76" s="473"/>
      <x:c r="B76" s="473"/>
      <x:c r="C76" s="473"/>
      <x:c r="D76" s="473"/>
      <x:c r="E76" s="473"/>
    </x:row>
    <x:row r="77">
      <x:c r="A77" s="473"/>
      <x:c r="B77" s="473"/>
      <x:c r="C77" s="473"/>
      <x:c r="D77" s="473"/>
      <x:c r="E77" s="473"/>
    </x:row>
    <x:row r="78">
      <x:c r="A78" s="473"/>
      <x:c r="B78" s="473"/>
      <x:c r="C78" s="473"/>
      <x:c r="D78" s="473"/>
      <x:c r="E78" s="473"/>
    </x:row>
    <x:row r="79">
      <x:c r="A79" s="473"/>
      <x:c r="B79" s="473"/>
      <x:c r="C79" s="473"/>
      <x:c r="D79" s="473"/>
      <x:c r="E79" s="473"/>
    </x:row>
    <x:row r="80">
      <x:c r="A80" s="473"/>
      <x:c r="B80" s="473"/>
      <x:c r="C80" s="473"/>
      <x:c r="D80" s="473"/>
      <x:c r="E80" s="473"/>
    </x:row>
    <x:row r="81">
      <x:c r="A81" s="473"/>
      <x:c r="B81" s="473"/>
      <x:c r="C81" s="473"/>
      <x:c r="D81" s="473"/>
      <x:c r="E81" s="473"/>
    </x:row>
    <x:row r="82">
      <x:c r="A82" s="473"/>
      <x:c r="B82" s="473"/>
      <x:c r="C82" s="473"/>
      <x:c r="D82" s="473"/>
      <x:c r="E82" s="473"/>
    </x:row>
    <x:row r="83">
      <x:c r="A83" s="473"/>
      <x:c r="B83" s="473"/>
      <x:c r="C83" s="473"/>
      <x:c r="D83" s="473"/>
      <x:c r="E83" s="473"/>
    </x:row>
    <x:row r="84">
      <x:c r="A84" s="473"/>
      <x:c r="B84" s="473"/>
      <x:c r="C84" s="473"/>
      <x:c r="D84" s="473"/>
      <x:c r="E84" s="473"/>
    </x:row>
    <x:row r="85">
      <x:c r="A85" s="473"/>
      <x:c r="B85" s="473"/>
      <x:c r="C85" s="473"/>
      <x:c r="D85" s="473"/>
      <x:c r="E85" s="473"/>
    </x:row>
    <x:row r="86">
      <x:c r="A86" s="473"/>
      <x:c r="B86" s="473"/>
      <x:c r="C86" s="473"/>
      <x:c r="D86" s="473"/>
      <x:c r="E86" s="473"/>
    </x:row>
    <x:row r="87">
      <x:c r="A87" s="473"/>
      <x:c r="B87" s="473"/>
      <x:c r="C87" s="473"/>
      <x:c r="D87" s="473"/>
      <x:c r="E87" s="473"/>
    </x:row>
    <x:row r="88">
      <x:c r="A88" s="473"/>
      <x:c r="B88" s="473"/>
      <x:c r="C88" s="473"/>
      <x:c r="D88" s="473"/>
      <x:c r="E88" s="473"/>
    </x:row>
    <x:row r="89">
      <x:c r="A89" s="473"/>
      <x:c r="B89" s="473"/>
      <x:c r="C89" s="473"/>
      <x:c r="D89" s="473"/>
      <x:c r="E89" s="473"/>
    </x:row>
    <x:row r="90">
      <x:c r="A90" s="473"/>
      <x:c r="B90" s="473"/>
      <x:c r="C90" s="473"/>
      <x:c r="D90" s="473"/>
      <x:c r="E90" s="473"/>
    </x:row>
    <x:row r="91">
      <x:c r="A91" s="473"/>
      <x:c r="B91" s="473"/>
      <x:c r="C91" s="473"/>
      <x:c r="D91" s="473"/>
      <x:c r="E91" s="473"/>
    </x:row>
    <x:row r="92">
      <x:c r="A92" s="473"/>
      <x:c r="B92" s="473"/>
      <x:c r="C92" s="473"/>
      <x:c r="D92" s="473"/>
      <x:c r="E92" s="473"/>
    </x:row>
    <x:row r="93">
      <x:c r="A93" s="473"/>
      <x:c r="B93" s="473"/>
      <x:c r="C93" s="473"/>
      <x:c r="D93" s="473"/>
      <x:c r="E93" s="473"/>
    </x:row>
    <x:row r="94">
      <x:c r="A94" s="473"/>
      <x:c r="B94" s="473"/>
      <x:c r="C94" s="473"/>
      <x:c r="D94" s="473"/>
      <x:c r="E94" s="473"/>
    </x:row>
    <x:row r="95">
      <x:c r="A95" s="473"/>
      <x:c r="B95" s="473"/>
      <x:c r="C95" s="473"/>
      <x:c r="D95" s="473"/>
      <x:c r="E95" s="473"/>
    </x:row>
    <x:row r="96">
      <x:c r="A96" s="473"/>
      <x:c r="B96" s="473"/>
      <x:c r="C96" s="473"/>
      <x:c r="D96" s="473"/>
      <x:c r="E96" s="473"/>
    </x:row>
    <x:row r="97">
      <x:c r="A97" s="473"/>
      <x:c r="B97" s="473"/>
      <x:c r="C97" s="473"/>
      <x:c r="D97" s="473"/>
      <x:c r="E97" s="473"/>
    </x:row>
    <x:row r="98">
      <x:c r="A98" s="473"/>
      <x:c r="B98" s="473"/>
      <x:c r="C98" s="473"/>
      <x:c r="D98" s="473"/>
      <x:c r="E98" s="473"/>
    </x:row>
    <x:row r="99">
      <x:c r="A99" s="473"/>
      <x:c r="B99" s="473"/>
      <x:c r="C99" s="473"/>
      <x:c r="D99" s="473"/>
      <x:c r="E99" s="473"/>
    </x:row>
    <x:row r="100">
      <x:c r="A100" s="473"/>
      <x:c r="B100" s="473"/>
      <x:c r="C100" s="473"/>
      <x:c r="D100" s="473"/>
      <x:c r="E100" s="473"/>
    </x:row>
    <x:row r="101">
      <x:c r="A101" s="473"/>
      <x:c r="B101" s="473"/>
      <x:c r="C101" s="473"/>
      <x:c r="D101" s="473"/>
      <x:c r="E101" s="473"/>
    </x:row>
    <x:row r="102">
      <x:c r="A102" s="473"/>
      <x:c r="B102" s="473"/>
      <x:c r="C102" s="473"/>
      <x:c r="D102" s="473"/>
      <x:c r="E102" s="473"/>
    </x:row>
    <x:row r="103">
      <x:c r="A103" s="473"/>
      <x:c r="B103" s="473"/>
      <x:c r="C103" s="473"/>
      <x:c r="D103" s="473"/>
      <x:c r="E103" s="473"/>
    </x:row>
    <x:row r="104">
      <x:c r="A104" s="473"/>
      <x:c r="B104" s="473"/>
      <x:c r="C104" s="473"/>
      <x:c r="D104" s="473"/>
      <x:c r="E104" s="473"/>
    </x:row>
    <x:row r="105">
      <x:c r="A105" s="473"/>
      <x:c r="B105" s="473"/>
      <x:c r="C105" s="473"/>
      <x:c r="D105" s="473"/>
      <x:c r="E105" s="473"/>
    </x:row>
    <x:row r="106">
      <x:c r="A106" s="473"/>
      <x:c r="B106" s="473"/>
      <x:c r="C106" s="473"/>
      <x:c r="D106" s="473"/>
      <x:c r="E106" s="473"/>
    </x:row>
    <x:row r="107">
      <x:c r="A107" s="473"/>
      <x:c r="B107" s="473"/>
      <x:c r="C107" s="473"/>
      <x:c r="D107" s="473"/>
      <x:c r="E107" s="473"/>
    </x:row>
    <x:row r="108">
      <x:c r="A108" s="473"/>
      <x:c r="B108" s="473"/>
      <x:c r="C108" s="473"/>
      <x:c r="D108" s="473"/>
      <x:c r="E108" s="473"/>
    </x:row>
    <x:row r="109">
      <x:c r="A109" s="473"/>
      <x:c r="B109" s="473"/>
      <x:c r="C109" s="473"/>
      <x:c r="D109" s="473"/>
      <x:c r="E109" s="473"/>
    </x:row>
    <x:row r="110">
      <x:c r="A110" s="473"/>
      <x:c r="B110" s="473"/>
      <x:c r="C110" s="473"/>
      <x:c r="D110" s="473"/>
      <x:c r="E110" s="473"/>
    </x:row>
    <x:row r="111">
      <x:c r="A111" s="473"/>
      <x:c r="B111" s="473"/>
      <x:c r="C111" s="473"/>
      <x:c r="D111" s="473"/>
      <x:c r="E111" s="473"/>
    </x:row>
    <x:row r="112">
      <x:c r="A112" s="473"/>
      <x:c r="B112" s="473"/>
      <x:c r="C112" s="473"/>
      <x:c r="D112" s="473"/>
      <x:c r="E112" s="473"/>
    </x:row>
    <x:row r="113">
      <x:c r="A113" s="473"/>
      <x:c r="B113" s="473"/>
      <x:c r="C113" s="473"/>
      <x:c r="D113" s="473"/>
      <x:c r="E113" s="473"/>
    </x:row>
    <x:row r="114">
      <x:c r="A114" s="473"/>
      <x:c r="B114" s="473"/>
      <x:c r="C114" s="473"/>
      <x:c r="D114" s="473"/>
      <x:c r="E114" s="473"/>
    </x:row>
    <x:row r="115">
      <x:c r="A115" s="473"/>
      <x:c r="B115" s="473"/>
      <x:c r="C115" s="473"/>
      <x:c r="D115" s="473"/>
      <x:c r="E115" s="473"/>
    </x:row>
    <x:row r="116">
      <x:c r="A116" s="473"/>
      <x:c r="B116" s="473"/>
      <x:c r="C116" s="473"/>
      <x:c r="D116" s="473"/>
      <x:c r="E116" s="473"/>
    </x:row>
    <x:row r="117">
      <x:c r="A117" s="473"/>
      <x:c r="B117" s="473"/>
      <x:c r="C117" s="473"/>
      <x:c r="D117" s="473"/>
      <x:c r="E117" s="473"/>
    </x:row>
    <x:row r="118">
      <x:c r="A118" s="473"/>
      <x:c r="B118" s="473"/>
      <x:c r="C118" s="473"/>
      <x:c r="D118" s="473"/>
      <x:c r="E118" s="473"/>
    </x:row>
    <x:row r="119">
      <x:c r="A119" s="473"/>
      <x:c r="B119" s="473"/>
      <x:c r="C119" s="473"/>
      <x:c r="D119" s="473"/>
      <x:c r="E119" s="473"/>
    </x:row>
    <x:row r="120">
      <x:c r="A120" s="473"/>
      <x:c r="B120" s="473"/>
      <x:c r="C120" s="473"/>
      <x:c r="D120" s="473"/>
      <x:c r="E120" s="473"/>
    </x:row>
    <x:row r="121">
      <x:c r="A121" s="473"/>
      <x:c r="B121" s="473"/>
      <x:c r="C121" s="473"/>
      <x:c r="D121" s="473"/>
      <x:c r="E121" s="473"/>
    </x:row>
    <x:row r="122">
      <x:c r="A122" s="473"/>
      <x:c r="B122" s="473"/>
      <x:c r="C122" s="473"/>
      <x:c r="D122" s="473"/>
      <x:c r="E122" s="473"/>
    </x:row>
    <x:row r="123">
      <x:c r="A123" s="473"/>
      <x:c r="B123" s="473"/>
      <x:c r="C123" s="473"/>
      <x:c r="D123" s="473"/>
      <x:c r="E123" s="473"/>
    </x:row>
    <x:row r="124">
      <x:c r="A124" s="473"/>
      <x:c r="B124" s="473"/>
      <x:c r="C124" s="473"/>
      <x:c r="D124" s="473"/>
      <x:c r="E124" s="473"/>
    </x:row>
    <x:row r="125">
      <x:c r="A125" s="473"/>
      <x:c r="B125" s="473"/>
      <x:c r="C125" s="473"/>
      <x:c r="D125" s="473"/>
      <x:c r="E125" s="473"/>
    </x:row>
    <x:row r="126">
      <x:c r="A126" s="473"/>
      <x:c r="B126" s="473"/>
      <x:c r="C126" s="473"/>
      <x:c r="D126" s="473"/>
      <x:c r="E126" s="473"/>
    </x:row>
    <x:row r="127">
      <x:c r="A127" s="473"/>
      <x:c r="B127" s="473"/>
      <x:c r="C127" s="473"/>
      <x:c r="D127" s="473"/>
      <x:c r="E127" s="473"/>
    </x:row>
    <x:row r="128">
      <x:c r="A128" s="473"/>
      <x:c r="B128" s="473"/>
      <x:c r="C128" s="473"/>
      <x:c r="D128" s="473"/>
      <x:c r="E128" s="473"/>
    </x:row>
    <x:row r="129">
      <x:c r="A129" s="473"/>
      <x:c r="B129" s="473"/>
      <x:c r="C129" s="473"/>
      <x:c r="D129" s="473"/>
      <x:c r="E129" s="473"/>
    </x:row>
    <x:row r="130">
      <x:c r="A130" s="473"/>
      <x:c r="B130" s="473"/>
      <x:c r="C130" s="473"/>
      <x:c r="D130" s="473"/>
      <x:c r="E130" s="473"/>
    </x:row>
    <x:row r="131">
      <x:c r="A131" s="473"/>
      <x:c r="B131" s="473"/>
      <x:c r="C131" s="473"/>
      <x:c r="D131" s="473"/>
      <x:c r="E131" s="473"/>
    </x:row>
    <x:row r="132">
      <x:c r="A132" s="473"/>
      <x:c r="B132" s="473"/>
      <x:c r="C132" s="473"/>
      <x:c r="D132" s="473"/>
      <x:c r="E132" s="473"/>
    </x:row>
    <x:row r="133">
      <x:c r="A133" s="473"/>
      <x:c r="B133" s="473"/>
      <x:c r="C133" s="473"/>
      <x:c r="D133" s="473"/>
      <x:c r="E133" s="473"/>
    </x:row>
    <x:row r="134">
      <x:c r="A134" s="473"/>
      <x:c r="B134" s="473"/>
      <x:c r="C134" s="473"/>
      <x:c r="D134" s="473"/>
      <x:c r="E134" s="473"/>
    </x:row>
    <x:row r="135">
      <x:c r="A135" s="473"/>
      <x:c r="B135" s="473"/>
      <x:c r="C135" s="473"/>
      <x:c r="D135" s="473"/>
      <x:c r="E135" s="473"/>
    </x:row>
    <x:row r="136">
      <x:c r="A136" s="473"/>
      <x:c r="B136" s="473"/>
      <x:c r="C136" s="473"/>
      <x:c r="D136" s="473"/>
      <x:c r="E136" s="473"/>
    </x:row>
    <x:row r="137">
      <x:c r="A137" s="473"/>
      <x:c r="B137" s="473"/>
      <x:c r="C137" s="473"/>
      <x:c r="D137" s="473"/>
      <x:c r="E137" s="473"/>
    </x:row>
    <x:row r="138">
      <x:c r="A138" s="473"/>
      <x:c r="B138" s="473"/>
      <x:c r="C138" s="473"/>
      <x:c r="D138" s="473"/>
      <x:c r="E138" s="473"/>
    </x:row>
    <x:row r="139">
      <x:c r="A139" s="473"/>
      <x:c r="B139" s="473"/>
      <x:c r="C139" s="473"/>
      <x:c r="D139" s="473"/>
      <x:c r="E139" s="473"/>
    </x:row>
    <x:row r="140">
      <x:c r="A140" s="473"/>
      <x:c r="B140" s="473"/>
      <x:c r="C140" s="473"/>
      <x:c r="D140" s="473"/>
      <x:c r="E140" s="473"/>
    </x:row>
    <x:row r="141">
      <x:c r="A141" s="473"/>
      <x:c r="B141" s="473"/>
      <x:c r="C141" s="473"/>
      <x:c r="D141" s="473"/>
      <x:c r="E141" s="473"/>
    </x:row>
    <x:row r="142">
      <x:c r="A142" s="473"/>
      <x:c r="B142" s="473"/>
      <x:c r="C142" s="473"/>
      <x:c r="D142" s="473"/>
      <x:c r="E142" s="473"/>
    </x:row>
    <x:row r="143">
      <x:c r="A143" s="473"/>
      <x:c r="B143" s="473"/>
      <x:c r="C143" s="473"/>
      <x:c r="D143" s="473"/>
      <x:c r="E143" s="473"/>
    </x:row>
    <x:row r="144">
      <x:c r="A144" s="473"/>
      <x:c r="B144" s="473"/>
      <x:c r="C144" s="473"/>
      <x:c r="D144" s="473"/>
      <x:c r="E144" s="473"/>
    </x:row>
    <x:row r="145">
      <x:c r="A145" s="473"/>
      <x:c r="B145" s="473"/>
      <x:c r="C145" s="473"/>
      <x:c r="D145" s="473"/>
      <x:c r="E145" s="473"/>
    </x:row>
    <x:row r="146">
      <x:c r="A146" s="473"/>
      <x:c r="B146" s="473"/>
      <x:c r="C146" s="473"/>
      <x:c r="D146" s="473"/>
      <x:c r="E146" s="473"/>
    </x:row>
    <x:row r="147">
      <x:c r="A147" s="473"/>
      <x:c r="B147" s="473"/>
      <x:c r="C147" s="473"/>
      <x:c r="D147" s="473"/>
      <x:c r="E147" s="473"/>
    </x:row>
    <x:row r="148">
      <x:c r="A148" s="473"/>
      <x:c r="B148" s="473"/>
      <x:c r="C148" s="473"/>
      <x:c r="D148" s="473"/>
      <x:c r="E148" s="473"/>
    </x:row>
    <x:row r="149">
      <x:c r="A149" s="473"/>
      <x:c r="B149" s="473"/>
      <x:c r="C149" s="473"/>
      <x:c r="D149" s="473"/>
      <x:c r="E149" s="473"/>
    </x:row>
    <x:row r="150">
      <x:c r="A150" s="473"/>
      <x:c r="B150" s="473"/>
      <x:c r="C150" s="473"/>
      <x:c r="D150" s="473"/>
      <x:c r="E150" s="473"/>
    </x:row>
    <x:row r="151">
      <x:c r="A151" s="473"/>
      <x:c r="B151" s="473"/>
      <x:c r="C151" s="473"/>
      <x:c r="D151" s="473"/>
      <x:c r="E151" s="473"/>
    </x:row>
    <x:row r="152">
      <x:c r="A152" s="473"/>
      <x:c r="B152" s="473"/>
      <x:c r="C152" s="473"/>
      <x:c r="D152" s="473"/>
      <x:c r="E152" s="473"/>
    </x:row>
    <x:row r="153">
      <x:c r="A153" s="473"/>
      <x:c r="B153" s="473"/>
      <x:c r="C153" s="473"/>
      <x:c r="D153" s="473"/>
      <x:c r="E153" s="473"/>
    </x:row>
    <x:row r="154">
      <x:c r="A154" s="473"/>
      <x:c r="B154" s="473"/>
      <x:c r="C154" s="473"/>
      <x:c r="D154" s="473"/>
      <x:c r="E154" s="473"/>
    </x:row>
    <x:row r="155">
      <x:c r="A155" s="473"/>
      <x:c r="B155" s="473"/>
      <x:c r="C155" s="473"/>
      <x:c r="D155" s="473"/>
      <x:c r="E155" s="473"/>
    </x:row>
    <x:row r="156">
      <x:c r="A156" s="473"/>
      <x:c r="B156" s="473"/>
      <x:c r="C156" s="473"/>
      <x:c r="D156" s="473"/>
      <x:c r="E156" s="473"/>
    </x:row>
    <x:row r="157">
      <x:c r="A157" s="473"/>
      <x:c r="B157" s="473"/>
      <x:c r="C157" s="473"/>
      <x:c r="D157" s="473"/>
      <x:c r="E157" s="473"/>
    </x:row>
    <x:row r="158">
      <x:c r="A158" s="473"/>
      <x:c r="B158" s="473"/>
      <x:c r="C158" s="473"/>
      <x:c r="D158" s="473"/>
      <x:c r="E158" s="473"/>
    </x:row>
    <x:row r="159">
      <x:c r="A159" s="473"/>
      <x:c r="B159" s="473"/>
      <x:c r="C159" s="473"/>
      <x:c r="D159" s="473"/>
      <x:c r="E159" s="473"/>
    </x:row>
    <x:row r="160">
      <x:c r="A160" s="473"/>
      <x:c r="B160" s="473"/>
      <x:c r="C160" s="473"/>
      <x:c r="D160" s="473"/>
      <x:c r="E160" s="473"/>
    </x:row>
  </x:sheetData>
  <x:mergeCells>
    <x:mergeCell ref="A3:E3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6" hidden="0" customWidth="1"/>
    <x:col min="4" max="4" width="18" hidden="0" customWidth="1"/>
    <x:col min="5" max="5" width="20" hidden="0" customWidth="1"/>
    <x:col min="6" max="6" width="16" hidden="0" customWidth="1"/>
  </x:cols>
  <x:sheetData>
    <x:row r="1">
      <x:c r="A1" s="497" t="str">
        <x:v>🚀 Travel OS 1.0 RC1 Release Checklist</x:v>
      </x:c>
      <x:c r="B1" s="497"/>
      <x:c r="C1" s="497"/>
      <x:c r="D1" s="497"/>
      <x:c r="E1" s="497"/>
      <x:c r="F1" s="497"/>
    </x:row>
    <x:row r="2">
      <x:c r="A2" s="497"/>
      <x:c r="B2" s="497"/>
      <x:c r="C2" s="497"/>
      <x:c r="D2" s="497"/>
      <x:c r="E2" s="497"/>
      <x:c r="F2" s="497"/>
    </x:row>
    <x:row r="3">
      <x:c r="A3" s="498" t="str">
        <x:v>Use this to determine whether the app is ready for family testing and later trip use.</x:v>
      </x:c>
      <x:c r="B3" s="498"/>
      <x:c r="C3" s="498"/>
      <x:c r="D3" s="498"/>
      <x:c r="E3" s="498"/>
      <x:c r="F3" s="498"/>
    </x:row>
    <x:row r="4">
      <x:c r="A4" s="494"/>
      <x:c r="B4" s="494"/>
      <x:c r="C4" s="494"/>
      <x:c r="D4" s="494"/>
      <x:c r="E4" s="494"/>
      <x:c r="F4" s="494"/>
    </x:row>
    <x:row r="5">
      <x:c r="A5" s="501" t="str">
        <x:v>Area</x:v>
      </x:c>
      <x:c r="B5" s="501" t="str">
        <x:v>Test</x:v>
      </x:c>
      <x:c r="C5" s="501" t="str">
        <x:v>Expected Result</x:v>
      </x:c>
      <x:c r="D5" s="501" t="str">
        <x:v>Status</x:v>
      </x:c>
      <x:c r="E5" s="501" t="str">
        <x:v>Owner</x:v>
      </x:c>
      <x:c r="F5" s="501" t="str">
        <x:v>Priority</x:v>
      </x:c>
    </x:row>
    <x:row r="6">
      <x:c r="A6" s="502" t="str">
        <x:v>Core API</x:v>
      </x:c>
      <x:c r="B6" s="502" t="str">
        <x:v>Open /api?action=core</x:v>
      </x:c>
      <x:c r="C6" s="502" t="str">
        <x:v>Returns ok:true JSON</x:v>
      </x:c>
      <x:c r="D6" s="502" t="str">
        <x:v>Not Started</x:v>
      </x:c>
      <x:c r="E6" s="502" t="str">
        <x:v>David</x:v>
      </x:c>
      <x:c r="F6" s="502" t="str">
        <x:v>Critical</x:v>
      </x:c>
    </x:row>
    <x:row r="7">
      <x:c r="A7" s="502" t="str">
        <x:v>Cloudflare deploy</x:v>
      </x:c>
      <x:c r="B7" s="502" t="str">
        <x:v>Commit to GitHub and wait for Pages</x:v>
      </x:c>
      <x:c r="C7" s="502" t="str">
        <x:v>Latest deployment succeeds</x:v>
      </x:c>
      <x:c r="D7" s="502" t="str">
        <x:v>Not Started</x:v>
      </x:c>
      <x:c r="E7" s="502" t="str">
        <x:v>David</x:v>
      </x:c>
      <x:c r="F7" s="502" t="str">
        <x:v>Critical</x:v>
      </x:c>
    </x:row>
    <x:row r="8">
      <x:c r="A8" s="502" t="str">
        <x:v>PWA install</x:v>
      </x:c>
      <x:c r="B8" s="502" t="str">
        <x:v>Install on iPhone via Safari Add to Home Screen</x:v>
      </x:c>
      <x:c r="C8" s="502" t="str">
        <x:v>Launches standalone with icon</x:v>
      </x:c>
      <x:c r="D8" s="502" t="str">
        <x:v>Not Started</x:v>
      </x:c>
      <x:c r="E8" s="502" t="str">
        <x:v>David</x:v>
      </x:c>
      <x:c r="F8" s="502" t="str">
        <x:v>Critical</x:v>
      </x:c>
    </x:row>
    <x:row r="9">
      <x:c r="A9" s="502" t="str">
        <x:v>Offline mode</x:v>
      </x:c>
      <x:c r="B9" s="502" t="str">
        <x:v>Load app, enable Airplane Mode, relaunch</x:v>
      </x:c>
      <x:c r="C9" s="502" t="str">
        <x:v>Today/SOS/Lost/Phrases/Suica visible</x:v>
      </x:c>
      <x:c r="D9" s="502" t="str">
        <x:v>Not Started</x:v>
      </x:c>
      <x:c r="E9" s="502" t="str">
        <x:v>David</x:v>
      </x:c>
      <x:c r="F9" s="502" t="str">
        <x:v>Critical</x:v>
      </x:c>
    </x:row>
    <x:row r="10">
      <x:c r="A10" s="502" t="str">
        <x:v>Hilda Mode</x:v>
      </x:c>
      <x:c r="B10" s="502" t="str">
        <x:v>Ask Hilda to find hotel, today, bathroom, emergency</x:v>
      </x:c>
      <x:c r="C10" s="502" t="str">
        <x:v>She can do tasks without help</x:v>
      </x:c>
      <x:c r="D10" s="502" t="str">
        <x:v>Not Started</x:v>
      </x:c>
      <x:c r="E10" s="502" t="str">
        <x:v>Hilda</x:v>
      </x:c>
      <x:c r="F10" s="502" t="str">
        <x:v>Critical</x:v>
      </x:c>
    </x:row>
    <x:row r="11">
      <x:c r="A11" s="502" t="str">
        <x:v>Nick Mode</x:v>
      </x:c>
      <x:c r="B11" s="502" t="str">
        <x:v>Ask Nick to find food, shopping, transit, phrases</x:v>
      </x:c>
      <x:c r="C11" s="502" t="str">
        <x:v>He can do tasks without help</x:v>
      </x:c>
      <x:c r="D11" s="502" t="str">
        <x:v>Not Started</x:v>
      </x:c>
      <x:c r="E11" s="502" t="str">
        <x:v>Nick</x:v>
      </x:c>
      <x:c r="F11" s="502" t="str">
        <x:v>High</x:v>
      </x:c>
    </x:row>
    <x:row r="12">
      <x:c r="A12" s="502" t="str">
        <x:v>Apple Wallet Suica</x:v>
      </x:c>
      <x:c r="B12" s="502" t="str">
        <x:v>Open Suica hub and follow instructions</x:v>
      </x:c>
      <x:c r="C12" s="502" t="str">
        <x:v>Instructions are clear and accurate</x:v>
      </x:c>
      <x:c r="D12" s="502" t="str">
        <x:v>Not Started</x:v>
      </x:c>
      <x:c r="E12" s="502" t="str">
        <x:v>Everyone</x:v>
      </x:c>
      <x:c r="F12" s="502" t="str">
        <x:v>Critical</x:v>
      </x:c>
    </x:row>
    <x:row r="13">
      <x:c r="A13" s="502" t="str">
        <x:v>Lost Mode</x:v>
      </x:c>
      <x:c r="B13" s="502" t="str">
        <x:v>Find separated/lost flow</x:v>
      </x:c>
      <x:c r="C13" s="502" t="str">
        <x:v>Clear meetup/help instructions</x:v>
      </x:c>
      <x:c r="D13" s="502" t="str">
        <x:v>Not Started</x:v>
      </x:c>
      <x:c r="E13" s="502" t="str">
        <x:v>Everyone</x:v>
      </x:c>
      <x:c r="F13" s="502" t="str">
        <x:v>Critical</x:v>
      </x:c>
    </x:row>
    <x:row r="14">
      <x:c r="A14" s="502" t="str">
        <x:v>SOS</x:v>
      </x:c>
      <x:c r="B14" s="502" t="str">
        <x:v>Open SOS page</x:v>
      </x:c>
      <x:c r="C14" s="502" t="str">
        <x:v>Emergency numbers and cards visible</x:v>
      </x:c>
      <x:c r="D14" s="502" t="str">
        <x:v>Not Started</x:v>
      </x:c>
      <x:c r="E14" s="502" t="str">
        <x:v>Everyone</x:v>
      </x:c>
      <x:c r="F14" s="502" t="str">
        <x:v>Critical</x:v>
      </x:c>
    </x:row>
    <x:row r="15">
      <x:c r="A15" s="502" t="str">
        <x:v>Search</x:v>
      </x:c>
      <x:c r="B15" s="502" t="str">
        <x:v>Search ramen, bathroom, suica, hotel, Narita, rain</x:v>
      </x:c>
      <x:c r="C15" s="502" t="str">
        <x:v>Relevant results appear</x:v>
      </x:c>
      <x:c r="D15" s="502" t="str">
        <x:v>Not Started</x:v>
      </x:c>
      <x:c r="E15" s="502" t="str">
        <x:v>David</x:v>
      </x:c>
      <x:c r="F15" s="502" t="str">
        <x:v>High</x:v>
      </x:c>
    </x:row>
    <x:row r="16">
      <x:c r="A16" s="502" t="str">
        <x:v>Daily Brief</x:v>
      </x:c>
      <x:c r="B16" s="502" t="str">
        <x:v>Check multiple dates</x:v>
      </x:c>
      <x:c r="C16" s="502" t="str">
        <x:v>Useful reminders appear</x:v>
      </x:c>
      <x:c r="D16" s="502" t="str">
        <x:v>Not Started</x:v>
      </x:c>
      <x:c r="E16" s="502" t="str">
        <x:v>David</x:v>
      </x:c>
      <x:c r="F16" s="502" t="str">
        <x:v>Medium</x:v>
      </x:c>
    </x:row>
    <x:row r="17">
      <x:c r="A17" s="502" t="str">
        <x:v>Confidence Mode</x:v>
      </x:c>
      <x:c r="B17" s="502" t="str">
        <x:v>Test train/restaurant/shrine/rain/lost contexts</x:v>
      </x:c>
      <x:c r="C17" s="502" t="str">
        <x:v>Reassuring guidance appears</x:v>
      </x:c>
      <x:c r="D17" s="502" t="str">
        <x:v>Not Started</x:v>
      </x:c>
      <x:c r="E17" s="502" t="str">
        <x:v>David</x:v>
      </x:c>
      <x:c r="F17" s="502" t="str">
        <x:v>Medium</x:v>
      </x:c>
    </x:row>
    <x:row r="18">
      <x:c r="A18" s="502" t="str">
        <x:v>Restaurants</x:v>
      </x:c>
      <x:c r="B18" s="502" t="str">
        <x:v>Review all restaurant rows</x:v>
      </x:c>
      <x:c r="C18" s="502" t="str">
        <x:v>Must order, map, area, reservation data filled</x:v>
      </x:c>
      <x:c r="D18" s="502" t="str">
        <x:v>Not Started</x:v>
      </x:c>
      <x:c r="E18" s="502" t="str">
        <x:v>David + Noelle</x:v>
      </x:c>
      <x:c r="F18" s="502" t="str">
        <x:v>High</x:v>
      </x:c>
    </x:row>
    <x:row r="19">
      <x:c r="A19" s="502" t="str">
        <x:v>Hotels</x:v>
      </x:c>
      <x:c r="B19" s="502" t="str">
        <x:v>Review hotel rows</x:v>
      </x:c>
      <x:c r="C19" s="502" t="str">
        <x:v>Address, phone, map, station filled</x:v>
      </x:c>
      <x:c r="D19" s="502" t="str">
        <x:v>Not Started</x:v>
      </x:c>
      <x:c r="E19" s="502" t="str">
        <x:v>David + Noelle</x:v>
      </x:c>
      <x:c r="F19" s="502" t="str">
        <x:v>Critical</x:v>
      </x:c>
    </x:row>
    <x:row r="20">
      <x:c r="A20" s="502" t="str">
        <x:v>Maps</x:v>
      </x:c>
      <x:c r="B20" s="502" t="str">
        <x:v>Review map links</x:v>
      </x:c>
      <x:c r="C20" s="502" t="str">
        <x:v>Important places have working links</x:v>
      </x:c>
      <x:c r="D20" s="502" t="str">
        <x:v>Not Started</x:v>
      </x:c>
      <x:c r="E20" s="502" t="str">
        <x:v>David + Noelle</x:v>
      </x:c>
      <x:c r="F20" s="502" t="str">
        <x:v>High</x:v>
      </x:c>
    </x:row>
    <x:row r="21">
      <x:c r="A21" s="502" t="str">
        <x:v>Emergency content</x:v>
      </x:c>
      <x:c r="B21" s="502" t="str">
        <x:v>Review safety/medical/lost content</x:v>
      </x:c>
      <x:c r="C21" s="502" t="str">
        <x:v>Accurate and minimal</x:v>
      </x:c>
      <x:c r="D21" s="502" t="str">
        <x:v>Not Started</x:v>
      </x:c>
      <x:c r="E21" s="502" t="str">
        <x:v>David</x:v>
      </x:c>
      <x:c r="F21" s="502" t="str">
        <x:v>Critical</x:v>
      </x:c>
    </x:row>
    <x:row r="22">
      <x:c r="A22" s="502" t="str">
        <x:v>Final freeze</x:v>
      </x:c>
      <x:c r="B22" s="502" t="str">
        <x:v>Stop new features</x:v>
      </x:c>
      <x:c r="C22" s="502" t="str">
        <x:v>Only content/bug fixes remain</x:v>
      </x:c>
      <x:c r="D22" s="502" t="str">
        <x:v>Not Started</x:v>
      </x:c>
      <x:c r="E22" s="502" t="str">
        <x:v>David</x:v>
      </x:c>
      <x:c r="F22" s="502" t="str">
        <x:v>High</x:v>
      </x:c>
    </x:row>
    <x:row r="23">
      <x:c r="A23" s="514" t="str">
        <x:v>Money Hub</x:v>
      </x:c>
      <x:c r="B23" s="514" t="str">
        <x:v>Open Money tab, test converter, quick buttons, cash helper, /fx</x:v>
      </x:c>
      <x:c r="C23" s="514" t="str">
        <x:v>Converter works online and offline fallback is clear</x:v>
      </x:c>
      <x:c r="D23" s="514" t="str">
        <x:v>Not Started</x:v>
      </x:c>
      <x:c r="E23" s="514" t="str">
        <x:v>David</x:v>
      </x:c>
      <x:c r="F23" s="514" t="str">
        <x:v>High</x:v>
      </x:c>
    </x:row>
    <x:row r="24">
      <x:c r="A24" s="514" t="str">
        <x:v>FX endpoint</x:v>
      </x:c>
      <x:c r="B24" s="514" t="str">
        <x:v>Open /fx after Cloudflare deploy</x:v>
      </x:c>
      <x:c r="C24" s="514" t="str">
        <x:v>Returns JSON with rate/source/updatedAt</x:v>
      </x:c>
      <x:c r="D24" s="514" t="str">
        <x:v>Not Started</x:v>
      </x:c>
      <x:c r="E24" s="514" t="str">
        <x:v>David</x:v>
      </x:c>
      <x:c r="F24" s="514" t="str">
        <x:v>High</x:v>
      </x:c>
    </x:row>
    <x:row r="25">
      <x:c r="A25" s="514" t="str">
        <x:v>Price guide</x:v>
      </x:c>
      <x:c r="B25" s="514" t="str">
        <x:v>Review price examples for Japan</x:v>
      </x:c>
      <x:c r="C25" s="514" t="str">
        <x:v>Examples feel useful and not misleading</x:v>
      </x:c>
      <x:c r="D25" s="514" t="str">
        <x:v>Not Started</x:v>
      </x:c>
      <x:c r="E25" s="514" t="str">
        <x:v>David + Noelle</x:v>
      </x:c>
      <x:c r="F25" s="514" t="str">
        <x:v>Medium</x:v>
      </x:c>
    </x:row>
    <x:row r="26">
      <x:c r="A26" s="494"/>
      <x:c r="B26" s="494"/>
      <x:c r="C26" s="494"/>
      <x:c r="D26" s="494"/>
      <x:c r="E26" s="494"/>
      <x:c r="F26" s="494"/>
    </x:row>
    <x:row r="27">
      <x:c r="A27" s="494"/>
      <x:c r="B27" s="494"/>
      <x:c r="C27" s="494"/>
      <x:c r="D27" s="494"/>
      <x:c r="E27" s="494"/>
      <x:c r="F27" s="494"/>
    </x:row>
    <x:row r="28">
      <x:c r="A28" s="494"/>
      <x:c r="B28" s="494"/>
      <x:c r="C28" s="494"/>
      <x:c r="D28" s="494"/>
      <x:c r="E28" s="494"/>
      <x:c r="F28" s="494"/>
    </x:row>
    <x:row r="29">
      <x:c r="A29" s="494"/>
      <x:c r="B29" s="494"/>
      <x:c r="C29" s="494"/>
      <x:c r="D29" s="494"/>
      <x:c r="E29" s="494"/>
      <x:c r="F29" s="494"/>
    </x:row>
    <x:row r="30">
      <x:c r="A30" s="494"/>
      <x:c r="B30" s="494"/>
      <x:c r="C30" s="494"/>
      <x:c r="D30" s="494"/>
      <x:c r="E30" s="494"/>
      <x:c r="F30" s="494"/>
    </x:row>
    <x:row r="31">
      <x:c r="A31" s="494"/>
      <x:c r="B31" s="494"/>
      <x:c r="C31" s="494"/>
      <x:c r="D31" s="494"/>
      <x:c r="E31" s="494"/>
      <x:c r="F31" s="494"/>
    </x:row>
    <x:row r="32">
      <x:c r="A32" s="494"/>
      <x:c r="B32" s="494"/>
      <x:c r="C32" s="494"/>
      <x:c r="D32" s="494"/>
      <x:c r="E32" s="494"/>
      <x:c r="F32" s="494"/>
    </x:row>
    <x:row r="33">
      <x:c r="A33" s="494"/>
      <x:c r="B33" s="494"/>
      <x:c r="C33" s="494"/>
      <x:c r="D33" s="494"/>
      <x:c r="E33" s="494"/>
      <x:c r="F33" s="494"/>
    </x:row>
    <x:row r="34">
      <x:c r="A34" s="494"/>
      <x:c r="B34" s="494"/>
      <x:c r="C34" s="494"/>
      <x:c r="D34" s="494"/>
      <x:c r="E34" s="494"/>
      <x:c r="F34" s="494"/>
    </x:row>
    <x:row r="35">
      <x:c r="A35" s="494"/>
      <x:c r="B35" s="494"/>
      <x:c r="C35" s="494"/>
      <x:c r="D35" s="494"/>
      <x:c r="E35" s="494"/>
      <x:c r="F35" s="494"/>
    </x:row>
    <x:row r="36">
      <x:c r="A36" s="494"/>
      <x:c r="B36" s="494"/>
      <x:c r="C36" s="494"/>
      <x:c r="D36" s="494"/>
      <x:c r="E36" s="494"/>
      <x:c r="F36" s="494"/>
    </x:row>
    <x:row r="37">
      <x:c r="A37" s="494"/>
      <x:c r="B37" s="494"/>
      <x:c r="C37" s="494"/>
      <x:c r="D37" s="494"/>
      <x:c r="E37" s="494"/>
      <x:c r="F37" s="494"/>
    </x:row>
    <x:row r="38">
      <x:c r="A38" s="494"/>
      <x:c r="B38" s="494"/>
      <x:c r="C38" s="494"/>
      <x:c r="D38" s="494"/>
      <x:c r="E38" s="494"/>
      <x:c r="F38" s="494"/>
    </x:row>
    <x:row r="39">
      <x:c r="A39" s="494"/>
      <x:c r="B39" s="494"/>
      <x:c r="C39" s="494"/>
      <x:c r="D39" s="494"/>
      <x:c r="E39" s="494"/>
      <x:c r="F39" s="494"/>
    </x:row>
    <x:row r="40">
      <x:c r="A40" s="494"/>
      <x:c r="B40" s="494"/>
      <x:c r="C40" s="494"/>
      <x:c r="D40" s="494"/>
      <x:c r="E40" s="494"/>
      <x:c r="F40" s="494"/>
    </x:row>
    <x:row r="41">
      <x:c r="A41" s="494"/>
      <x:c r="B41" s="494"/>
      <x:c r="C41" s="494"/>
      <x:c r="D41" s="494"/>
      <x:c r="E41" s="494"/>
      <x:c r="F41" s="494"/>
    </x:row>
    <x:row r="42">
      <x:c r="A42" s="494"/>
      <x:c r="B42" s="494"/>
      <x:c r="C42" s="494"/>
      <x:c r="D42" s="494"/>
      <x:c r="E42" s="494"/>
      <x:c r="F42" s="494"/>
    </x:row>
    <x:row r="43">
      <x:c r="A43" s="494"/>
      <x:c r="B43" s="494"/>
      <x:c r="C43" s="494"/>
      <x:c r="D43" s="494"/>
      <x:c r="E43" s="494"/>
      <x:c r="F43" s="494"/>
    </x:row>
    <x:row r="44">
      <x:c r="A44" s="494"/>
      <x:c r="B44" s="494"/>
      <x:c r="C44" s="494"/>
      <x:c r="D44" s="494"/>
      <x:c r="E44" s="494"/>
      <x:c r="F44" s="494"/>
    </x:row>
    <x:row r="45">
      <x:c r="A45" s="494"/>
      <x:c r="B45" s="494"/>
      <x:c r="C45" s="494"/>
      <x:c r="D45" s="494"/>
      <x:c r="E45" s="494"/>
      <x:c r="F45" s="494"/>
    </x:row>
    <x:row r="46">
      <x:c r="A46" s="494"/>
      <x:c r="B46" s="494"/>
      <x:c r="C46" s="494"/>
      <x:c r="D46" s="494"/>
      <x:c r="E46" s="494"/>
      <x:c r="F46" s="494"/>
    </x:row>
    <x:row r="47">
      <x:c r="A47" s="494"/>
      <x:c r="B47" s="494"/>
      <x:c r="C47" s="494"/>
      <x:c r="D47" s="494"/>
      <x:c r="E47" s="494"/>
      <x:c r="F47" s="494"/>
    </x:row>
    <x:row r="48">
      <x:c r="A48" s="494"/>
      <x:c r="B48" s="494"/>
      <x:c r="C48" s="494"/>
      <x:c r="D48" s="494"/>
      <x:c r="E48" s="494"/>
      <x:c r="F48" s="494"/>
    </x:row>
    <x:row r="49">
      <x:c r="A49" s="494"/>
      <x:c r="B49" s="494"/>
      <x:c r="C49" s="494"/>
      <x:c r="D49" s="494"/>
      <x:c r="E49" s="494"/>
      <x:c r="F49" s="494"/>
    </x:row>
    <x:row r="50">
      <x:c r="A50" s="494"/>
      <x:c r="B50" s="494"/>
      <x:c r="C50" s="494"/>
      <x:c r="D50" s="494"/>
      <x:c r="E50" s="494"/>
      <x:c r="F50" s="494"/>
    </x:row>
    <x:row r="51">
      <x:c r="A51" s="494"/>
      <x:c r="B51" s="494"/>
      <x:c r="C51" s="494"/>
      <x:c r="D51" s="494"/>
      <x:c r="E51" s="494"/>
      <x:c r="F51" s="494"/>
    </x:row>
    <x:row r="52">
      <x:c r="A52" s="494"/>
      <x:c r="B52" s="494"/>
      <x:c r="C52" s="494"/>
      <x:c r="D52" s="494"/>
      <x:c r="E52" s="494"/>
      <x:c r="F52" s="494"/>
    </x:row>
    <x:row r="53">
      <x:c r="A53" s="494"/>
      <x:c r="B53" s="494"/>
      <x:c r="C53" s="494"/>
      <x:c r="D53" s="494"/>
      <x:c r="E53" s="494"/>
      <x:c r="F53" s="494"/>
    </x:row>
    <x:row r="54">
      <x:c r="A54" s="494"/>
      <x:c r="B54" s="494"/>
      <x:c r="C54" s="494"/>
      <x:c r="D54" s="494"/>
      <x:c r="E54" s="494"/>
      <x:c r="F54" s="494"/>
    </x:row>
    <x:row r="55">
      <x:c r="A55" s="494"/>
      <x:c r="B55" s="494"/>
      <x:c r="C55" s="494"/>
      <x:c r="D55" s="494"/>
      <x:c r="E55" s="494"/>
      <x:c r="F55" s="494"/>
    </x:row>
    <x:row r="56">
      <x:c r="A56" s="494"/>
      <x:c r="B56" s="494"/>
      <x:c r="C56" s="494"/>
      <x:c r="D56" s="494"/>
      <x:c r="E56" s="494"/>
      <x:c r="F56" s="494"/>
    </x:row>
    <x:row r="57">
      <x:c r="A57" s="494"/>
      <x:c r="B57" s="494"/>
      <x:c r="C57" s="494"/>
      <x:c r="D57" s="494"/>
      <x:c r="E57" s="494"/>
      <x:c r="F57" s="494"/>
    </x:row>
    <x:row r="58">
      <x:c r="A58" s="494"/>
      <x:c r="B58" s="494"/>
      <x:c r="C58" s="494"/>
      <x:c r="D58" s="494"/>
      <x:c r="E58" s="494"/>
      <x:c r="F58" s="494"/>
    </x:row>
    <x:row r="59">
      <x:c r="A59" s="494"/>
      <x:c r="B59" s="494"/>
      <x:c r="C59" s="494"/>
      <x:c r="D59" s="494"/>
      <x:c r="E59" s="494"/>
      <x:c r="F59" s="494"/>
    </x:row>
    <x:row r="60">
      <x:c r="A60" s="494"/>
      <x:c r="B60" s="494"/>
      <x:c r="C60" s="494"/>
      <x:c r="D60" s="494"/>
      <x:c r="E60" s="494"/>
      <x:c r="F60" s="494"/>
    </x:row>
    <x:row r="61">
      <x:c r="A61" s="494"/>
      <x:c r="B61" s="494"/>
      <x:c r="C61" s="494"/>
      <x:c r="D61" s="494"/>
      <x:c r="E61" s="494"/>
      <x:c r="F61" s="494"/>
    </x:row>
    <x:row r="62">
      <x:c r="A62" s="494"/>
      <x:c r="B62" s="494"/>
      <x:c r="C62" s="494"/>
      <x:c r="D62" s="494"/>
      <x:c r="E62" s="494"/>
      <x:c r="F62" s="494"/>
    </x:row>
    <x:row r="63">
      <x:c r="A63" s="494"/>
      <x:c r="B63" s="494"/>
      <x:c r="C63" s="494"/>
      <x:c r="D63" s="494"/>
      <x:c r="E63" s="494"/>
      <x:c r="F63" s="494"/>
    </x:row>
    <x:row r="64">
      <x:c r="A64" s="494"/>
      <x:c r="B64" s="494"/>
      <x:c r="C64" s="494"/>
      <x:c r="D64" s="494"/>
      <x:c r="E64" s="494"/>
      <x:c r="F64" s="494"/>
    </x:row>
    <x:row r="65">
      <x:c r="A65" s="494"/>
      <x:c r="B65" s="494"/>
      <x:c r="C65" s="494"/>
      <x:c r="D65" s="494"/>
      <x:c r="E65" s="494"/>
      <x:c r="F65" s="494"/>
    </x:row>
    <x:row r="66">
      <x:c r="A66" s="494"/>
      <x:c r="B66" s="494"/>
      <x:c r="C66" s="494"/>
      <x:c r="D66" s="494"/>
      <x:c r="E66" s="494"/>
      <x:c r="F66" s="494"/>
    </x:row>
    <x:row r="67">
      <x:c r="A67" s="494"/>
      <x:c r="B67" s="494"/>
      <x:c r="C67" s="494"/>
      <x:c r="D67" s="494"/>
      <x:c r="E67" s="494"/>
      <x:c r="F67" s="494"/>
    </x:row>
    <x:row r="68">
      <x:c r="A68" s="494"/>
      <x:c r="B68" s="494"/>
      <x:c r="C68" s="494"/>
      <x:c r="D68" s="494"/>
      <x:c r="E68" s="494"/>
      <x:c r="F68" s="494"/>
    </x:row>
    <x:row r="69">
      <x:c r="A69" s="494"/>
      <x:c r="B69" s="494"/>
      <x:c r="C69" s="494"/>
      <x:c r="D69" s="494"/>
      <x:c r="E69" s="494"/>
      <x:c r="F69" s="494"/>
    </x:row>
    <x:row r="70">
      <x:c r="A70" s="494"/>
      <x:c r="B70" s="494"/>
      <x:c r="C70" s="494"/>
      <x:c r="D70" s="494"/>
      <x:c r="E70" s="494"/>
      <x:c r="F70" s="494"/>
    </x:row>
    <x:row r="71">
      <x:c r="A71" s="494"/>
      <x:c r="B71" s="494"/>
      <x:c r="C71" s="494"/>
      <x:c r="D71" s="494"/>
      <x:c r="E71" s="494"/>
      <x:c r="F71" s="494"/>
    </x:row>
    <x:row r="72">
      <x:c r="A72" s="494"/>
      <x:c r="B72" s="494"/>
      <x:c r="C72" s="494"/>
      <x:c r="D72" s="494"/>
      <x:c r="E72" s="494"/>
      <x:c r="F72" s="494"/>
    </x:row>
    <x:row r="73">
      <x:c r="A73" s="494"/>
      <x:c r="B73" s="494"/>
      <x:c r="C73" s="494"/>
      <x:c r="D73" s="494"/>
      <x:c r="E73" s="494"/>
      <x:c r="F73" s="494"/>
    </x:row>
    <x:row r="74">
      <x:c r="A74" s="494"/>
      <x:c r="B74" s="494"/>
      <x:c r="C74" s="494"/>
      <x:c r="D74" s="494"/>
      <x:c r="E74" s="494"/>
      <x:c r="F74" s="494"/>
    </x:row>
    <x:row r="75">
      <x:c r="A75" s="494"/>
      <x:c r="B75" s="494"/>
      <x:c r="C75" s="494"/>
      <x:c r="D75" s="494"/>
      <x:c r="E75" s="494"/>
      <x:c r="F75" s="494"/>
    </x:row>
    <x:row r="76">
      <x:c r="A76" s="494"/>
      <x:c r="B76" s="494"/>
      <x:c r="C76" s="494"/>
      <x:c r="D76" s="494"/>
      <x:c r="E76" s="494"/>
      <x:c r="F76" s="494"/>
    </x:row>
    <x:row r="77">
      <x:c r="A77" s="494"/>
      <x:c r="B77" s="494"/>
      <x:c r="C77" s="494"/>
      <x:c r="D77" s="494"/>
      <x:c r="E77" s="494"/>
      <x:c r="F77" s="494"/>
    </x:row>
    <x:row r="78">
      <x:c r="A78" s="494"/>
      <x:c r="B78" s="494"/>
      <x:c r="C78" s="494"/>
      <x:c r="D78" s="494"/>
      <x:c r="E78" s="494"/>
      <x:c r="F78" s="494"/>
    </x:row>
    <x:row r="79">
      <x:c r="A79" s="494"/>
      <x:c r="B79" s="494"/>
      <x:c r="C79" s="494"/>
      <x:c r="D79" s="494"/>
      <x:c r="E79" s="494"/>
      <x:c r="F79" s="494"/>
    </x:row>
    <x:row r="80">
      <x:c r="A80" s="494"/>
      <x:c r="B80" s="494"/>
      <x:c r="C80" s="494"/>
      <x:c r="D80" s="494"/>
      <x:c r="E80" s="494"/>
      <x:c r="F80" s="494"/>
    </x:row>
    <x:row r="81">
      <x:c r="A81" s="494"/>
      <x:c r="B81" s="494"/>
      <x:c r="C81" s="494"/>
      <x:c r="D81" s="494"/>
      <x:c r="E81" s="494"/>
      <x:c r="F81" s="494"/>
    </x:row>
    <x:row r="82">
      <x:c r="A82" s="494"/>
      <x:c r="B82" s="494"/>
      <x:c r="C82" s="494"/>
      <x:c r="D82" s="494"/>
      <x:c r="E82" s="494"/>
      <x:c r="F82" s="494"/>
    </x:row>
    <x:row r="83">
      <x:c r="A83" s="494"/>
      <x:c r="B83" s="494"/>
      <x:c r="C83" s="494"/>
      <x:c r="D83" s="494"/>
      <x:c r="E83" s="494"/>
      <x:c r="F83" s="494"/>
    </x:row>
    <x:row r="84">
      <x:c r="A84" s="494"/>
      <x:c r="B84" s="494"/>
      <x:c r="C84" s="494"/>
      <x:c r="D84" s="494"/>
      <x:c r="E84" s="494"/>
      <x:c r="F84" s="494"/>
    </x:row>
    <x:row r="85">
      <x:c r="A85" s="494"/>
      <x:c r="B85" s="494"/>
      <x:c r="C85" s="494"/>
      <x:c r="D85" s="494"/>
      <x:c r="E85" s="494"/>
      <x:c r="F85" s="494"/>
    </x:row>
    <x:row r="86">
      <x:c r="A86" s="494"/>
      <x:c r="B86" s="494"/>
      <x:c r="C86" s="494"/>
      <x:c r="D86" s="494"/>
      <x:c r="E86" s="494"/>
      <x:c r="F86" s="494"/>
    </x:row>
    <x:row r="87">
      <x:c r="A87" s="494"/>
      <x:c r="B87" s="494"/>
      <x:c r="C87" s="494"/>
      <x:c r="D87" s="494"/>
      <x:c r="E87" s="494"/>
      <x:c r="F87" s="494"/>
    </x:row>
    <x:row r="88">
      <x:c r="A88" s="494"/>
      <x:c r="B88" s="494"/>
      <x:c r="C88" s="494"/>
      <x:c r="D88" s="494"/>
      <x:c r="E88" s="494"/>
      <x:c r="F88" s="494"/>
    </x:row>
    <x:row r="89">
      <x:c r="A89" s="494"/>
      <x:c r="B89" s="494"/>
      <x:c r="C89" s="494"/>
      <x:c r="D89" s="494"/>
      <x:c r="E89" s="494"/>
      <x:c r="F89" s="494"/>
    </x:row>
    <x:row r="90">
      <x:c r="A90" s="494"/>
      <x:c r="B90" s="494"/>
      <x:c r="C90" s="494"/>
      <x:c r="D90" s="494"/>
      <x:c r="E90" s="494"/>
      <x:c r="F90" s="494"/>
    </x:row>
    <x:row r="91">
      <x:c r="A91" s="494"/>
      <x:c r="B91" s="494"/>
      <x:c r="C91" s="494"/>
      <x:c r="D91" s="494"/>
      <x:c r="E91" s="494"/>
      <x:c r="F91" s="494"/>
    </x:row>
    <x:row r="92">
      <x:c r="A92" s="494"/>
      <x:c r="B92" s="494"/>
      <x:c r="C92" s="494"/>
      <x:c r="D92" s="494"/>
      <x:c r="E92" s="494"/>
      <x:c r="F92" s="494"/>
    </x:row>
    <x:row r="93">
      <x:c r="A93" s="494"/>
      <x:c r="B93" s="494"/>
      <x:c r="C93" s="494"/>
      <x:c r="D93" s="494"/>
      <x:c r="E93" s="494"/>
      <x:c r="F93" s="494"/>
    </x:row>
    <x:row r="94">
      <x:c r="A94" s="494"/>
      <x:c r="B94" s="494"/>
      <x:c r="C94" s="494"/>
      <x:c r="D94" s="494"/>
      <x:c r="E94" s="494"/>
      <x:c r="F94" s="494"/>
    </x:row>
    <x:row r="95">
      <x:c r="A95" s="494"/>
      <x:c r="B95" s="494"/>
      <x:c r="C95" s="494"/>
      <x:c r="D95" s="494"/>
      <x:c r="E95" s="494"/>
      <x:c r="F95" s="494"/>
    </x:row>
    <x:row r="96">
      <x:c r="A96" s="494"/>
      <x:c r="B96" s="494"/>
      <x:c r="C96" s="494"/>
      <x:c r="D96" s="494"/>
      <x:c r="E96" s="494"/>
      <x:c r="F96" s="494"/>
    </x:row>
    <x:row r="97">
      <x:c r="A97" s="494"/>
      <x:c r="B97" s="494"/>
      <x:c r="C97" s="494"/>
      <x:c r="D97" s="494"/>
      <x:c r="E97" s="494"/>
      <x:c r="F97" s="494"/>
    </x:row>
    <x:row r="98">
      <x:c r="A98" s="494"/>
      <x:c r="B98" s="494"/>
      <x:c r="C98" s="494"/>
      <x:c r="D98" s="494"/>
      <x:c r="E98" s="494"/>
      <x:c r="F98" s="494"/>
    </x:row>
    <x:row r="99">
      <x:c r="A99" s="494"/>
      <x:c r="B99" s="494"/>
      <x:c r="C99" s="494"/>
      <x:c r="D99" s="494"/>
      <x:c r="E99" s="494"/>
      <x:c r="F99" s="494"/>
    </x:row>
    <x:row r="100">
      <x:c r="A100" s="494"/>
      <x:c r="B100" s="494"/>
      <x:c r="C100" s="494"/>
      <x:c r="D100" s="494"/>
      <x:c r="E100" s="494"/>
      <x:c r="F100" s="494"/>
    </x:row>
    <x:row r="101">
      <x:c r="A101" s="494"/>
      <x:c r="B101" s="494"/>
      <x:c r="C101" s="494"/>
      <x:c r="D101" s="494"/>
      <x:c r="E101" s="494"/>
      <x:c r="F101" s="494"/>
    </x:row>
    <x:row r="102">
      <x:c r="A102" s="494"/>
      <x:c r="B102" s="494"/>
      <x:c r="C102" s="494"/>
      <x:c r="D102" s="494"/>
      <x:c r="E102" s="494"/>
      <x:c r="F102" s="494"/>
    </x:row>
    <x:row r="103">
      <x:c r="A103" s="494"/>
      <x:c r="B103" s="494"/>
      <x:c r="C103" s="494"/>
      <x:c r="D103" s="494"/>
      <x:c r="E103" s="494"/>
      <x:c r="F103" s="494"/>
    </x:row>
    <x:row r="104">
      <x:c r="A104" s="494"/>
      <x:c r="B104" s="494"/>
      <x:c r="C104" s="494"/>
      <x:c r="D104" s="494"/>
      <x:c r="E104" s="494"/>
      <x:c r="F104" s="494"/>
    </x:row>
    <x:row r="105">
      <x:c r="A105" s="494"/>
      <x:c r="B105" s="494"/>
      <x:c r="C105" s="494"/>
      <x:c r="D105" s="494"/>
      <x:c r="E105" s="494"/>
      <x:c r="F105" s="494"/>
    </x:row>
    <x:row r="106">
      <x:c r="A106" s="494"/>
      <x:c r="B106" s="494"/>
      <x:c r="C106" s="494"/>
      <x:c r="D106" s="494"/>
      <x:c r="E106" s="494"/>
      <x:c r="F106" s="494"/>
    </x:row>
    <x:row r="107">
      <x:c r="A107" s="494"/>
      <x:c r="B107" s="494"/>
      <x:c r="C107" s="494"/>
      <x:c r="D107" s="494"/>
      <x:c r="E107" s="494"/>
      <x:c r="F107" s="494"/>
    </x:row>
    <x:row r="108">
      <x:c r="A108" s="494"/>
      <x:c r="B108" s="494"/>
      <x:c r="C108" s="494"/>
      <x:c r="D108" s="494"/>
      <x:c r="E108" s="494"/>
      <x:c r="F108" s="494"/>
    </x:row>
    <x:row r="109">
      <x:c r="A109" s="494"/>
      <x:c r="B109" s="494"/>
      <x:c r="C109" s="494"/>
      <x:c r="D109" s="494"/>
      <x:c r="E109" s="494"/>
      <x:c r="F109" s="494"/>
    </x:row>
    <x:row r="110">
      <x:c r="A110" s="494"/>
      <x:c r="B110" s="494"/>
      <x:c r="C110" s="494"/>
      <x:c r="D110" s="494"/>
      <x:c r="E110" s="494"/>
      <x:c r="F110" s="494"/>
    </x:row>
    <x:row r="111">
      <x:c r="A111" s="494"/>
      <x:c r="B111" s="494"/>
      <x:c r="C111" s="494"/>
      <x:c r="D111" s="494"/>
      <x:c r="E111" s="494"/>
      <x:c r="F111" s="494"/>
    </x:row>
    <x:row r="112">
      <x:c r="A112" s="494"/>
      <x:c r="B112" s="494"/>
      <x:c r="C112" s="494"/>
      <x:c r="D112" s="494"/>
      <x:c r="E112" s="494"/>
      <x:c r="F112" s="494"/>
    </x:row>
    <x:row r="113">
      <x:c r="A113" s="494"/>
      <x:c r="B113" s="494"/>
      <x:c r="C113" s="494"/>
      <x:c r="D113" s="494"/>
      <x:c r="E113" s="494"/>
      <x:c r="F113" s="494"/>
    </x:row>
    <x:row r="114">
      <x:c r="A114" s="494"/>
      <x:c r="B114" s="494"/>
      <x:c r="C114" s="494"/>
      <x:c r="D114" s="494"/>
      <x:c r="E114" s="494"/>
      <x:c r="F114" s="494"/>
    </x:row>
    <x:row r="115">
      <x:c r="A115" s="494"/>
      <x:c r="B115" s="494"/>
      <x:c r="C115" s="494"/>
      <x:c r="D115" s="494"/>
      <x:c r="E115" s="494"/>
      <x:c r="F115" s="494"/>
    </x:row>
    <x:row r="116">
      <x:c r="A116" s="494"/>
      <x:c r="B116" s="494"/>
      <x:c r="C116" s="494"/>
      <x:c r="D116" s="494"/>
      <x:c r="E116" s="494"/>
      <x:c r="F116" s="494"/>
    </x:row>
    <x:row r="117">
      <x:c r="A117" s="494"/>
      <x:c r="B117" s="494"/>
      <x:c r="C117" s="494"/>
      <x:c r="D117" s="494"/>
      <x:c r="E117" s="494"/>
      <x:c r="F117" s="494"/>
    </x:row>
    <x:row r="118">
      <x:c r="A118" s="494"/>
      <x:c r="B118" s="494"/>
      <x:c r="C118" s="494"/>
      <x:c r="D118" s="494"/>
      <x:c r="E118" s="494"/>
      <x:c r="F118" s="494"/>
    </x:row>
    <x:row r="119">
      <x:c r="A119" s="494"/>
      <x:c r="B119" s="494"/>
      <x:c r="C119" s="494"/>
      <x:c r="D119" s="494"/>
      <x:c r="E119" s="494"/>
      <x:c r="F119" s="494"/>
    </x:row>
    <x:row r="120">
      <x:c r="A120" s="494"/>
      <x:c r="B120" s="494"/>
      <x:c r="C120" s="494"/>
      <x:c r="D120" s="494"/>
      <x:c r="E120" s="494"/>
      <x:c r="F120" s="494"/>
    </x:row>
    <x:row r="121">
      <x:c r="A121" s="494"/>
      <x:c r="B121" s="494"/>
      <x:c r="C121" s="494"/>
      <x:c r="D121" s="494"/>
      <x:c r="E121" s="494"/>
      <x:c r="F121" s="494"/>
    </x:row>
    <x:row r="122">
      <x:c r="A122" s="494"/>
      <x:c r="B122" s="494"/>
      <x:c r="C122" s="494"/>
      <x:c r="D122" s="494"/>
      <x:c r="E122" s="494"/>
      <x:c r="F122" s="494"/>
    </x:row>
    <x:row r="123">
      <x:c r="A123" s="494"/>
      <x:c r="B123" s="494"/>
      <x:c r="C123" s="494"/>
      <x:c r="D123" s="494"/>
      <x:c r="E123" s="494"/>
      <x:c r="F123" s="494"/>
    </x:row>
    <x:row r="124">
      <x:c r="A124" s="494"/>
      <x:c r="B124" s="494"/>
      <x:c r="C124" s="494"/>
      <x:c r="D124" s="494"/>
      <x:c r="E124" s="494"/>
      <x:c r="F124" s="494"/>
    </x:row>
    <x:row r="125">
      <x:c r="A125" s="494"/>
      <x:c r="B125" s="494"/>
      <x:c r="C125" s="494"/>
      <x:c r="D125" s="494"/>
      <x:c r="E125" s="494"/>
      <x:c r="F125" s="494"/>
    </x:row>
    <x:row r="126">
      <x:c r="A126" s="494"/>
      <x:c r="B126" s="494"/>
      <x:c r="C126" s="494"/>
      <x:c r="D126" s="494"/>
      <x:c r="E126" s="494"/>
      <x:c r="F126" s="494"/>
    </x:row>
    <x:row r="127">
      <x:c r="A127" s="494"/>
      <x:c r="B127" s="494"/>
      <x:c r="C127" s="494"/>
      <x:c r="D127" s="494"/>
      <x:c r="E127" s="494"/>
      <x:c r="F127" s="494"/>
    </x:row>
    <x:row r="128">
      <x:c r="A128" s="494"/>
      <x:c r="B128" s="494"/>
      <x:c r="C128" s="494"/>
      <x:c r="D128" s="494"/>
      <x:c r="E128" s="494"/>
      <x:c r="F128" s="494"/>
    </x:row>
    <x:row r="129">
      <x:c r="A129" s="494"/>
      <x:c r="B129" s="494"/>
      <x:c r="C129" s="494"/>
      <x:c r="D129" s="494"/>
      <x:c r="E129" s="494"/>
      <x:c r="F129" s="494"/>
    </x:row>
    <x:row r="130">
      <x:c r="A130" s="494"/>
      <x:c r="B130" s="494"/>
      <x:c r="C130" s="494"/>
      <x:c r="D130" s="494"/>
      <x:c r="E130" s="494"/>
      <x:c r="F130" s="494"/>
    </x:row>
    <x:row r="131">
      <x:c r="A131" s="494"/>
      <x:c r="B131" s="494"/>
      <x:c r="C131" s="494"/>
      <x:c r="D131" s="494"/>
      <x:c r="E131" s="494"/>
      <x:c r="F131" s="494"/>
    </x:row>
    <x:row r="132">
      <x:c r="A132" s="494"/>
      <x:c r="B132" s="494"/>
      <x:c r="C132" s="494"/>
      <x:c r="D132" s="494"/>
      <x:c r="E132" s="494"/>
      <x:c r="F132" s="494"/>
    </x:row>
    <x:row r="133">
      <x:c r="A133" s="494"/>
      <x:c r="B133" s="494"/>
      <x:c r="C133" s="494"/>
      <x:c r="D133" s="494"/>
      <x:c r="E133" s="494"/>
      <x:c r="F133" s="494"/>
    </x:row>
    <x:row r="134">
      <x:c r="A134" s="494"/>
      <x:c r="B134" s="494"/>
      <x:c r="C134" s="494"/>
      <x:c r="D134" s="494"/>
      <x:c r="E134" s="494"/>
      <x:c r="F134" s="494"/>
    </x:row>
    <x:row r="135">
      <x:c r="A135" s="494"/>
      <x:c r="B135" s="494"/>
      <x:c r="C135" s="494"/>
      <x:c r="D135" s="494"/>
      <x:c r="E135" s="494"/>
      <x:c r="F135" s="494"/>
    </x:row>
    <x:row r="136">
      <x:c r="A136" s="494"/>
      <x:c r="B136" s="494"/>
      <x:c r="C136" s="494"/>
      <x:c r="D136" s="494"/>
      <x:c r="E136" s="494"/>
      <x:c r="F136" s="494"/>
    </x:row>
    <x:row r="137">
      <x:c r="A137" s="494"/>
      <x:c r="B137" s="494"/>
      <x:c r="C137" s="494"/>
      <x:c r="D137" s="494"/>
      <x:c r="E137" s="494"/>
      <x:c r="F137" s="494"/>
    </x:row>
    <x:row r="138">
      <x:c r="A138" s="494"/>
      <x:c r="B138" s="494"/>
      <x:c r="C138" s="494"/>
      <x:c r="D138" s="494"/>
      <x:c r="E138" s="494"/>
      <x:c r="F138" s="494"/>
    </x:row>
    <x:row r="139">
      <x:c r="A139" s="494"/>
      <x:c r="B139" s="494"/>
      <x:c r="C139" s="494"/>
      <x:c r="D139" s="494"/>
      <x:c r="E139" s="494"/>
      <x:c r="F139" s="494"/>
    </x:row>
    <x:row r="140">
      <x:c r="A140" s="494"/>
      <x:c r="B140" s="494"/>
      <x:c r="C140" s="494"/>
      <x:c r="D140" s="494"/>
      <x:c r="E140" s="494"/>
      <x:c r="F140" s="494"/>
    </x:row>
    <x:row r="141">
      <x:c r="A141" s="494"/>
      <x:c r="B141" s="494"/>
      <x:c r="C141" s="494"/>
      <x:c r="D141" s="494"/>
      <x:c r="E141" s="494"/>
      <x:c r="F141" s="494"/>
    </x:row>
    <x:row r="142">
      <x:c r="A142" s="494"/>
      <x:c r="B142" s="494"/>
      <x:c r="C142" s="494"/>
      <x:c r="D142" s="494"/>
      <x:c r="E142" s="494"/>
      <x:c r="F142" s="494"/>
    </x:row>
    <x:row r="143">
      <x:c r="A143" s="494"/>
      <x:c r="B143" s="494"/>
      <x:c r="C143" s="494"/>
      <x:c r="D143" s="494"/>
      <x:c r="E143" s="494"/>
      <x:c r="F143" s="494"/>
    </x:row>
    <x:row r="144">
      <x:c r="A144" s="494"/>
      <x:c r="B144" s="494"/>
      <x:c r="C144" s="494"/>
      <x:c r="D144" s="494"/>
      <x:c r="E144" s="494"/>
      <x:c r="F144" s="494"/>
    </x:row>
    <x:row r="145">
      <x:c r="A145" s="494"/>
      <x:c r="B145" s="494"/>
      <x:c r="C145" s="494"/>
      <x:c r="D145" s="494"/>
      <x:c r="E145" s="494"/>
      <x:c r="F145" s="494"/>
    </x:row>
    <x:row r="146">
      <x:c r="A146" s="494"/>
      <x:c r="B146" s="494"/>
      <x:c r="C146" s="494"/>
      <x:c r="D146" s="494"/>
      <x:c r="E146" s="494"/>
      <x:c r="F146" s="494"/>
    </x:row>
    <x:row r="147">
      <x:c r="A147" s="494"/>
      <x:c r="B147" s="494"/>
      <x:c r="C147" s="494"/>
      <x:c r="D147" s="494"/>
      <x:c r="E147" s="494"/>
      <x:c r="F147" s="494"/>
    </x:row>
    <x:row r="148">
      <x:c r="A148" s="494"/>
      <x:c r="B148" s="494"/>
      <x:c r="C148" s="494"/>
      <x:c r="D148" s="494"/>
      <x:c r="E148" s="494"/>
      <x:c r="F148" s="494"/>
    </x:row>
    <x:row r="149">
      <x:c r="A149" s="494"/>
      <x:c r="B149" s="494"/>
      <x:c r="C149" s="494"/>
      <x:c r="D149" s="494"/>
      <x:c r="E149" s="494"/>
      <x:c r="F149" s="494"/>
    </x:row>
    <x:row r="150">
      <x:c r="A150" s="494"/>
      <x:c r="B150" s="494"/>
      <x:c r="C150" s="494"/>
      <x:c r="D150" s="494"/>
      <x:c r="E150" s="494"/>
      <x:c r="F150" s="494"/>
    </x:row>
    <x:row r="151">
      <x:c r="A151" s="494"/>
      <x:c r="B151" s="494"/>
      <x:c r="C151" s="494"/>
      <x:c r="D151" s="494"/>
      <x:c r="E151" s="494"/>
      <x:c r="F151" s="494"/>
    </x:row>
    <x:row r="152">
      <x:c r="A152" s="494"/>
      <x:c r="B152" s="494"/>
      <x:c r="C152" s="494"/>
      <x:c r="D152" s="494"/>
      <x:c r="E152" s="494"/>
      <x:c r="F152" s="494"/>
    </x:row>
    <x:row r="153">
      <x:c r="A153" s="494"/>
      <x:c r="B153" s="494"/>
      <x:c r="C153" s="494"/>
      <x:c r="D153" s="494"/>
      <x:c r="E153" s="494"/>
      <x:c r="F153" s="494"/>
    </x:row>
    <x:row r="154">
      <x:c r="A154" s="494"/>
      <x:c r="B154" s="494"/>
      <x:c r="C154" s="494"/>
      <x:c r="D154" s="494"/>
      <x:c r="E154" s="494"/>
      <x:c r="F154" s="494"/>
    </x:row>
    <x:row r="155">
      <x:c r="A155" s="494"/>
      <x:c r="B155" s="494"/>
      <x:c r="C155" s="494"/>
      <x:c r="D155" s="494"/>
      <x:c r="E155" s="494"/>
      <x:c r="F155" s="494"/>
    </x:row>
    <x:row r="156">
      <x:c r="A156" s="494"/>
      <x:c r="B156" s="494"/>
      <x:c r="C156" s="494"/>
      <x:c r="D156" s="494"/>
      <x:c r="E156" s="494"/>
      <x:c r="F156" s="494"/>
    </x:row>
    <x:row r="157">
      <x:c r="A157" s="494"/>
      <x:c r="B157" s="494"/>
      <x:c r="C157" s="494"/>
      <x:c r="D157" s="494"/>
      <x:c r="E157" s="494"/>
      <x:c r="F157" s="494"/>
    </x:row>
    <x:row r="158">
      <x:c r="A158" s="494"/>
      <x:c r="B158" s="494"/>
      <x:c r="C158" s="494"/>
      <x:c r="D158" s="494"/>
      <x:c r="E158" s="494"/>
      <x:c r="F158" s="494"/>
    </x:row>
    <x:row r="159">
      <x:c r="A159" s="494"/>
      <x:c r="B159" s="494"/>
      <x:c r="C159" s="494"/>
      <x:c r="D159" s="494"/>
      <x:c r="E159" s="494"/>
      <x:c r="F159" s="494"/>
    </x:row>
    <x:row r="160">
      <x:c r="A160" s="494"/>
      <x:c r="B160" s="494"/>
      <x:c r="C160" s="494"/>
      <x:c r="D160" s="494"/>
      <x:c r="E160" s="494"/>
      <x:c r="F160" s="494"/>
    </x:row>
    <x:row r="161">
      <x:c r="A161" s="494"/>
      <x:c r="B161" s="494"/>
      <x:c r="C161" s="494"/>
      <x:c r="D161" s="494"/>
      <x:c r="E161" s="494"/>
      <x:c r="F161" s="494"/>
    </x:row>
    <x:row r="162">
      <x:c r="A162" s="494"/>
      <x:c r="B162" s="494"/>
      <x:c r="C162" s="494"/>
      <x:c r="D162" s="494"/>
      <x:c r="E162" s="494"/>
      <x:c r="F162" s="494"/>
    </x:row>
    <x:row r="163">
      <x:c r="A163" s="494"/>
      <x:c r="B163" s="494"/>
      <x:c r="C163" s="494"/>
      <x:c r="D163" s="494"/>
      <x:c r="E163" s="494"/>
      <x:c r="F163" s="494"/>
    </x:row>
    <x:row r="164">
      <x:c r="A164" s="494"/>
      <x:c r="B164" s="494"/>
      <x:c r="C164" s="494"/>
      <x:c r="D164" s="494"/>
      <x:c r="E164" s="494"/>
      <x:c r="F164" s="494"/>
    </x:row>
    <x:row r="165">
      <x:c r="A165" s="494"/>
      <x:c r="B165" s="494"/>
      <x:c r="C165" s="494"/>
      <x:c r="D165" s="494"/>
      <x:c r="E165" s="494"/>
      <x:c r="F165" s="494"/>
    </x:row>
    <x:row r="166">
      <x:c r="A166" s="494"/>
      <x:c r="B166" s="494"/>
      <x:c r="C166" s="494"/>
      <x:c r="D166" s="494"/>
      <x:c r="E166" s="494"/>
      <x:c r="F166" s="494"/>
    </x:row>
    <x:row r="167">
      <x:c r="A167" s="494"/>
      <x:c r="B167" s="494"/>
      <x:c r="C167" s="494"/>
      <x:c r="D167" s="494"/>
      <x:c r="E167" s="494"/>
      <x:c r="F167" s="494"/>
    </x:row>
    <x:row r="168">
      <x:c r="A168" s="494"/>
      <x:c r="B168" s="494"/>
      <x:c r="C168" s="494"/>
      <x:c r="D168" s="494"/>
      <x:c r="E168" s="494"/>
      <x:c r="F168" s="494"/>
    </x:row>
    <x:row r="169">
      <x:c r="A169" s="494"/>
      <x:c r="B169" s="494"/>
      <x:c r="C169" s="494"/>
      <x:c r="D169" s="494"/>
      <x:c r="E169" s="494"/>
      <x:c r="F169" s="494"/>
    </x:row>
    <x:row r="170">
      <x:c r="A170" s="494"/>
      <x:c r="B170" s="494"/>
      <x:c r="C170" s="494"/>
      <x:c r="D170" s="494"/>
      <x:c r="E170" s="494"/>
      <x:c r="F170" s="494"/>
    </x:row>
    <x:row r="171">
      <x:c r="A171" s="494"/>
      <x:c r="B171" s="494"/>
      <x:c r="C171" s="494"/>
      <x:c r="D171" s="494"/>
      <x:c r="E171" s="494"/>
      <x:c r="F171" s="494"/>
    </x:row>
    <x:row r="172">
      <x:c r="A172" s="494"/>
      <x:c r="B172" s="494"/>
      <x:c r="C172" s="494"/>
      <x:c r="D172" s="494"/>
      <x:c r="E172" s="494"/>
      <x:c r="F172" s="494"/>
    </x:row>
    <x:row r="173">
      <x:c r="A173" s="494"/>
      <x:c r="B173" s="494"/>
      <x:c r="C173" s="494"/>
      <x:c r="D173" s="494"/>
      <x:c r="E173" s="494"/>
      <x:c r="F173" s="494"/>
    </x:row>
    <x:row r="174">
      <x:c r="A174" s="494"/>
      <x:c r="B174" s="494"/>
      <x:c r="C174" s="494"/>
      <x:c r="D174" s="494"/>
      <x:c r="E174" s="494"/>
      <x:c r="F174" s="494"/>
    </x:row>
    <x:row r="175">
      <x:c r="A175" s="494"/>
      <x:c r="B175" s="494"/>
      <x:c r="C175" s="494"/>
      <x:c r="D175" s="494"/>
      <x:c r="E175" s="494"/>
      <x:c r="F175" s="494"/>
    </x:row>
    <x:row r="176">
      <x:c r="A176" s="494"/>
      <x:c r="B176" s="494"/>
      <x:c r="C176" s="494"/>
      <x:c r="D176" s="494"/>
      <x:c r="E176" s="494"/>
      <x:c r="F176" s="494"/>
    </x:row>
    <x:row r="177">
      <x:c r="A177" s="494"/>
      <x:c r="B177" s="494"/>
      <x:c r="C177" s="494"/>
      <x:c r="D177" s="494"/>
      <x:c r="E177" s="494"/>
      <x:c r="F177" s="494"/>
    </x:row>
    <x:row r="178">
      <x:c r="A178" s="494"/>
      <x:c r="B178" s="494"/>
      <x:c r="C178" s="494"/>
      <x:c r="D178" s="494"/>
      <x:c r="E178" s="494"/>
      <x:c r="F178" s="494"/>
    </x:row>
    <x:row r="179">
      <x:c r="A179" s="494"/>
      <x:c r="B179" s="494"/>
      <x:c r="C179" s="494"/>
      <x:c r="D179" s="494"/>
      <x:c r="E179" s="494"/>
      <x:c r="F179" s="494"/>
    </x:row>
    <x:row r="180">
      <x:c r="A180" s="494"/>
      <x:c r="B180" s="494"/>
      <x:c r="C180" s="494"/>
      <x:c r="D180" s="494"/>
      <x:c r="E180" s="494"/>
      <x:c r="F180" s="494"/>
    </x:row>
    <x:row r="181">
      <x:c r="A181" s="494"/>
      <x:c r="B181" s="494"/>
      <x:c r="C181" s="494"/>
      <x:c r="D181" s="494"/>
      <x:c r="E181" s="494"/>
      <x:c r="F181" s="494"/>
    </x:row>
    <x:row r="182">
      <x:c r="A182" s="494"/>
      <x:c r="B182" s="494"/>
      <x:c r="C182" s="494"/>
      <x:c r="D182" s="494"/>
      <x:c r="E182" s="494"/>
      <x:c r="F182" s="494"/>
    </x:row>
    <x:row r="183">
      <x:c r="A183" s="494"/>
      <x:c r="B183" s="494"/>
      <x:c r="C183" s="494"/>
      <x:c r="D183" s="494"/>
      <x:c r="E183" s="494"/>
      <x:c r="F183" s="494"/>
    </x:row>
    <x:row r="184">
      <x:c r="A184" s="494"/>
      <x:c r="B184" s="494"/>
      <x:c r="C184" s="494"/>
      <x:c r="D184" s="494"/>
      <x:c r="E184" s="494"/>
      <x:c r="F184" s="494"/>
    </x:row>
    <x:row r="185">
      <x:c r="A185" s="494"/>
      <x:c r="B185" s="494"/>
      <x:c r="C185" s="494"/>
      <x:c r="D185" s="494"/>
      <x:c r="E185" s="494"/>
      <x:c r="F185" s="494"/>
    </x:row>
    <x:row r="186">
      <x:c r="A186" s="494"/>
      <x:c r="B186" s="494"/>
      <x:c r="C186" s="494"/>
      <x:c r="D186" s="494"/>
      <x:c r="E186" s="494"/>
      <x:c r="F186" s="494"/>
    </x:row>
    <x:row r="187">
      <x:c r="A187" s="494"/>
      <x:c r="B187" s="494"/>
      <x:c r="C187" s="494"/>
      <x:c r="D187" s="494"/>
      <x:c r="E187" s="494"/>
      <x:c r="F187" s="494"/>
    </x:row>
    <x:row r="188">
      <x:c r="A188" s="494"/>
      <x:c r="B188" s="494"/>
      <x:c r="C188" s="494"/>
      <x:c r="D188" s="494"/>
      <x:c r="E188" s="494"/>
      <x:c r="F188" s="494"/>
    </x:row>
    <x:row r="189">
      <x:c r="A189" s="494"/>
      <x:c r="B189" s="494"/>
      <x:c r="C189" s="494"/>
      <x:c r="D189" s="494"/>
      <x:c r="E189" s="494"/>
      <x:c r="F189" s="494"/>
    </x:row>
    <x:row r="190">
      <x:c r="A190" s="494"/>
      <x:c r="B190" s="494"/>
      <x:c r="C190" s="494"/>
      <x:c r="D190" s="494"/>
      <x:c r="E190" s="494"/>
      <x:c r="F190" s="494"/>
    </x:row>
    <x:row r="191">
      <x:c r="A191" s="494"/>
      <x:c r="B191" s="494"/>
      <x:c r="C191" s="494"/>
      <x:c r="D191" s="494"/>
      <x:c r="E191" s="494"/>
      <x:c r="F191" s="494"/>
    </x:row>
    <x:row r="192">
      <x:c r="A192" s="494"/>
      <x:c r="B192" s="494"/>
      <x:c r="C192" s="494"/>
      <x:c r="D192" s="494"/>
      <x:c r="E192" s="494"/>
      <x:c r="F192" s="494"/>
    </x:row>
    <x:row r="193">
      <x:c r="A193" s="494"/>
      <x:c r="B193" s="494"/>
      <x:c r="C193" s="494"/>
      <x:c r="D193" s="494"/>
      <x:c r="E193" s="494"/>
      <x:c r="F193" s="494"/>
    </x:row>
    <x:row r="194">
      <x:c r="A194" s="494"/>
      <x:c r="B194" s="494"/>
      <x:c r="C194" s="494"/>
      <x:c r="D194" s="494"/>
      <x:c r="E194" s="494"/>
      <x:c r="F194" s="494"/>
    </x:row>
    <x:row r="195">
      <x:c r="A195" s="494"/>
      <x:c r="B195" s="494"/>
      <x:c r="C195" s="494"/>
      <x:c r="D195" s="494"/>
      <x:c r="E195" s="494"/>
      <x:c r="F195" s="494"/>
    </x:row>
    <x:row r="196">
      <x:c r="A196" s="494"/>
      <x:c r="B196" s="494"/>
      <x:c r="C196" s="494"/>
      <x:c r="D196" s="494"/>
      <x:c r="E196" s="494"/>
      <x:c r="F196" s="494"/>
    </x:row>
    <x:row r="197">
      <x:c r="A197" s="494"/>
      <x:c r="B197" s="494"/>
      <x:c r="C197" s="494"/>
      <x:c r="D197" s="494"/>
      <x:c r="E197" s="494"/>
      <x:c r="F197" s="494"/>
    </x:row>
    <x:row r="198">
      <x:c r="A198" s="494"/>
      <x:c r="B198" s="494"/>
      <x:c r="C198" s="494"/>
      <x:c r="D198" s="494"/>
      <x:c r="E198" s="494"/>
      <x:c r="F198" s="494"/>
    </x:row>
    <x:row r="199">
      <x:c r="A199" s="494"/>
      <x:c r="B199" s="494"/>
      <x:c r="C199" s="494"/>
      <x:c r="D199" s="494"/>
      <x:c r="E199" s="494"/>
      <x:c r="F199" s="494"/>
    </x:row>
    <x:row r="200">
      <x:c r="A200" s="494"/>
      <x:c r="B200" s="494"/>
      <x:c r="C200" s="494"/>
      <x:c r="D200" s="494"/>
      <x:c r="E200" s="494"/>
      <x:c r="F200" s="494"/>
    </x:row>
    <x:row r="201">
      <x:c r="A201" s="494"/>
      <x:c r="B201" s="494"/>
      <x:c r="C201" s="494"/>
      <x:c r="D201" s="494"/>
      <x:c r="E201" s="494"/>
      <x:c r="F201" s="494"/>
    </x:row>
    <x:row r="202">
      <x:c r="A202" s="494"/>
      <x:c r="B202" s="494"/>
      <x:c r="C202" s="494"/>
      <x:c r="D202" s="494"/>
      <x:c r="E202" s="494"/>
      <x:c r="F202" s="494"/>
    </x:row>
    <x:row r="203">
      <x:c r="A203" s="494"/>
      <x:c r="B203" s="494"/>
      <x:c r="C203" s="494"/>
      <x:c r="D203" s="494"/>
      <x:c r="E203" s="494"/>
      <x:c r="F203" s="494"/>
    </x:row>
    <x:row r="204">
      <x:c r="A204" s="494"/>
      <x:c r="B204" s="494"/>
      <x:c r="C204" s="494"/>
      <x:c r="D204" s="494"/>
      <x:c r="E204" s="494"/>
      <x:c r="F204" s="494"/>
    </x:row>
    <x:row r="205">
      <x:c r="A205" s="494"/>
      <x:c r="B205" s="494"/>
      <x:c r="C205" s="494"/>
      <x:c r="D205" s="494"/>
      <x:c r="E205" s="494"/>
      <x:c r="F205" s="494"/>
    </x:row>
    <x:row r="206">
      <x:c r="A206" s="494"/>
      <x:c r="B206" s="494"/>
      <x:c r="C206" s="494"/>
      <x:c r="D206" s="494"/>
      <x:c r="E206" s="494"/>
      <x:c r="F206" s="494"/>
    </x:row>
    <x:row r="207">
      <x:c r="A207" s="494"/>
      <x:c r="B207" s="494"/>
      <x:c r="C207" s="494"/>
      <x:c r="D207" s="494"/>
      <x:c r="E207" s="494"/>
      <x:c r="F207" s="494"/>
    </x:row>
    <x:row r="208">
      <x:c r="A208" s="494"/>
      <x:c r="B208" s="494"/>
      <x:c r="C208" s="494"/>
      <x:c r="D208" s="494"/>
      <x:c r="E208" s="494"/>
      <x:c r="F208" s="494"/>
    </x:row>
    <x:row r="209">
      <x:c r="A209" s="494"/>
      <x:c r="B209" s="494"/>
      <x:c r="C209" s="494"/>
      <x:c r="D209" s="494"/>
      <x:c r="E209" s="494"/>
      <x:c r="F209" s="494"/>
    </x:row>
    <x:row r="210">
      <x:c r="A210" s="494"/>
      <x:c r="B210" s="494"/>
      <x:c r="C210" s="494"/>
      <x:c r="D210" s="494"/>
      <x:c r="E210" s="494"/>
      <x:c r="F210" s="494"/>
    </x:row>
    <x:row r="211">
      <x:c r="A211" s="494"/>
      <x:c r="B211" s="494"/>
      <x:c r="C211" s="494"/>
      <x:c r="D211" s="494"/>
      <x:c r="E211" s="494"/>
      <x:c r="F211" s="494"/>
    </x:row>
    <x:row r="212">
      <x:c r="A212" s="494"/>
      <x:c r="B212" s="494"/>
      <x:c r="C212" s="494"/>
      <x:c r="D212" s="494"/>
      <x:c r="E212" s="494"/>
      <x:c r="F212" s="494"/>
    </x:row>
    <x:row r="213">
      <x:c r="A213" s="494"/>
      <x:c r="B213" s="494"/>
      <x:c r="C213" s="494"/>
      <x:c r="D213" s="494"/>
      <x:c r="E213" s="494"/>
      <x:c r="F213" s="494"/>
    </x:row>
    <x:row r="214">
      <x:c r="A214" s="494"/>
      <x:c r="B214" s="494"/>
      <x:c r="C214" s="494"/>
      <x:c r="D214" s="494"/>
      <x:c r="E214" s="494"/>
      <x:c r="F214" s="494"/>
    </x:row>
    <x:row r="215">
      <x:c r="A215" s="494"/>
      <x:c r="B215" s="494"/>
      <x:c r="C215" s="494"/>
      <x:c r="D215" s="494"/>
      <x:c r="E215" s="494"/>
      <x:c r="F215" s="494"/>
    </x:row>
    <x:row r="216">
      <x:c r="A216" s="494"/>
      <x:c r="B216" s="494"/>
      <x:c r="C216" s="494"/>
      <x:c r="D216" s="494"/>
      <x:c r="E216" s="494"/>
      <x:c r="F216" s="494"/>
    </x:row>
    <x:row r="217">
      <x:c r="A217" s="494"/>
      <x:c r="B217" s="494"/>
      <x:c r="C217" s="494"/>
      <x:c r="D217" s="494"/>
      <x:c r="E217" s="494"/>
      <x:c r="F217" s="494"/>
    </x:row>
    <x:row r="218">
      <x:c r="A218" s="494"/>
      <x:c r="B218" s="494"/>
      <x:c r="C218" s="494"/>
      <x:c r="D218" s="494"/>
      <x:c r="E218" s="494"/>
      <x:c r="F218" s="494"/>
    </x:row>
    <x:row r="219">
      <x:c r="A219" s="494"/>
      <x:c r="B219" s="494"/>
      <x:c r="C219" s="494"/>
      <x:c r="D219" s="494"/>
      <x:c r="E219" s="494"/>
      <x:c r="F219" s="494"/>
    </x:row>
    <x:row r="220">
      <x:c r="A220" s="494"/>
      <x:c r="B220" s="494"/>
      <x:c r="C220" s="494"/>
      <x:c r="D220" s="494"/>
      <x:c r="E220" s="494"/>
      <x:c r="F220" s="494"/>
    </x:row>
  </x:sheetData>
  <x:mergeCells>
    <x:mergeCell ref="A3:F3"/>
  </x:mergeCells>
  <x:dataValidations count="2">
    <x:dataValidation type="list" sqref="D6:D80">
      <x:formula1>"Not Started,In Progress,Blocked,Done"</x:formula1>
    </x:dataValidation>
    <x:dataValidation type="list" sqref="F6:F80">
      <x:formula1>"Critical,High,Medium,Low"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48" hidden="0" customWidth="1"/>
    <x:col min="4" max="4" width="18" hidden="0" customWidth="1"/>
    <x:col min="5" max="5" width="44" hidden="0" customWidth="1"/>
  </x:cols>
  <x:sheetData>
    <x:row r="1">
      <x:c r="A1" s="497" t="str">
        <x:v>👨‍👩‍👦 Family Test Script</x:v>
      </x:c>
      <x:c r="B1" s="497"/>
      <x:c r="C1" s="497"/>
      <x:c r="D1" s="497"/>
      <x:c r="E1" s="497"/>
    </x:row>
    <x:row r="2">
      <x:c r="A2" s="497"/>
      <x:c r="B2" s="497"/>
      <x:c r="C2" s="497"/>
      <x:c r="D2" s="497"/>
      <x:c r="E2" s="497"/>
    </x:row>
    <x:row r="3">
      <x:c r="A3" s="498" t="str">
        <x:v>Have each person test only the parts they would realistically use. Watch where they hesitate.</x:v>
      </x:c>
      <x:c r="B3" s="498"/>
      <x:c r="C3" s="498"/>
      <x:c r="D3" s="498"/>
      <x:c r="E3" s="498"/>
    </x:row>
    <x:row r="4">
      <x:c r="A4" s="494"/>
      <x:c r="B4" s="494"/>
      <x:c r="C4" s="494"/>
      <x:c r="D4" s="494"/>
      <x:c r="E4" s="494"/>
    </x:row>
    <x:row r="5">
      <x:c r="A5" s="501" t="str">
        <x:v>Person</x:v>
      </x:c>
      <x:c r="B5" s="501" t="str">
        <x:v>Tasks</x:v>
      </x:c>
      <x:c r="C5" s="501" t="str">
        <x:v>Success Criteria</x:v>
      </x:c>
      <x:c r="D5" s="501" t="str">
        <x:v>Status</x:v>
      </x:c>
      <x:c r="E5" s="501" t="str">
        <x:v>Notes</x:v>
      </x:c>
    </x:row>
    <x:row r="6">
      <x:c r="A6" s="502" t="str">
        <x:v>David</x:v>
      </x:c>
      <x:c r="B6" s="502" t="str">
        <x:v>Open app, Search, D+N, System, Maps, Restaurants</x:v>
      </x:c>
      <x:c r="C6" s="502" t="str">
        <x:v>Can manage planning and debug quickly</x:v>
      </x:c>
      <x:c r="D6" s="502" t="str">
        <x:v>Not Started</x:v>
      </x:c>
      <x:c r="E6" s="502" t="str"/>
    </x:row>
    <x:row r="7">
      <x:c r="A7" s="502" t="str">
        <x:v>Noelle</x:v>
      </x:c>
      <x:c r="B7" s="502" t="str">
        <x:v>Open app, Shopping, Budget, Food, Today</x:v>
      </x:c>
      <x:c r="C7" s="502" t="str">
        <x:v>Can find planning/shopping info easily</x:v>
      </x:c>
      <x:c r="D7" s="502" t="str">
        <x:v>Not Started</x:v>
      </x:c>
      <x:c r="E7" s="502" t="str"/>
    </x:row>
    <x:row r="8">
      <x:c r="A8" s="502" t="str">
        <x:v>Nick</x:v>
      </x:c>
      <x:c r="B8" s="502" t="str">
        <x:v>Open Nick, Food, Shopping, Transit, Phrases</x:v>
      </x:c>
      <x:c r="C8" s="502" t="str">
        <x:v>Can use without confusion</x:v>
      </x:c>
      <x:c r="D8" s="502" t="str">
        <x:v>Not Started</x:v>
      </x:c>
      <x:c r="E8" s="502" t="str"/>
    </x:row>
    <x:row r="9">
      <x:c r="A9" s="502" t="str">
        <x:v>Hilda</x:v>
      </x:c>
      <x:c r="B9" s="502" t="str">
        <x:v>Open Hilda, Today, Hotel, Bathroom, Lost, SOS</x:v>
      </x:c>
      <x:c r="C9" s="502" t="str">
        <x:v>Large/simple enough and reassuring</x:v>
      </x:c>
      <x:c r="D9" s="502" t="str">
        <x:v>Not Started</x:v>
      </x:c>
      <x:c r="E9" s="502" t="str"/>
    </x:row>
    <x:row r="10">
      <x:c r="A10" s="494"/>
      <x:c r="B10" s="494"/>
      <x:c r="C10" s="494"/>
      <x:c r="D10" s="494"/>
      <x:c r="E10" s="494"/>
    </x:row>
    <x:row r="11">
      <x:c r="A11" s="494"/>
      <x:c r="B11" s="494"/>
      <x:c r="C11" s="494"/>
      <x:c r="D11" s="494"/>
      <x:c r="E11" s="494"/>
    </x:row>
    <x:row r="12">
      <x:c r="A12" s="494"/>
      <x:c r="B12" s="494"/>
      <x:c r="C12" s="494"/>
      <x:c r="D12" s="494"/>
      <x:c r="E12" s="494"/>
    </x:row>
    <x:row r="13">
      <x:c r="A13" s="494"/>
      <x:c r="B13" s="494"/>
      <x:c r="C13" s="494"/>
      <x:c r="D13" s="494"/>
      <x:c r="E13" s="494"/>
    </x:row>
    <x:row r="14">
      <x:c r="A14" s="494"/>
      <x:c r="B14" s="494"/>
      <x:c r="C14" s="494"/>
      <x:c r="D14" s="494"/>
      <x:c r="E14" s="494"/>
    </x:row>
    <x:row r="15">
      <x:c r="A15" s="494"/>
      <x:c r="B15" s="494"/>
      <x:c r="C15" s="494"/>
      <x:c r="D15" s="494"/>
      <x:c r="E15" s="494"/>
    </x:row>
    <x:row r="16">
      <x:c r="A16" s="494"/>
      <x:c r="B16" s="494"/>
      <x:c r="C16" s="494"/>
      <x:c r="D16" s="494"/>
      <x:c r="E16" s="494"/>
    </x:row>
    <x:row r="17">
      <x:c r="A17" s="494"/>
      <x:c r="B17" s="494"/>
      <x:c r="C17" s="494"/>
      <x:c r="D17" s="494"/>
      <x:c r="E17" s="494"/>
    </x:row>
    <x:row r="18">
      <x:c r="A18" s="494"/>
      <x:c r="B18" s="494"/>
      <x:c r="C18" s="494"/>
      <x:c r="D18" s="494"/>
      <x:c r="E18" s="494"/>
    </x:row>
    <x:row r="19">
      <x:c r="A19" s="494"/>
      <x:c r="B19" s="494"/>
      <x:c r="C19" s="494"/>
      <x:c r="D19" s="494"/>
      <x:c r="E19" s="494"/>
    </x:row>
    <x:row r="20">
      <x:c r="A20" s="494"/>
      <x:c r="B20" s="494"/>
      <x:c r="C20" s="494"/>
      <x:c r="D20" s="494"/>
      <x:c r="E20" s="494"/>
    </x:row>
    <x:row r="21">
      <x:c r="A21" s="494"/>
      <x:c r="B21" s="494"/>
      <x:c r="C21" s="494"/>
      <x:c r="D21" s="494"/>
      <x:c r="E21" s="494"/>
    </x:row>
    <x:row r="22">
      <x:c r="A22" s="494"/>
      <x:c r="B22" s="494"/>
      <x:c r="C22" s="494"/>
      <x:c r="D22" s="494"/>
      <x:c r="E22" s="494"/>
    </x:row>
    <x:row r="23">
      <x:c r="A23" s="494"/>
      <x:c r="B23" s="494"/>
      <x:c r="C23" s="494"/>
      <x:c r="D23" s="494"/>
      <x:c r="E23" s="494"/>
    </x:row>
    <x:row r="24">
      <x:c r="A24" s="494"/>
      <x:c r="B24" s="494"/>
      <x:c r="C24" s="494"/>
      <x:c r="D24" s="494"/>
      <x:c r="E24" s="494"/>
    </x:row>
    <x:row r="25">
      <x:c r="A25" s="494"/>
      <x:c r="B25" s="494"/>
      <x:c r="C25" s="494"/>
      <x:c r="D25" s="494"/>
      <x:c r="E25" s="494"/>
    </x:row>
    <x:row r="26">
      <x:c r="A26" s="494"/>
      <x:c r="B26" s="494"/>
      <x:c r="C26" s="494"/>
      <x:c r="D26" s="494"/>
      <x:c r="E26" s="494"/>
    </x:row>
    <x:row r="27">
      <x:c r="A27" s="494"/>
      <x:c r="B27" s="494"/>
      <x:c r="C27" s="494"/>
      <x:c r="D27" s="494"/>
      <x:c r="E27" s="494"/>
    </x:row>
    <x:row r="28">
      <x:c r="A28" s="494"/>
      <x:c r="B28" s="494"/>
      <x:c r="C28" s="494"/>
      <x:c r="D28" s="494"/>
      <x:c r="E28" s="494"/>
    </x:row>
    <x:row r="29">
      <x:c r="A29" s="494"/>
      <x:c r="B29" s="494"/>
      <x:c r="C29" s="494"/>
      <x:c r="D29" s="494"/>
      <x:c r="E29" s="494"/>
    </x:row>
    <x:row r="30">
      <x:c r="A30" s="494"/>
      <x:c r="B30" s="494"/>
      <x:c r="C30" s="494"/>
      <x:c r="D30" s="494"/>
      <x:c r="E30" s="494"/>
    </x:row>
    <x:row r="31">
      <x:c r="A31" s="494"/>
      <x:c r="B31" s="494"/>
      <x:c r="C31" s="494"/>
      <x:c r="D31" s="494"/>
      <x:c r="E31" s="494"/>
    </x:row>
    <x:row r="32">
      <x:c r="A32" s="494"/>
      <x:c r="B32" s="494"/>
      <x:c r="C32" s="494"/>
      <x:c r="D32" s="494"/>
      <x:c r="E32" s="494"/>
    </x:row>
    <x:row r="33">
      <x:c r="A33" s="494"/>
      <x:c r="B33" s="494"/>
      <x:c r="C33" s="494"/>
      <x:c r="D33" s="494"/>
      <x:c r="E33" s="494"/>
    </x:row>
    <x:row r="34">
      <x:c r="A34" s="494"/>
      <x:c r="B34" s="494"/>
      <x:c r="C34" s="494"/>
      <x:c r="D34" s="494"/>
      <x:c r="E34" s="494"/>
    </x:row>
    <x:row r="35">
      <x:c r="A35" s="494"/>
      <x:c r="B35" s="494"/>
      <x:c r="C35" s="494"/>
      <x:c r="D35" s="494"/>
      <x:c r="E35" s="494"/>
    </x:row>
    <x:row r="36">
      <x:c r="A36" s="494"/>
      <x:c r="B36" s="494"/>
      <x:c r="C36" s="494"/>
      <x:c r="D36" s="494"/>
      <x:c r="E36" s="494"/>
    </x:row>
    <x:row r="37">
      <x:c r="A37" s="494"/>
      <x:c r="B37" s="494"/>
      <x:c r="C37" s="494"/>
      <x:c r="D37" s="494"/>
      <x:c r="E37" s="494"/>
    </x:row>
    <x:row r="38">
      <x:c r="A38" s="494"/>
      <x:c r="B38" s="494"/>
      <x:c r="C38" s="494"/>
      <x:c r="D38" s="494"/>
      <x:c r="E38" s="494"/>
    </x:row>
    <x:row r="39">
      <x:c r="A39" s="494"/>
      <x:c r="B39" s="494"/>
      <x:c r="C39" s="494"/>
      <x:c r="D39" s="494"/>
      <x:c r="E39" s="494"/>
    </x:row>
    <x:row r="40">
      <x:c r="A40" s="494"/>
      <x:c r="B40" s="494"/>
      <x:c r="C40" s="494"/>
      <x:c r="D40" s="494"/>
      <x:c r="E40" s="494"/>
    </x:row>
    <x:row r="41">
      <x:c r="A41" s="494"/>
      <x:c r="B41" s="494"/>
      <x:c r="C41" s="494"/>
      <x:c r="D41" s="494"/>
      <x:c r="E41" s="494"/>
    </x:row>
    <x:row r="42">
      <x:c r="A42" s="494"/>
      <x:c r="B42" s="494"/>
      <x:c r="C42" s="494"/>
      <x:c r="D42" s="494"/>
      <x:c r="E42" s="494"/>
    </x:row>
    <x:row r="43">
      <x:c r="A43" s="494"/>
      <x:c r="B43" s="494"/>
      <x:c r="C43" s="494"/>
      <x:c r="D43" s="494"/>
      <x:c r="E43" s="494"/>
    </x:row>
    <x:row r="44">
      <x:c r="A44" s="494"/>
      <x:c r="B44" s="494"/>
      <x:c r="C44" s="494"/>
      <x:c r="D44" s="494"/>
      <x:c r="E44" s="494"/>
    </x:row>
    <x:row r="45">
      <x:c r="A45" s="494"/>
      <x:c r="B45" s="494"/>
      <x:c r="C45" s="494"/>
      <x:c r="D45" s="494"/>
      <x:c r="E45" s="494"/>
    </x:row>
    <x:row r="46">
      <x:c r="A46" s="494"/>
      <x:c r="B46" s="494"/>
      <x:c r="C46" s="494"/>
      <x:c r="D46" s="494"/>
      <x:c r="E46" s="494"/>
    </x:row>
    <x:row r="47">
      <x:c r="A47" s="494"/>
      <x:c r="B47" s="494"/>
      <x:c r="C47" s="494"/>
      <x:c r="D47" s="494"/>
      <x:c r="E47" s="494"/>
    </x:row>
    <x:row r="48">
      <x:c r="A48" s="494"/>
      <x:c r="B48" s="494"/>
      <x:c r="C48" s="494"/>
      <x:c r="D48" s="494"/>
      <x:c r="E48" s="494"/>
    </x:row>
    <x:row r="49">
      <x:c r="A49" s="494"/>
      <x:c r="B49" s="494"/>
      <x:c r="C49" s="494"/>
      <x:c r="D49" s="494"/>
      <x:c r="E49" s="494"/>
    </x:row>
    <x:row r="50">
      <x:c r="A50" s="494"/>
      <x:c r="B50" s="494"/>
      <x:c r="C50" s="494"/>
      <x:c r="D50" s="494"/>
      <x:c r="E50" s="494"/>
    </x:row>
    <x:row r="51">
      <x:c r="A51" s="494"/>
      <x:c r="B51" s="494"/>
      <x:c r="C51" s="494"/>
      <x:c r="D51" s="494"/>
      <x:c r="E51" s="494"/>
    </x:row>
    <x:row r="52">
      <x:c r="A52" s="494"/>
      <x:c r="B52" s="494"/>
      <x:c r="C52" s="494"/>
      <x:c r="D52" s="494"/>
      <x:c r="E52" s="494"/>
    </x:row>
    <x:row r="53">
      <x:c r="A53" s="494"/>
      <x:c r="B53" s="494"/>
      <x:c r="C53" s="494"/>
      <x:c r="D53" s="494"/>
      <x:c r="E53" s="494"/>
    </x:row>
    <x:row r="54">
      <x:c r="A54" s="494"/>
      <x:c r="B54" s="494"/>
      <x:c r="C54" s="494"/>
      <x:c r="D54" s="494"/>
      <x:c r="E54" s="494"/>
    </x:row>
    <x:row r="55">
      <x:c r="A55" s="494"/>
      <x:c r="B55" s="494"/>
      <x:c r="C55" s="494"/>
      <x:c r="D55" s="494"/>
      <x:c r="E55" s="494"/>
    </x:row>
    <x:row r="56">
      <x:c r="A56" s="494"/>
      <x:c r="B56" s="494"/>
      <x:c r="C56" s="494"/>
      <x:c r="D56" s="494"/>
      <x:c r="E56" s="494"/>
    </x:row>
    <x:row r="57">
      <x:c r="A57" s="494"/>
      <x:c r="B57" s="494"/>
      <x:c r="C57" s="494"/>
      <x:c r="D57" s="494"/>
      <x:c r="E57" s="494"/>
    </x:row>
    <x:row r="58">
      <x:c r="A58" s="494"/>
      <x:c r="B58" s="494"/>
      <x:c r="C58" s="494"/>
      <x:c r="D58" s="494"/>
      <x:c r="E58" s="494"/>
    </x:row>
    <x:row r="59">
      <x:c r="A59" s="494"/>
      <x:c r="B59" s="494"/>
      <x:c r="C59" s="494"/>
      <x:c r="D59" s="494"/>
      <x:c r="E59" s="494"/>
    </x:row>
    <x:row r="60">
      <x:c r="A60" s="494"/>
      <x:c r="B60" s="494"/>
      <x:c r="C60" s="494"/>
      <x:c r="D60" s="494"/>
      <x:c r="E60" s="494"/>
    </x:row>
    <x:row r="61">
      <x:c r="A61" s="494"/>
      <x:c r="B61" s="494"/>
      <x:c r="C61" s="494"/>
      <x:c r="D61" s="494"/>
      <x:c r="E61" s="494"/>
    </x:row>
    <x:row r="62">
      <x:c r="A62" s="494"/>
      <x:c r="B62" s="494"/>
      <x:c r="C62" s="494"/>
      <x:c r="D62" s="494"/>
      <x:c r="E62" s="494"/>
    </x:row>
    <x:row r="63">
      <x:c r="A63" s="494"/>
      <x:c r="B63" s="494"/>
      <x:c r="C63" s="494"/>
      <x:c r="D63" s="494"/>
      <x:c r="E63" s="494"/>
    </x:row>
    <x:row r="64">
      <x:c r="A64" s="494"/>
      <x:c r="B64" s="494"/>
      <x:c r="C64" s="494"/>
      <x:c r="D64" s="494"/>
      <x:c r="E64" s="494"/>
    </x:row>
    <x:row r="65">
      <x:c r="A65" s="494"/>
      <x:c r="B65" s="494"/>
      <x:c r="C65" s="494"/>
      <x:c r="D65" s="494"/>
      <x:c r="E65" s="494"/>
    </x:row>
    <x:row r="66">
      <x:c r="A66" s="494"/>
      <x:c r="B66" s="494"/>
      <x:c r="C66" s="494"/>
      <x:c r="D66" s="494"/>
      <x:c r="E66" s="494"/>
    </x:row>
    <x:row r="67">
      <x:c r="A67" s="494"/>
      <x:c r="B67" s="494"/>
      <x:c r="C67" s="494"/>
      <x:c r="D67" s="494"/>
      <x:c r="E67" s="494"/>
    </x:row>
    <x:row r="68">
      <x:c r="A68" s="494"/>
      <x:c r="B68" s="494"/>
      <x:c r="C68" s="494"/>
      <x:c r="D68" s="494"/>
      <x:c r="E68" s="494"/>
    </x:row>
    <x:row r="69">
      <x:c r="A69" s="494"/>
      <x:c r="B69" s="494"/>
      <x:c r="C69" s="494"/>
      <x:c r="D69" s="494"/>
      <x:c r="E69" s="494"/>
    </x:row>
    <x:row r="70">
      <x:c r="A70" s="494"/>
      <x:c r="B70" s="494"/>
      <x:c r="C70" s="494"/>
      <x:c r="D70" s="494"/>
      <x:c r="E70" s="494"/>
    </x:row>
    <x:row r="71">
      <x:c r="A71" s="494"/>
      <x:c r="B71" s="494"/>
      <x:c r="C71" s="494"/>
      <x:c r="D71" s="494"/>
      <x:c r="E71" s="494"/>
    </x:row>
    <x:row r="72">
      <x:c r="A72" s="494"/>
      <x:c r="B72" s="494"/>
      <x:c r="C72" s="494"/>
      <x:c r="D72" s="494"/>
      <x:c r="E72" s="494"/>
    </x:row>
    <x:row r="73">
      <x:c r="A73" s="494"/>
      <x:c r="B73" s="494"/>
      <x:c r="C73" s="494"/>
      <x:c r="D73" s="494"/>
      <x:c r="E73" s="494"/>
    </x:row>
    <x:row r="74">
      <x:c r="A74" s="494"/>
      <x:c r="B74" s="494"/>
      <x:c r="C74" s="494"/>
      <x:c r="D74" s="494"/>
      <x:c r="E74" s="494"/>
    </x:row>
    <x:row r="75">
      <x:c r="A75" s="494"/>
      <x:c r="B75" s="494"/>
      <x:c r="C75" s="494"/>
      <x:c r="D75" s="494"/>
      <x:c r="E75" s="494"/>
    </x:row>
    <x:row r="76">
      <x:c r="A76" s="494"/>
      <x:c r="B76" s="494"/>
      <x:c r="C76" s="494"/>
      <x:c r="D76" s="494"/>
      <x:c r="E76" s="494"/>
    </x:row>
    <x:row r="77">
      <x:c r="A77" s="494"/>
      <x:c r="B77" s="494"/>
      <x:c r="C77" s="494"/>
      <x:c r="D77" s="494"/>
      <x:c r="E77" s="494"/>
    </x:row>
    <x:row r="78">
      <x:c r="A78" s="494"/>
      <x:c r="B78" s="494"/>
      <x:c r="C78" s="494"/>
      <x:c r="D78" s="494"/>
      <x:c r="E78" s="494"/>
    </x:row>
    <x:row r="79">
      <x:c r="A79" s="494"/>
      <x:c r="B79" s="494"/>
      <x:c r="C79" s="494"/>
      <x:c r="D79" s="494"/>
      <x:c r="E79" s="494"/>
    </x:row>
    <x:row r="80">
      <x:c r="A80" s="494"/>
      <x:c r="B80" s="494"/>
      <x:c r="C80" s="494"/>
      <x:c r="D80" s="494"/>
      <x:c r="E80" s="494"/>
    </x:row>
    <x:row r="81">
      <x:c r="A81" s="494"/>
      <x:c r="B81" s="494"/>
      <x:c r="C81" s="494"/>
      <x:c r="D81" s="494"/>
      <x:c r="E81" s="494"/>
    </x:row>
    <x:row r="82">
      <x:c r="A82" s="494"/>
      <x:c r="B82" s="494"/>
      <x:c r="C82" s="494"/>
      <x:c r="D82" s="494"/>
      <x:c r="E82" s="494"/>
    </x:row>
    <x:row r="83">
      <x:c r="A83" s="494"/>
      <x:c r="B83" s="494"/>
      <x:c r="C83" s="494"/>
      <x:c r="D83" s="494"/>
      <x:c r="E83" s="494"/>
    </x:row>
    <x:row r="84">
      <x:c r="A84" s="494"/>
      <x:c r="B84" s="494"/>
      <x:c r="C84" s="494"/>
      <x:c r="D84" s="494"/>
      <x:c r="E84" s="494"/>
    </x:row>
    <x:row r="85">
      <x:c r="A85" s="494"/>
      <x:c r="B85" s="494"/>
      <x:c r="C85" s="494"/>
      <x:c r="D85" s="494"/>
      <x:c r="E85" s="494"/>
    </x:row>
    <x:row r="86">
      <x:c r="A86" s="494"/>
      <x:c r="B86" s="494"/>
      <x:c r="C86" s="494"/>
      <x:c r="D86" s="494"/>
      <x:c r="E86" s="494"/>
    </x:row>
    <x:row r="87">
      <x:c r="A87" s="494"/>
      <x:c r="B87" s="494"/>
      <x:c r="C87" s="494"/>
      <x:c r="D87" s="494"/>
      <x:c r="E87" s="494"/>
    </x:row>
    <x:row r="88">
      <x:c r="A88" s="494"/>
      <x:c r="B88" s="494"/>
      <x:c r="C88" s="494"/>
      <x:c r="D88" s="494"/>
      <x:c r="E88" s="494"/>
    </x:row>
    <x:row r="89">
      <x:c r="A89" s="494"/>
      <x:c r="B89" s="494"/>
      <x:c r="C89" s="494"/>
      <x:c r="D89" s="494"/>
      <x:c r="E89" s="494"/>
    </x:row>
    <x:row r="90">
      <x:c r="A90" s="494"/>
      <x:c r="B90" s="494"/>
      <x:c r="C90" s="494"/>
      <x:c r="D90" s="494"/>
      <x:c r="E90" s="494"/>
    </x:row>
    <x:row r="91">
      <x:c r="A91" s="494"/>
      <x:c r="B91" s="494"/>
      <x:c r="C91" s="494"/>
      <x:c r="D91" s="494"/>
      <x:c r="E91" s="494"/>
    </x:row>
    <x:row r="92">
      <x:c r="A92" s="494"/>
      <x:c r="B92" s="494"/>
      <x:c r="C92" s="494"/>
      <x:c r="D92" s="494"/>
      <x:c r="E92" s="494"/>
    </x:row>
    <x:row r="93">
      <x:c r="A93" s="494"/>
      <x:c r="B93" s="494"/>
      <x:c r="C93" s="494"/>
      <x:c r="D93" s="494"/>
      <x:c r="E93" s="494"/>
    </x:row>
    <x:row r="94">
      <x:c r="A94" s="494"/>
      <x:c r="B94" s="494"/>
      <x:c r="C94" s="494"/>
      <x:c r="D94" s="494"/>
      <x:c r="E94" s="494"/>
    </x:row>
    <x:row r="95">
      <x:c r="A95" s="494"/>
      <x:c r="B95" s="494"/>
      <x:c r="C95" s="494"/>
      <x:c r="D95" s="494"/>
      <x:c r="E95" s="494"/>
    </x:row>
    <x:row r="96">
      <x:c r="A96" s="494"/>
      <x:c r="B96" s="494"/>
      <x:c r="C96" s="494"/>
      <x:c r="D96" s="494"/>
      <x:c r="E96" s="494"/>
    </x:row>
    <x:row r="97">
      <x:c r="A97" s="494"/>
      <x:c r="B97" s="494"/>
      <x:c r="C97" s="494"/>
      <x:c r="D97" s="494"/>
      <x:c r="E97" s="494"/>
    </x:row>
    <x:row r="98">
      <x:c r="A98" s="494"/>
      <x:c r="B98" s="494"/>
      <x:c r="C98" s="494"/>
      <x:c r="D98" s="494"/>
      <x:c r="E98" s="494"/>
    </x:row>
    <x:row r="99">
      <x:c r="A99" s="494"/>
      <x:c r="B99" s="494"/>
      <x:c r="C99" s="494"/>
      <x:c r="D99" s="494"/>
      <x:c r="E99" s="494"/>
    </x:row>
    <x:row r="100">
      <x:c r="A100" s="494"/>
      <x:c r="B100" s="494"/>
      <x:c r="C100" s="494"/>
      <x:c r="D100" s="494"/>
      <x:c r="E100" s="494"/>
    </x:row>
    <x:row r="101">
      <x:c r="A101" s="494"/>
      <x:c r="B101" s="494"/>
      <x:c r="C101" s="494"/>
      <x:c r="D101" s="494"/>
      <x:c r="E101" s="494"/>
    </x:row>
    <x:row r="102">
      <x:c r="A102" s="494"/>
      <x:c r="B102" s="494"/>
      <x:c r="C102" s="494"/>
      <x:c r="D102" s="494"/>
      <x:c r="E102" s="494"/>
    </x:row>
    <x:row r="103">
      <x:c r="A103" s="494"/>
      <x:c r="B103" s="494"/>
      <x:c r="C103" s="494"/>
      <x:c r="D103" s="494"/>
      <x:c r="E103" s="494"/>
    </x:row>
    <x:row r="104">
      <x:c r="A104" s="494"/>
      <x:c r="B104" s="494"/>
      <x:c r="C104" s="494"/>
      <x:c r="D104" s="494"/>
      <x:c r="E104" s="494"/>
    </x:row>
    <x:row r="105">
      <x:c r="A105" s="494"/>
      <x:c r="B105" s="494"/>
      <x:c r="C105" s="494"/>
      <x:c r="D105" s="494"/>
      <x:c r="E105" s="494"/>
    </x:row>
    <x:row r="106">
      <x:c r="A106" s="494"/>
      <x:c r="B106" s="494"/>
      <x:c r="C106" s="494"/>
      <x:c r="D106" s="494"/>
      <x:c r="E106" s="494"/>
    </x:row>
    <x:row r="107">
      <x:c r="A107" s="494"/>
      <x:c r="B107" s="494"/>
      <x:c r="C107" s="494"/>
      <x:c r="D107" s="494"/>
      <x:c r="E107" s="494"/>
    </x:row>
    <x:row r="108">
      <x:c r="A108" s="494"/>
      <x:c r="B108" s="494"/>
      <x:c r="C108" s="494"/>
      <x:c r="D108" s="494"/>
      <x:c r="E108" s="494"/>
    </x:row>
    <x:row r="109">
      <x:c r="A109" s="494"/>
      <x:c r="B109" s="494"/>
      <x:c r="C109" s="494"/>
      <x:c r="D109" s="494"/>
      <x:c r="E109" s="494"/>
    </x:row>
    <x:row r="110">
      <x:c r="A110" s="494"/>
      <x:c r="B110" s="494"/>
      <x:c r="C110" s="494"/>
      <x:c r="D110" s="494"/>
      <x:c r="E110" s="494"/>
    </x:row>
    <x:row r="111">
      <x:c r="A111" s="494"/>
      <x:c r="B111" s="494"/>
      <x:c r="C111" s="494"/>
      <x:c r="D111" s="494"/>
      <x:c r="E111" s="494"/>
    </x:row>
    <x:row r="112">
      <x:c r="A112" s="494"/>
      <x:c r="B112" s="494"/>
      <x:c r="C112" s="494"/>
      <x:c r="D112" s="494"/>
      <x:c r="E112" s="494"/>
    </x:row>
    <x:row r="113">
      <x:c r="A113" s="494"/>
      <x:c r="B113" s="494"/>
      <x:c r="C113" s="494"/>
      <x:c r="D113" s="494"/>
      <x:c r="E113" s="494"/>
    </x:row>
    <x:row r="114">
      <x:c r="A114" s="494"/>
      <x:c r="B114" s="494"/>
      <x:c r="C114" s="494"/>
      <x:c r="D114" s="494"/>
      <x:c r="E114" s="494"/>
    </x:row>
    <x:row r="115">
      <x:c r="A115" s="494"/>
      <x:c r="B115" s="494"/>
      <x:c r="C115" s="494"/>
      <x:c r="D115" s="494"/>
      <x:c r="E115" s="494"/>
    </x:row>
    <x:row r="116">
      <x:c r="A116" s="494"/>
      <x:c r="B116" s="494"/>
      <x:c r="C116" s="494"/>
      <x:c r="D116" s="494"/>
      <x:c r="E116" s="494"/>
    </x:row>
    <x:row r="117">
      <x:c r="A117" s="494"/>
      <x:c r="B117" s="494"/>
      <x:c r="C117" s="494"/>
      <x:c r="D117" s="494"/>
      <x:c r="E117" s="494"/>
    </x:row>
    <x:row r="118">
      <x:c r="A118" s="494"/>
      <x:c r="B118" s="494"/>
      <x:c r="C118" s="494"/>
      <x:c r="D118" s="494"/>
      <x:c r="E118" s="494"/>
    </x:row>
    <x:row r="119">
      <x:c r="A119" s="494"/>
      <x:c r="B119" s="494"/>
      <x:c r="C119" s="494"/>
      <x:c r="D119" s="494"/>
      <x:c r="E119" s="494"/>
    </x:row>
    <x:row r="120">
      <x:c r="A120" s="494"/>
      <x:c r="B120" s="494"/>
      <x:c r="C120" s="494"/>
      <x:c r="D120" s="494"/>
      <x:c r="E120" s="494"/>
    </x:row>
    <x:row r="121">
      <x:c r="A121" s="494"/>
      <x:c r="B121" s="494"/>
      <x:c r="C121" s="494"/>
      <x:c r="D121" s="494"/>
      <x:c r="E121" s="494"/>
    </x:row>
    <x:row r="122">
      <x:c r="A122" s="494"/>
      <x:c r="B122" s="494"/>
      <x:c r="C122" s="494"/>
      <x:c r="D122" s="494"/>
      <x:c r="E122" s="494"/>
    </x:row>
    <x:row r="123">
      <x:c r="A123" s="494"/>
      <x:c r="B123" s="494"/>
      <x:c r="C123" s="494"/>
      <x:c r="D123" s="494"/>
      <x:c r="E123" s="494"/>
    </x:row>
    <x:row r="124">
      <x:c r="A124" s="494"/>
      <x:c r="B124" s="494"/>
      <x:c r="C124" s="494"/>
      <x:c r="D124" s="494"/>
      <x:c r="E124" s="494"/>
    </x:row>
    <x:row r="125">
      <x:c r="A125" s="494"/>
      <x:c r="B125" s="494"/>
      <x:c r="C125" s="494"/>
      <x:c r="D125" s="494"/>
      <x:c r="E125" s="494"/>
    </x:row>
    <x:row r="126">
      <x:c r="A126" s="494"/>
      <x:c r="B126" s="494"/>
      <x:c r="C126" s="494"/>
      <x:c r="D126" s="494"/>
      <x:c r="E126" s="494"/>
    </x:row>
    <x:row r="127">
      <x:c r="A127" s="494"/>
      <x:c r="B127" s="494"/>
      <x:c r="C127" s="494"/>
      <x:c r="D127" s="494"/>
      <x:c r="E127" s="494"/>
    </x:row>
    <x:row r="128">
      <x:c r="A128" s="494"/>
      <x:c r="B128" s="494"/>
      <x:c r="C128" s="494"/>
      <x:c r="D128" s="494"/>
      <x:c r="E128" s="494"/>
    </x:row>
    <x:row r="129">
      <x:c r="A129" s="494"/>
      <x:c r="B129" s="494"/>
      <x:c r="C129" s="494"/>
      <x:c r="D129" s="494"/>
      <x:c r="E129" s="494"/>
    </x:row>
    <x:row r="130">
      <x:c r="A130" s="494"/>
      <x:c r="B130" s="494"/>
      <x:c r="C130" s="494"/>
      <x:c r="D130" s="494"/>
      <x:c r="E130" s="494"/>
    </x:row>
    <x:row r="131">
      <x:c r="A131" s="494"/>
      <x:c r="B131" s="494"/>
      <x:c r="C131" s="494"/>
      <x:c r="D131" s="494"/>
      <x:c r="E131" s="494"/>
    </x:row>
    <x:row r="132">
      <x:c r="A132" s="494"/>
      <x:c r="B132" s="494"/>
      <x:c r="C132" s="494"/>
      <x:c r="D132" s="494"/>
      <x:c r="E132" s="494"/>
    </x:row>
    <x:row r="133">
      <x:c r="A133" s="494"/>
      <x:c r="B133" s="494"/>
      <x:c r="C133" s="494"/>
      <x:c r="D133" s="494"/>
      <x:c r="E133" s="494"/>
    </x:row>
    <x:row r="134">
      <x:c r="A134" s="494"/>
      <x:c r="B134" s="494"/>
      <x:c r="C134" s="494"/>
      <x:c r="D134" s="494"/>
      <x:c r="E134" s="494"/>
    </x:row>
    <x:row r="135">
      <x:c r="A135" s="494"/>
      <x:c r="B135" s="494"/>
      <x:c r="C135" s="494"/>
      <x:c r="D135" s="494"/>
      <x:c r="E135" s="494"/>
    </x:row>
    <x:row r="136">
      <x:c r="A136" s="494"/>
      <x:c r="B136" s="494"/>
      <x:c r="C136" s="494"/>
      <x:c r="D136" s="494"/>
      <x:c r="E136" s="494"/>
    </x:row>
    <x:row r="137">
      <x:c r="A137" s="494"/>
      <x:c r="B137" s="494"/>
      <x:c r="C137" s="494"/>
      <x:c r="D137" s="494"/>
      <x:c r="E137" s="494"/>
    </x:row>
    <x:row r="138">
      <x:c r="A138" s="494"/>
      <x:c r="B138" s="494"/>
      <x:c r="C138" s="494"/>
      <x:c r="D138" s="494"/>
      <x:c r="E138" s="494"/>
    </x:row>
    <x:row r="139">
      <x:c r="A139" s="494"/>
      <x:c r="B139" s="494"/>
      <x:c r="C139" s="494"/>
      <x:c r="D139" s="494"/>
      <x:c r="E139" s="494"/>
    </x:row>
    <x:row r="140">
      <x:c r="A140" s="494"/>
      <x:c r="B140" s="494"/>
      <x:c r="C140" s="494"/>
      <x:c r="D140" s="494"/>
      <x:c r="E140" s="494"/>
    </x:row>
    <x:row r="141">
      <x:c r="A141" s="494"/>
      <x:c r="B141" s="494"/>
      <x:c r="C141" s="494"/>
      <x:c r="D141" s="494"/>
      <x:c r="E141" s="494"/>
    </x:row>
    <x:row r="142">
      <x:c r="A142" s="494"/>
      <x:c r="B142" s="494"/>
      <x:c r="C142" s="494"/>
      <x:c r="D142" s="494"/>
      <x:c r="E142" s="494"/>
    </x:row>
    <x:row r="143">
      <x:c r="A143" s="494"/>
      <x:c r="B143" s="494"/>
      <x:c r="C143" s="494"/>
      <x:c r="D143" s="494"/>
      <x:c r="E143" s="494"/>
    </x:row>
    <x:row r="144">
      <x:c r="A144" s="494"/>
      <x:c r="B144" s="494"/>
      <x:c r="C144" s="494"/>
      <x:c r="D144" s="494"/>
      <x:c r="E144" s="494"/>
    </x:row>
    <x:row r="145">
      <x:c r="A145" s="494"/>
      <x:c r="B145" s="494"/>
      <x:c r="C145" s="494"/>
      <x:c r="D145" s="494"/>
      <x:c r="E145" s="494"/>
    </x:row>
    <x:row r="146">
      <x:c r="A146" s="494"/>
      <x:c r="B146" s="494"/>
      <x:c r="C146" s="494"/>
      <x:c r="D146" s="494"/>
      <x:c r="E146" s="494"/>
    </x:row>
    <x:row r="147">
      <x:c r="A147" s="494"/>
      <x:c r="B147" s="494"/>
      <x:c r="C147" s="494"/>
      <x:c r="D147" s="494"/>
      <x:c r="E147" s="494"/>
    </x:row>
    <x:row r="148">
      <x:c r="A148" s="494"/>
      <x:c r="B148" s="494"/>
      <x:c r="C148" s="494"/>
      <x:c r="D148" s="494"/>
      <x:c r="E148" s="494"/>
    </x:row>
    <x:row r="149">
      <x:c r="A149" s="494"/>
      <x:c r="B149" s="494"/>
      <x:c r="C149" s="494"/>
      <x:c r="D149" s="494"/>
      <x:c r="E149" s="494"/>
    </x:row>
    <x:row r="150">
      <x:c r="A150" s="494"/>
      <x:c r="B150" s="494"/>
      <x:c r="C150" s="494"/>
      <x:c r="D150" s="494"/>
      <x:c r="E150" s="494"/>
    </x:row>
    <x:row r="151">
      <x:c r="A151" s="494"/>
      <x:c r="B151" s="494"/>
      <x:c r="C151" s="494"/>
      <x:c r="D151" s="494"/>
      <x:c r="E151" s="494"/>
    </x:row>
    <x:row r="152">
      <x:c r="A152" s="494"/>
      <x:c r="B152" s="494"/>
      <x:c r="C152" s="494"/>
      <x:c r="D152" s="494"/>
      <x:c r="E152" s="494"/>
    </x:row>
    <x:row r="153">
      <x:c r="A153" s="494"/>
      <x:c r="B153" s="494"/>
      <x:c r="C153" s="494"/>
      <x:c r="D153" s="494"/>
      <x:c r="E153" s="494"/>
    </x:row>
    <x:row r="154">
      <x:c r="A154" s="494"/>
      <x:c r="B154" s="494"/>
      <x:c r="C154" s="494"/>
      <x:c r="D154" s="494"/>
      <x:c r="E154" s="494"/>
    </x:row>
    <x:row r="155">
      <x:c r="A155" s="494"/>
      <x:c r="B155" s="494"/>
      <x:c r="C155" s="494"/>
      <x:c r="D155" s="494"/>
      <x:c r="E155" s="494"/>
    </x:row>
    <x:row r="156">
      <x:c r="A156" s="494"/>
      <x:c r="B156" s="494"/>
      <x:c r="C156" s="494"/>
      <x:c r="D156" s="494"/>
      <x:c r="E156" s="494"/>
    </x:row>
    <x:row r="157">
      <x:c r="A157" s="494"/>
      <x:c r="B157" s="494"/>
      <x:c r="C157" s="494"/>
      <x:c r="D157" s="494"/>
      <x:c r="E157" s="494"/>
    </x:row>
    <x:row r="158">
      <x:c r="A158" s="494"/>
      <x:c r="B158" s="494"/>
      <x:c r="C158" s="494"/>
      <x:c r="D158" s="494"/>
      <x:c r="E158" s="494"/>
    </x:row>
    <x:row r="159">
      <x:c r="A159" s="494"/>
      <x:c r="B159" s="494"/>
      <x:c r="C159" s="494"/>
      <x:c r="D159" s="494"/>
      <x:c r="E159" s="494"/>
    </x:row>
    <x:row r="160">
      <x:c r="A160" s="494"/>
      <x:c r="B160" s="494"/>
      <x:c r="C160" s="494"/>
      <x:c r="D160" s="494"/>
      <x:c r="E160" s="494"/>
    </x:row>
    <x:row r="161">
      <x:c r="A161" s="494"/>
      <x:c r="B161" s="494"/>
      <x:c r="C161" s="494"/>
      <x:c r="D161" s="494"/>
      <x:c r="E161" s="494"/>
    </x:row>
    <x:row r="162">
      <x:c r="A162" s="494"/>
      <x:c r="B162" s="494"/>
      <x:c r="C162" s="494"/>
      <x:c r="D162" s="494"/>
      <x:c r="E162" s="494"/>
    </x:row>
    <x:row r="163">
      <x:c r="A163" s="494"/>
      <x:c r="B163" s="494"/>
      <x:c r="C163" s="494"/>
      <x:c r="D163" s="494"/>
      <x:c r="E163" s="494"/>
    </x:row>
    <x:row r="164">
      <x:c r="A164" s="494"/>
      <x:c r="B164" s="494"/>
      <x:c r="C164" s="494"/>
      <x:c r="D164" s="494"/>
      <x:c r="E164" s="494"/>
    </x:row>
    <x:row r="165">
      <x:c r="A165" s="494"/>
      <x:c r="B165" s="494"/>
      <x:c r="C165" s="494"/>
      <x:c r="D165" s="494"/>
      <x:c r="E165" s="494"/>
    </x:row>
    <x:row r="166">
      <x:c r="A166" s="494"/>
      <x:c r="B166" s="494"/>
      <x:c r="C166" s="494"/>
      <x:c r="D166" s="494"/>
      <x:c r="E166" s="494"/>
    </x:row>
    <x:row r="167">
      <x:c r="A167" s="494"/>
      <x:c r="B167" s="494"/>
      <x:c r="C167" s="494"/>
      <x:c r="D167" s="494"/>
      <x:c r="E167" s="494"/>
    </x:row>
    <x:row r="168">
      <x:c r="A168" s="494"/>
      <x:c r="B168" s="494"/>
      <x:c r="C168" s="494"/>
      <x:c r="D168" s="494"/>
      <x:c r="E168" s="494"/>
    </x:row>
    <x:row r="169">
      <x:c r="A169" s="494"/>
      <x:c r="B169" s="494"/>
      <x:c r="C169" s="494"/>
      <x:c r="D169" s="494"/>
      <x:c r="E169" s="494"/>
    </x:row>
    <x:row r="170">
      <x:c r="A170" s="494"/>
      <x:c r="B170" s="494"/>
      <x:c r="C170" s="494"/>
      <x:c r="D170" s="494"/>
      <x:c r="E170" s="494"/>
    </x:row>
    <x:row r="171">
      <x:c r="A171" s="494"/>
      <x:c r="B171" s="494"/>
      <x:c r="C171" s="494"/>
      <x:c r="D171" s="494"/>
      <x:c r="E171" s="494"/>
    </x:row>
    <x:row r="172">
      <x:c r="A172" s="494"/>
      <x:c r="B172" s="494"/>
      <x:c r="C172" s="494"/>
      <x:c r="D172" s="494"/>
      <x:c r="E172" s="494"/>
    </x:row>
    <x:row r="173">
      <x:c r="A173" s="494"/>
      <x:c r="B173" s="494"/>
      <x:c r="C173" s="494"/>
      <x:c r="D173" s="494"/>
      <x:c r="E173" s="494"/>
    </x:row>
    <x:row r="174">
      <x:c r="A174" s="494"/>
      <x:c r="B174" s="494"/>
      <x:c r="C174" s="494"/>
      <x:c r="D174" s="494"/>
      <x:c r="E174" s="494"/>
    </x:row>
    <x:row r="175">
      <x:c r="A175" s="494"/>
      <x:c r="B175" s="494"/>
      <x:c r="C175" s="494"/>
      <x:c r="D175" s="494"/>
      <x:c r="E175" s="494"/>
    </x:row>
    <x:row r="176">
      <x:c r="A176" s="494"/>
      <x:c r="B176" s="494"/>
      <x:c r="C176" s="494"/>
      <x:c r="D176" s="494"/>
      <x:c r="E176" s="494"/>
    </x:row>
    <x:row r="177">
      <x:c r="A177" s="494"/>
      <x:c r="B177" s="494"/>
      <x:c r="C177" s="494"/>
      <x:c r="D177" s="494"/>
      <x:c r="E177" s="494"/>
    </x:row>
    <x:row r="178">
      <x:c r="A178" s="494"/>
      <x:c r="B178" s="494"/>
      <x:c r="C178" s="494"/>
      <x:c r="D178" s="494"/>
      <x:c r="E178" s="494"/>
    </x:row>
    <x:row r="179">
      <x:c r="A179" s="494"/>
      <x:c r="B179" s="494"/>
      <x:c r="C179" s="494"/>
      <x:c r="D179" s="494"/>
      <x:c r="E179" s="494"/>
    </x:row>
    <x:row r="180">
      <x:c r="A180" s="494"/>
      <x:c r="B180" s="494"/>
      <x:c r="C180" s="494"/>
      <x:c r="D180" s="494"/>
      <x:c r="E180" s="494"/>
    </x:row>
    <x:row r="181">
      <x:c r="A181" s="494"/>
      <x:c r="B181" s="494"/>
      <x:c r="C181" s="494"/>
      <x:c r="D181" s="494"/>
      <x:c r="E181" s="494"/>
    </x:row>
    <x:row r="182">
      <x:c r="A182" s="494"/>
      <x:c r="B182" s="494"/>
      <x:c r="C182" s="494"/>
      <x:c r="D182" s="494"/>
      <x:c r="E182" s="494"/>
    </x:row>
    <x:row r="183">
      <x:c r="A183" s="494"/>
      <x:c r="B183" s="494"/>
      <x:c r="C183" s="494"/>
      <x:c r="D183" s="494"/>
      <x:c r="E183" s="494"/>
    </x:row>
    <x:row r="184">
      <x:c r="A184" s="494"/>
      <x:c r="B184" s="494"/>
      <x:c r="C184" s="494"/>
      <x:c r="D184" s="494"/>
      <x:c r="E184" s="494"/>
    </x:row>
    <x:row r="185">
      <x:c r="A185" s="494"/>
      <x:c r="B185" s="494"/>
      <x:c r="C185" s="494"/>
      <x:c r="D185" s="494"/>
      <x:c r="E185" s="494"/>
    </x:row>
    <x:row r="186">
      <x:c r="A186" s="494"/>
      <x:c r="B186" s="494"/>
      <x:c r="C186" s="494"/>
      <x:c r="D186" s="494"/>
      <x:c r="E186" s="494"/>
    </x:row>
    <x:row r="187">
      <x:c r="A187" s="494"/>
      <x:c r="B187" s="494"/>
      <x:c r="C187" s="494"/>
      <x:c r="D187" s="494"/>
      <x:c r="E187" s="494"/>
    </x:row>
    <x:row r="188">
      <x:c r="A188" s="494"/>
      <x:c r="B188" s="494"/>
      <x:c r="C188" s="494"/>
      <x:c r="D188" s="494"/>
      <x:c r="E188" s="494"/>
    </x:row>
    <x:row r="189">
      <x:c r="A189" s="494"/>
      <x:c r="B189" s="494"/>
      <x:c r="C189" s="494"/>
      <x:c r="D189" s="494"/>
      <x:c r="E189" s="494"/>
    </x:row>
    <x:row r="190">
      <x:c r="A190" s="494"/>
      <x:c r="B190" s="494"/>
      <x:c r="C190" s="494"/>
      <x:c r="D190" s="494"/>
      <x:c r="E190" s="494"/>
    </x:row>
    <x:row r="191">
      <x:c r="A191" s="494"/>
      <x:c r="B191" s="494"/>
      <x:c r="C191" s="494"/>
      <x:c r="D191" s="494"/>
      <x:c r="E191" s="494"/>
    </x:row>
    <x:row r="192">
      <x:c r="A192" s="494"/>
      <x:c r="B192" s="494"/>
      <x:c r="C192" s="494"/>
      <x:c r="D192" s="494"/>
      <x:c r="E192" s="494"/>
    </x:row>
    <x:row r="193">
      <x:c r="A193" s="494"/>
      <x:c r="B193" s="494"/>
      <x:c r="C193" s="494"/>
      <x:c r="D193" s="494"/>
      <x:c r="E193" s="494"/>
    </x:row>
    <x:row r="194">
      <x:c r="A194" s="494"/>
      <x:c r="B194" s="494"/>
      <x:c r="C194" s="494"/>
      <x:c r="D194" s="494"/>
      <x:c r="E194" s="494"/>
    </x:row>
    <x:row r="195">
      <x:c r="A195" s="494"/>
      <x:c r="B195" s="494"/>
      <x:c r="C195" s="494"/>
      <x:c r="D195" s="494"/>
      <x:c r="E195" s="494"/>
    </x:row>
    <x:row r="196">
      <x:c r="A196" s="494"/>
      <x:c r="B196" s="494"/>
      <x:c r="C196" s="494"/>
      <x:c r="D196" s="494"/>
      <x:c r="E196" s="494"/>
    </x:row>
    <x:row r="197">
      <x:c r="A197" s="494"/>
      <x:c r="B197" s="494"/>
      <x:c r="C197" s="494"/>
      <x:c r="D197" s="494"/>
      <x:c r="E197" s="494"/>
    </x:row>
    <x:row r="198">
      <x:c r="A198" s="494"/>
      <x:c r="B198" s="494"/>
      <x:c r="C198" s="494"/>
      <x:c r="D198" s="494"/>
      <x:c r="E198" s="494"/>
    </x:row>
    <x:row r="199">
      <x:c r="A199" s="494"/>
      <x:c r="B199" s="494"/>
      <x:c r="C199" s="494"/>
      <x:c r="D199" s="494"/>
      <x:c r="E199" s="494"/>
    </x:row>
    <x:row r="200">
      <x:c r="A200" s="494"/>
      <x:c r="B200" s="494"/>
      <x:c r="C200" s="494"/>
      <x:c r="D200" s="494"/>
      <x:c r="E200" s="494"/>
    </x:row>
    <x:row r="201">
      <x:c r="A201" s="494"/>
      <x:c r="B201" s="494"/>
      <x:c r="C201" s="494"/>
      <x:c r="D201" s="494"/>
      <x:c r="E201" s="494"/>
    </x:row>
    <x:row r="202">
      <x:c r="A202" s="494"/>
      <x:c r="B202" s="494"/>
      <x:c r="C202" s="494"/>
      <x:c r="D202" s="494"/>
      <x:c r="E202" s="494"/>
    </x:row>
    <x:row r="203">
      <x:c r="A203" s="494"/>
      <x:c r="B203" s="494"/>
      <x:c r="C203" s="494"/>
      <x:c r="D203" s="494"/>
      <x:c r="E203" s="494"/>
    </x:row>
    <x:row r="204">
      <x:c r="A204" s="494"/>
      <x:c r="B204" s="494"/>
      <x:c r="C204" s="494"/>
      <x:c r="D204" s="494"/>
      <x:c r="E204" s="494"/>
    </x:row>
    <x:row r="205">
      <x:c r="A205" s="494"/>
      <x:c r="B205" s="494"/>
      <x:c r="C205" s="494"/>
      <x:c r="D205" s="494"/>
      <x:c r="E205" s="494"/>
    </x:row>
    <x:row r="206">
      <x:c r="A206" s="494"/>
      <x:c r="B206" s="494"/>
      <x:c r="C206" s="494"/>
      <x:c r="D206" s="494"/>
      <x:c r="E206" s="494"/>
    </x:row>
    <x:row r="207">
      <x:c r="A207" s="494"/>
      <x:c r="B207" s="494"/>
      <x:c r="C207" s="494"/>
      <x:c r="D207" s="494"/>
      <x:c r="E207" s="494"/>
    </x:row>
    <x:row r="208">
      <x:c r="A208" s="494"/>
      <x:c r="B208" s="494"/>
      <x:c r="C208" s="494"/>
      <x:c r="D208" s="494"/>
      <x:c r="E208" s="494"/>
    </x:row>
    <x:row r="209">
      <x:c r="A209" s="494"/>
      <x:c r="B209" s="494"/>
      <x:c r="C209" s="494"/>
      <x:c r="D209" s="494"/>
      <x:c r="E209" s="494"/>
    </x:row>
    <x:row r="210">
      <x:c r="A210" s="494"/>
      <x:c r="B210" s="494"/>
      <x:c r="C210" s="494"/>
      <x:c r="D210" s="494"/>
      <x:c r="E210" s="494"/>
    </x:row>
    <x:row r="211">
      <x:c r="A211" s="494"/>
      <x:c r="B211" s="494"/>
      <x:c r="C211" s="494"/>
      <x:c r="D211" s="494"/>
      <x:c r="E211" s="494"/>
    </x:row>
    <x:row r="212">
      <x:c r="A212" s="494"/>
      <x:c r="B212" s="494"/>
      <x:c r="C212" s="494"/>
      <x:c r="D212" s="494"/>
      <x:c r="E212" s="494"/>
    </x:row>
    <x:row r="213">
      <x:c r="A213" s="494"/>
      <x:c r="B213" s="494"/>
      <x:c r="C213" s="494"/>
      <x:c r="D213" s="494"/>
      <x:c r="E213" s="494"/>
    </x:row>
    <x:row r="214">
      <x:c r="A214" s="494"/>
      <x:c r="B214" s="494"/>
      <x:c r="C214" s="494"/>
      <x:c r="D214" s="494"/>
      <x:c r="E214" s="494"/>
    </x:row>
    <x:row r="215">
      <x:c r="A215" s="494"/>
      <x:c r="B215" s="494"/>
      <x:c r="C215" s="494"/>
      <x:c r="D215" s="494"/>
      <x:c r="E215" s="494"/>
    </x:row>
    <x:row r="216">
      <x:c r="A216" s="494"/>
      <x:c r="B216" s="494"/>
      <x:c r="C216" s="494"/>
      <x:c r="D216" s="494"/>
      <x:c r="E216" s="494"/>
    </x:row>
    <x:row r="217">
      <x:c r="A217" s="494"/>
      <x:c r="B217" s="494"/>
      <x:c r="C217" s="494"/>
      <x:c r="D217" s="494"/>
      <x:c r="E217" s="494"/>
    </x:row>
    <x:row r="218">
      <x:c r="A218" s="494"/>
      <x:c r="B218" s="494"/>
      <x:c r="C218" s="494"/>
      <x:c r="D218" s="494"/>
      <x:c r="E218" s="494"/>
    </x:row>
    <x:row r="219">
      <x:c r="A219" s="494"/>
      <x:c r="B219" s="494"/>
      <x:c r="C219" s="494"/>
      <x:c r="D219" s="494"/>
      <x:c r="E219" s="494"/>
    </x:row>
    <x:row r="220">
      <x:c r="A220" s="494"/>
      <x:c r="B220" s="494"/>
      <x:c r="C220" s="494"/>
      <x:c r="D220" s="494"/>
      <x:c r="E220" s="494"/>
    </x:row>
  </x:sheetData>
  <x:mergeCells>
    <x:mergeCell ref="A3:E3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16" hidden="0" customWidth="1"/>
    <x:col min="4" max="4" width="18" hidden="0" customWidth="1"/>
  </x:cols>
  <x:sheetData>
    <x:row r="1">
      <x:c r="A1" s="497" t="str">
        <x:v>🧾 Content Completion Tracker</x:v>
      </x:c>
      <x:c r="B1" s="497"/>
      <x:c r="C1" s="497"/>
      <x:c r="D1" s="497"/>
    </x:row>
    <x:row r="2">
      <x:c r="A2" s="497"/>
      <x:c r="B2" s="497"/>
      <x:c r="C2" s="497"/>
      <x:c r="D2" s="497"/>
    </x:row>
    <x:row r="3">
      <x:c r="A3" s="498" t="str">
        <x:v>The app is only as useful as the content. Complete this before judging the app.</x:v>
      </x:c>
      <x:c r="B3" s="498"/>
      <x:c r="C3" s="498"/>
      <x:c r="D3" s="498"/>
    </x:row>
    <x:row r="4">
      <x:c r="A4" s="494"/>
      <x:c r="B4" s="494"/>
      <x:c r="C4" s="494"/>
      <x:c r="D4" s="494"/>
    </x:row>
    <x:row r="5">
      <x:c r="A5" s="501" t="str">
        <x:v>Content Area</x:v>
      </x:c>
      <x:c r="B5" s="501" t="str">
        <x:v>Fields To Complete</x:v>
      </x:c>
      <x:c r="C5" s="501" t="str">
        <x:v>Priority</x:v>
      </x:c>
      <x:c r="D5" s="501" t="str">
        <x:v>Status</x:v>
      </x:c>
    </x:row>
    <x:row r="6">
      <x:c r="A6" s="502" t="str">
        <x:v>Hotels</x:v>
      </x:c>
      <x:c r="B6" s="502" t="str">
        <x:v>Name, address, Japanese address, phone, station, map link, check-in/out, notes</x:v>
      </x:c>
      <x:c r="C6" s="502" t="str">
        <x:v>Critical</x:v>
      </x:c>
      <x:c r="D6" s="502" t="str">
        <x:v>Not Started</x:v>
      </x:c>
    </x:row>
    <x:row r="7">
      <x:c r="A7" s="502" t="str">
        <x:v>Restaurants</x:v>
      </x:c>
      <x:c r="B7" s="502" t="str">
        <x:v>Name, city, area, cuisine, must order, price, reservation, hours, map link</x:v>
      </x:c>
      <x:c r="C7" s="502" t="str">
        <x:v>High</x:v>
      </x:c>
      <x:c r="D7" s="502" t="str">
        <x:v>Not Started</x:v>
      </x:c>
    </x:row>
    <x:row r="8">
      <x:c r="A8" s="502" t="str">
        <x:v>Maps</x:v>
      </x:c>
      <x:c r="B8" s="502" t="str">
        <x:v>Hotels, stations, restaurants, attractions, bathrooms, meeting points</x:v>
      </x:c>
      <x:c r="C8" s="502" t="str">
        <x:v>High</x:v>
      </x:c>
      <x:c r="D8" s="502" t="str">
        <x:v>Not Started</x:v>
      </x:c>
    </x:row>
    <x:row r="9">
      <x:c r="A9" s="502" t="str">
        <x:v>Phrases</x:v>
      </x:c>
      <x:c r="B9" s="502" t="str">
        <x:v>Ordering, konbini, transit, lost, emergency, medical, polite basics</x:v>
      </x:c>
      <x:c r="C9" s="502" t="str">
        <x:v>High</x:v>
      </x:c>
      <x:c r="D9" s="502" t="str">
        <x:v>Not Started</x:v>
      </x:c>
    </x:row>
    <x:row r="10">
      <x:c r="A10" s="502" t="str">
        <x:v>Apple Wallet Suica</x:v>
      </x:c>
      <x:c r="B10" s="502" t="str">
        <x:v>Setup, reload, Express Transit, backup, battery reminders</x:v>
      </x:c>
      <x:c r="C10" s="502" t="str">
        <x:v>Critical</x:v>
      </x:c>
      <x:c r="D10" s="502" t="str">
        <x:v>Not Started</x:v>
      </x:c>
    </x:row>
    <x:row r="11">
      <x:c r="A11" s="502" t="str">
        <x:v>Emergency/Lost</x:v>
      </x:c>
      <x:c r="B11" s="502" t="str">
        <x:v>Police, ambulance, embassy, hotel taxi card, help phrases</x:v>
      </x:c>
      <x:c r="C11" s="502" t="str">
        <x:v>Critical</x:v>
      </x:c>
      <x:c r="D11" s="502" t="str">
        <x:v>Not Started</x:v>
      </x:c>
    </x:row>
    <x:row r="12">
      <x:c r="A12" s="502" t="str">
        <x:v>Attractions</x:v>
      </x:c>
      <x:c r="B12" s="502" t="str">
        <x:v>Why visit, best time, visit duration, etiquette, bathrooms, nearby food</x:v>
      </x:c>
      <x:c r="C12" s="502" t="str">
        <x:v>Medium</x:v>
      </x:c>
      <x:c r="D12" s="502" t="str">
        <x:v>Not Started</x:v>
      </x:c>
    </x:row>
    <x:row r="13">
      <x:c r="A13" s="502" t="str">
        <x:v>Rain Mode</x:v>
      </x:c>
      <x:c r="B13" s="502" t="str">
        <x:v>Indoor backups for every major outdoor plan</x:v>
      </x:c>
      <x:c r="C13" s="502" t="str">
        <x:v>Medium</x:v>
      </x:c>
      <x:c r="D13" s="502" t="str">
        <x:v>Not Started</x:v>
      </x:c>
    </x:row>
    <x:row r="14">
      <x:c r="A14" s="502" t="str">
        <x:v>Packing</x:v>
      </x:c>
      <x:c r="B14" s="502" t="str">
        <x:v>Traveler-specific items, daily carry, battery bank, meds, adapters</x:v>
      </x:c>
      <x:c r="C14" s="502" t="str">
        <x:v>High</x:v>
      </x:c>
      <x:c r="D14" s="502" t="str">
        <x:v>Not Started</x:v>
      </x:c>
    </x:row>
    <x:row r="15">
      <x:c r="A15" s="494"/>
      <x:c r="B15" s="494"/>
      <x:c r="C15" s="494"/>
      <x:c r="D15" s="494"/>
    </x:row>
    <x:row r="16">
      <x:c r="A16" s="494"/>
      <x:c r="B16" s="494"/>
      <x:c r="C16" s="494"/>
      <x:c r="D16" s="494"/>
    </x:row>
    <x:row r="17">
      <x:c r="A17" s="494"/>
      <x:c r="B17" s="494"/>
      <x:c r="C17" s="494"/>
      <x:c r="D17" s="494"/>
    </x:row>
    <x:row r="18">
      <x:c r="A18" s="494"/>
      <x:c r="B18" s="494"/>
      <x:c r="C18" s="494"/>
      <x:c r="D18" s="494"/>
    </x:row>
    <x:row r="19">
      <x:c r="A19" s="494"/>
      <x:c r="B19" s="494"/>
      <x:c r="C19" s="494"/>
      <x:c r="D19" s="494"/>
    </x:row>
    <x:row r="20">
      <x:c r="A20" s="494"/>
      <x:c r="B20" s="494"/>
      <x:c r="C20" s="494"/>
      <x:c r="D20" s="494"/>
    </x:row>
    <x:row r="21">
      <x:c r="A21" s="494"/>
      <x:c r="B21" s="494"/>
      <x:c r="C21" s="494"/>
      <x:c r="D21" s="494"/>
    </x:row>
    <x:row r="22">
      <x:c r="A22" s="494"/>
      <x:c r="B22" s="494"/>
      <x:c r="C22" s="494"/>
      <x:c r="D22" s="494"/>
    </x:row>
    <x:row r="23">
      <x:c r="A23" s="494"/>
      <x:c r="B23" s="494"/>
      <x:c r="C23" s="494"/>
      <x:c r="D23" s="494"/>
    </x:row>
    <x:row r="24">
      <x:c r="A24" s="494"/>
      <x:c r="B24" s="494"/>
      <x:c r="C24" s="494"/>
      <x:c r="D24" s="494"/>
    </x:row>
    <x:row r="25">
      <x:c r="A25" s="494"/>
      <x:c r="B25" s="494"/>
      <x:c r="C25" s="494"/>
      <x:c r="D25" s="494"/>
    </x:row>
    <x:row r="26">
      <x:c r="A26" s="494"/>
      <x:c r="B26" s="494"/>
      <x:c r="C26" s="494"/>
      <x:c r="D26" s="494"/>
    </x:row>
    <x:row r="27">
      <x:c r="A27" s="494"/>
      <x:c r="B27" s="494"/>
      <x:c r="C27" s="494"/>
      <x:c r="D27" s="494"/>
    </x:row>
    <x:row r="28">
      <x:c r="A28" s="494"/>
      <x:c r="B28" s="494"/>
      <x:c r="C28" s="494"/>
      <x:c r="D28" s="494"/>
    </x:row>
    <x:row r="29">
      <x:c r="A29" s="494"/>
      <x:c r="B29" s="494"/>
      <x:c r="C29" s="494"/>
      <x:c r="D29" s="494"/>
    </x:row>
    <x:row r="30">
      <x:c r="A30" s="494"/>
      <x:c r="B30" s="494"/>
      <x:c r="C30" s="494"/>
      <x:c r="D30" s="494"/>
    </x:row>
    <x:row r="31">
      <x:c r="A31" s="494"/>
      <x:c r="B31" s="494"/>
      <x:c r="C31" s="494"/>
      <x:c r="D31" s="494"/>
    </x:row>
    <x:row r="32">
      <x:c r="A32" s="494"/>
      <x:c r="B32" s="494"/>
      <x:c r="C32" s="494"/>
      <x:c r="D32" s="494"/>
    </x:row>
    <x:row r="33">
      <x:c r="A33" s="494"/>
      <x:c r="B33" s="494"/>
      <x:c r="C33" s="494"/>
      <x:c r="D33" s="494"/>
    </x:row>
    <x:row r="34">
      <x:c r="A34" s="494"/>
      <x:c r="B34" s="494"/>
      <x:c r="C34" s="494"/>
      <x:c r="D34" s="494"/>
    </x:row>
    <x:row r="35">
      <x:c r="A35" s="494"/>
      <x:c r="B35" s="494"/>
      <x:c r="C35" s="494"/>
      <x:c r="D35" s="494"/>
    </x:row>
    <x:row r="36">
      <x:c r="A36" s="494"/>
      <x:c r="B36" s="494"/>
      <x:c r="C36" s="494"/>
      <x:c r="D36" s="494"/>
    </x:row>
    <x:row r="37">
      <x:c r="A37" s="494"/>
      <x:c r="B37" s="494"/>
      <x:c r="C37" s="494"/>
      <x:c r="D37" s="494"/>
    </x:row>
    <x:row r="38">
      <x:c r="A38" s="494"/>
      <x:c r="B38" s="494"/>
      <x:c r="C38" s="494"/>
      <x:c r="D38" s="494"/>
    </x:row>
    <x:row r="39">
      <x:c r="A39" s="494"/>
      <x:c r="B39" s="494"/>
      <x:c r="C39" s="494"/>
      <x:c r="D39" s="494"/>
    </x:row>
    <x:row r="40">
      <x:c r="A40" s="494"/>
      <x:c r="B40" s="494"/>
      <x:c r="C40" s="494"/>
      <x:c r="D40" s="494"/>
    </x:row>
    <x:row r="41">
      <x:c r="A41" s="494"/>
      <x:c r="B41" s="494"/>
      <x:c r="C41" s="494"/>
      <x:c r="D41" s="494"/>
    </x:row>
    <x:row r="42">
      <x:c r="A42" s="494"/>
      <x:c r="B42" s="494"/>
      <x:c r="C42" s="494"/>
      <x:c r="D42" s="494"/>
    </x:row>
    <x:row r="43">
      <x:c r="A43" s="494"/>
      <x:c r="B43" s="494"/>
      <x:c r="C43" s="494"/>
      <x:c r="D43" s="494"/>
    </x:row>
    <x:row r="44">
      <x:c r="A44" s="494"/>
      <x:c r="B44" s="494"/>
      <x:c r="C44" s="494"/>
      <x:c r="D44" s="494"/>
    </x:row>
    <x:row r="45">
      <x:c r="A45" s="494"/>
      <x:c r="B45" s="494"/>
      <x:c r="C45" s="494"/>
      <x:c r="D45" s="494"/>
    </x:row>
    <x:row r="46">
      <x:c r="A46" s="494"/>
      <x:c r="B46" s="494"/>
      <x:c r="C46" s="494"/>
      <x:c r="D46" s="494"/>
    </x:row>
    <x:row r="47">
      <x:c r="A47" s="494"/>
      <x:c r="B47" s="494"/>
      <x:c r="C47" s="494"/>
      <x:c r="D47" s="494"/>
    </x:row>
    <x:row r="48">
      <x:c r="A48" s="494"/>
      <x:c r="B48" s="494"/>
      <x:c r="C48" s="494"/>
      <x:c r="D48" s="494"/>
    </x:row>
    <x:row r="49">
      <x:c r="A49" s="494"/>
      <x:c r="B49" s="494"/>
      <x:c r="C49" s="494"/>
      <x:c r="D49" s="494"/>
    </x:row>
    <x:row r="50">
      <x:c r="A50" s="494"/>
      <x:c r="B50" s="494"/>
      <x:c r="C50" s="494"/>
      <x:c r="D50" s="494"/>
    </x:row>
    <x:row r="51">
      <x:c r="A51" s="494"/>
      <x:c r="B51" s="494"/>
      <x:c r="C51" s="494"/>
      <x:c r="D51" s="494"/>
    </x:row>
    <x:row r="52">
      <x:c r="A52" s="494"/>
      <x:c r="B52" s="494"/>
      <x:c r="C52" s="494"/>
      <x:c r="D52" s="494"/>
    </x:row>
    <x:row r="53">
      <x:c r="A53" s="494"/>
      <x:c r="B53" s="494"/>
      <x:c r="C53" s="494"/>
      <x:c r="D53" s="494"/>
    </x:row>
    <x:row r="54">
      <x:c r="A54" s="494"/>
      <x:c r="B54" s="494"/>
      <x:c r="C54" s="494"/>
      <x:c r="D54" s="494"/>
    </x:row>
    <x:row r="55">
      <x:c r="A55" s="494"/>
      <x:c r="B55" s="494"/>
      <x:c r="C55" s="494"/>
      <x:c r="D55" s="494"/>
    </x:row>
    <x:row r="56">
      <x:c r="A56" s="494"/>
      <x:c r="B56" s="494"/>
      <x:c r="C56" s="494"/>
      <x:c r="D56" s="494"/>
    </x:row>
    <x:row r="57">
      <x:c r="A57" s="494"/>
      <x:c r="B57" s="494"/>
      <x:c r="C57" s="494"/>
      <x:c r="D57" s="494"/>
    </x:row>
    <x:row r="58">
      <x:c r="A58" s="494"/>
      <x:c r="B58" s="494"/>
      <x:c r="C58" s="494"/>
      <x:c r="D58" s="494"/>
    </x:row>
    <x:row r="59">
      <x:c r="A59" s="494"/>
      <x:c r="B59" s="494"/>
      <x:c r="C59" s="494"/>
      <x:c r="D59" s="494"/>
    </x:row>
    <x:row r="60">
      <x:c r="A60" s="494"/>
      <x:c r="B60" s="494"/>
      <x:c r="C60" s="494"/>
      <x:c r="D60" s="494"/>
    </x:row>
    <x:row r="61">
      <x:c r="A61" s="494"/>
      <x:c r="B61" s="494"/>
      <x:c r="C61" s="494"/>
      <x:c r="D61" s="494"/>
    </x:row>
    <x:row r="62">
      <x:c r="A62" s="494"/>
      <x:c r="B62" s="494"/>
      <x:c r="C62" s="494"/>
      <x:c r="D62" s="494"/>
    </x:row>
    <x:row r="63">
      <x:c r="A63" s="494"/>
      <x:c r="B63" s="494"/>
      <x:c r="C63" s="494"/>
      <x:c r="D63" s="494"/>
    </x:row>
    <x:row r="64">
      <x:c r="A64" s="494"/>
      <x:c r="B64" s="494"/>
      <x:c r="C64" s="494"/>
      <x:c r="D64" s="494"/>
    </x:row>
    <x:row r="65">
      <x:c r="A65" s="494"/>
      <x:c r="B65" s="494"/>
      <x:c r="C65" s="494"/>
      <x:c r="D65" s="494"/>
    </x:row>
    <x:row r="66">
      <x:c r="A66" s="494"/>
      <x:c r="B66" s="494"/>
      <x:c r="C66" s="494"/>
      <x:c r="D66" s="494"/>
    </x:row>
    <x:row r="67">
      <x:c r="A67" s="494"/>
      <x:c r="B67" s="494"/>
      <x:c r="C67" s="494"/>
      <x:c r="D67" s="494"/>
    </x:row>
    <x:row r="68">
      <x:c r="A68" s="494"/>
      <x:c r="B68" s="494"/>
      <x:c r="C68" s="494"/>
      <x:c r="D68" s="494"/>
    </x:row>
    <x:row r="69">
      <x:c r="A69" s="494"/>
      <x:c r="B69" s="494"/>
      <x:c r="C69" s="494"/>
      <x:c r="D69" s="494"/>
    </x:row>
    <x:row r="70">
      <x:c r="A70" s="494"/>
      <x:c r="B70" s="494"/>
      <x:c r="C70" s="494"/>
      <x:c r="D70" s="494"/>
    </x:row>
    <x:row r="71">
      <x:c r="A71" s="494"/>
      <x:c r="B71" s="494"/>
      <x:c r="C71" s="494"/>
      <x:c r="D71" s="494"/>
    </x:row>
    <x:row r="72">
      <x:c r="A72" s="494"/>
      <x:c r="B72" s="494"/>
      <x:c r="C72" s="494"/>
      <x:c r="D72" s="494"/>
    </x:row>
    <x:row r="73">
      <x:c r="A73" s="494"/>
      <x:c r="B73" s="494"/>
      <x:c r="C73" s="494"/>
      <x:c r="D73" s="494"/>
    </x:row>
    <x:row r="74">
      <x:c r="A74" s="494"/>
      <x:c r="B74" s="494"/>
      <x:c r="C74" s="494"/>
      <x:c r="D74" s="494"/>
    </x:row>
    <x:row r="75">
      <x:c r="A75" s="494"/>
      <x:c r="B75" s="494"/>
      <x:c r="C75" s="494"/>
      <x:c r="D75" s="494"/>
    </x:row>
    <x:row r="76">
      <x:c r="A76" s="494"/>
      <x:c r="B76" s="494"/>
      <x:c r="C76" s="494"/>
      <x:c r="D76" s="494"/>
    </x:row>
    <x:row r="77">
      <x:c r="A77" s="494"/>
      <x:c r="B77" s="494"/>
      <x:c r="C77" s="494"/>
      <x:c r="D77" s="494"/>
    </x:row>
    <x:row r="78">
      <x:c r="A78" s="494"/>
      <x:c r="B78" s="494"/>
      <x:c r="C78" s="494"/>
      <x:c r="D78" s="494"/>
    </x:row>
    <x:row r="79">
      <x:c r="A79" s="494"/>
      <x:c r="B79" s="494"/>
      <x:c r="C79" s="494"/>
      <x:c r="D79" s="494"/>
    </x:row>
    <x:row r="80">
      <x:c r="A80" s="494"/>
      <x:c r="B80" s="494"/>
      <x:c r="C80" s="494"/>
      <x:c r="D80" s="494"/>
    </x:row>
    <x:row r="81">
      <x:c r="A81" s="494"/>
      <x:c r="B81" s="494"/>
      <x:c r="C81" s="494"/>
      <x:c r="D81" s="494"/>
    </x:row>
    <x:row r="82">
      <x:c r="A82" s="494"/>
      <x:c r="B82" s="494"/>
      <x:c r="C82" s="494"/>
      <x:c r="D82" s="494"/>
    </x:row>
    <x:row r="83">
      <x:c r="A83" s="494"/>
      <x:c r="B83" s="494"/>
      <x:c r="C83" s="494"/>
      <x:c r="D83" s="494"/>
    </x:row>
    <x:row r="84">
      <x:c r="A84" s="494"/>
      <x:c r="B84" s="494"/>
      <x:c r="C84" s="494"/>
      <x:c r="D84" s="494"/>
    </x:row>
    <x:row r="85">
      <x:c r="A85" s="494"/>
      <x:c r="B85" s="494"/>
      <x:c r="C85" s="494"/>
      <x:c r="D85" s="494"/>
    </x:row>
    <x:row r="86">
      <x:c r="A86" s="494"/>
      <x:c r="B86" s="494"/>
      <x:c r="C86" s="494"/>
      <x:c r="D86" s="494"/>
    </x:row>
    <x:row r="87">
      <x:c r="A87" s="494"/>
      <x:c r="B87" s="494"/>
      <x:c r="C87" s="494"/>
      <x:c r="D87" s="494"/>
    </x:row>
    <x:row r="88">
      <x:c r="A88" s="494"/>
      <x:c r="B88" s="494"/>
      <x:c r="C88" s="494"/>
      <x:c r="D88" s="494"/>
    </x:row>
    <x:row r="89">
      <x:c r="A89" s="494"/>
      <x:c r="B89" s="494"/>
      <x:c r="C89" s="494"/>
      <x:c r="D89" s="494"/>
    </x:row>
    <x:row r="90">
      <x:c r="A90" s="494"/>
      <x:c r="B90" s="494"/>
      <x:c r="C90" s="494"/>
      <x:c r="D90" s="494"/>
    </x:row>
    <x:row r="91">
      <x:c r="A91" s="494"/>
      <x:c r="B91" s="494"/>
      <x:c r="C91" s="494"/>
      <x:c r="D91" s="494"/>
    </x:row>
    <x:row r="92">
      <x:c r="A92" s="494"/>
      <x:c r="B92" s="494"/>
      <x:c r="C92" s="494"/>
      <x:c r="D92" s="494"/>
    </x:row>
    <x:row r="93">
      <x:c r="A93" s="494"/>
      <x:c r="B93" s="494"/>
      <x:c r="C93" s="494"/>
      <x:c r="D93" s="494"/>
    </x:row>
    <x:row r="94">
      <x:c r="A94" s="494"/>
      <x:c r="B94" s="494"/>
      <x:c r="C94" s="494"/>
      <x:c r="D94" s="494"/>
    </x:row>
    <x:row r="95">
      <x:c r="A95" s="494"/>
      <x:c r="B95" s="494"/>
      <x:c r="C95" s="494"/>
      <x:c r="D95" s="494"/>
    </x:row>
    <x:row r="96">
      <x:c r="A96" s="494"/>
      <x:c r="B96" s="494"/>
      <x:c r="C96" s="494"/>
      <x:c r="D96" s="494"/>
    </x:row>
    <x:row r="97">
      <x:c r="A97" s="494"/>
      <x:c r="B97" s="494"/>
      <x:c r="C97" s="494"/>
      <x:c r="D97" s="494"/>
    </x:row>
    <x:row r="98">
      <x:c r="A98" s="494"/>
      <x:c r="B98" s="494"/>
      <x:c r="C98" s="494"/>
      <x:c r="D98" s="494"/>
    </x:row>
    <x:row r="99">
      <x:c r="A99" s="494"/>
      <x:c r="B99" s="494"/>
      <x:c r="C99" s="494"/>
      <x:c r="D99" s="494"/>
    </x:row>
    <x:row r="100">
      <x:c r="A100" s="494"/>
      <x:c r="B100" s="494"/>
      <x:c r="C100" s="494"/>
      <x:c r="D100" s="494"/>
    </x:row>
    <x:row r="101">
      <x:c r="A101" s="494"/>
      <x:c r="B101" s="494"/>
      <x:c r="C101" s="494"/>
      <x:c r="D101" s="494"/>
    </x:row>
    <x:row r="102">
      <x:c r="A102" s="494"/>
      <x:c r="B102" s="494"/>
      <x:c r="C102" s="494"/>
      <x:c r="D102" s="494"/>
    </x:row>
    <x:row r="103">
      <x:c r="A103" s="494"/>
      <x:c r="B103" s="494"/>
      <x:c r="C103" s="494"/>
      <x:c r="D103" s="494"/>
    </x:row>
    <x:row r="104">
      <x:c r="A104" s="494"/>
      <x:c r="B104" s="494"/>
      <x:c r="C104" s="494"/>
      <x:c r="D104" s="494"/>
    </x:row>
    <x:row r="105">
      <x:c r="A105" s="494"/>
      <x:c r="B105" s="494"/>
      <x:c r="C105" s="494"/>
      <x:c r="D105" s="494"/>
    </x:row>
    <x:row r="106">
      <x:c r="A106" s="494"/>
      <x:c r="B106" s="494"/>
      <x:c r="C106" s="494"/>
      <x:c r="D106" s="494"/>
    </x:row>
    <x:row r="107">
      <x:c r="A107" s="494"/>
      <x:c r="B107" s="494"/>
      <x:c r="C107" s="494"/>
      <x:c r="D107" s="494"/>
    </x:row>
    <x:row r="108">
      <x:c r="A108" s="494"/>
      <x:c r="B108" s="494"/>
      <x:c r="C108" s="494"/>
      <x:c r="D108" s="494"/>
    </x:row>
    <x:row r="109">
      <x:c r="A109" s="494"/>
      <x:c r="B109" s="494"/>
      <x:c r="C109" s="494"/>
      <x:c r="D109" s="494"/>
    </x:row>
    <x:row r="110">
      <x:c r="A110" s="494"/>
      <x:c r="B110" s="494"/>
      <x:c r="C110" s="494"/>
      <x:c r="D110" s="494"/>
    </x:row>
    <x:row r="111">
      <x:c r="A111" s="494"/>
      <x:c r="B111" s="494"/>
      <x:c r="C111" s="494"/>
      <x:c r="D111" s="494"/>
    </x:row>
    <x:row r="112">
      <x:c r="A112" s="494"/>
      <x:c r="B112" s="494"/>
      <x:c r="C112" s="494"/>
      <x:c r="D112" s="494"/>
    </x:row>
    <x:row r="113">
      <x:c r="A113" s="494"/>
      <x:c r="B113" s="494"/>
      <x:c r="C113" s="494"/>
      <x:c r="D113" s="494"/>
    </x:row>
    <x:row r="114">
      <x:c r="A114" s="494"/>
      <x:c r="B114" s="494"/>
      <x:c r="C114" s="494"/>
      <x:c r="D114" s="494"/>
    </x:row>
    <x:row r="115">
      <x:c r="A115" s="494"/>
      <x:c r="B115" s="494"/>
      <x:c r="C115" s="494"/>
      <x:c r="D115" s="494"/>
    </x:row>
    <x:row r="116">
      <x:c r="A116" s="494"/>
      <x:c r="B116" s="494"/>
      <x:c r="C116" s="494"/>
      <x:c r="D116" s="494"/>
    </x:row>
    <x:row r="117">
      <x:c r="A117" s="494"/>
      <x:c r="B117" s="494"/>
      <x:c r="C117" s="494"/>
      <x:c r="D117" s="494"/>
    </x:row>
    <x:row r="118">
      <x:c r="A118" s="494"/>
      <x:c r="B118" s="494"/>
      <x:c r="C118" s="494"/>
      <x:c r="D118" s="494"/>
    </x:row>
    <x:row r="119">
      <x:c r="A119" s="494"/>
      <x:c r="B119" s="494"/>
      <x:c r="C119" s="494"/>
      <x:c r="D119" s="494"/>
    </x:row>
    <x:row r="120">
      <x:c r="A120" s="494"/>
      <x:c r="B120" s="494"/>
      <x:c r="C120" s="494"/>
      <x:c r="D120" s="494"/>
    </x:row>
    <x:row r="121">
      <x:c r="A121" s="494"/>
      <x:c r="B121" s="494"/>
      <x:c r="C121" s="494"/>
      <x:c r="D121" s="494"/>
    </x:row>
    <x:row r="122">
      <x:c r="A122" s="494"/>
      <x:c r="B122" s="494"/>
      <x:c r="C122" s="494"/>
      <x:c r="D122" s="494"/>
    </x:row>
    <x:row r="123">
      <x:c r="A123" s="494"/>
      <x:c r="B123" s="494"/>
      <x:c r="C123" s="494"/>
      <x:c r="D123" s="494"/>
    </x:row>
    <x:row r="124">
      <x:c r="A124" s="494"/>
      <x:c r="B124" s="494"/>
      <x:c r="C124" s="494"/>
      <x:c r="D124" s="494"/>
    </x:row>
    <x:row r="125">
      <x:c r="A125" s="494"/>
      <x:c r="B125" s="494"/>
      <x:c r="C125" s="494"/>
      <x:c r="D125" s="494"/>
    </x:row>
    <x:row r="126">
      <x:c r="A126" s="494"/>
      <x:c r="B126" s="494"/>
      <x:c r="C126" s="494"/>
      <x:c r="D126" s="494"/>
    </x:row>
    <x:row r="127">
      <x:c r="A127" s="494"/>
      <x:c r="B127" s="494"/>
      <x:c r="C127" s="494"/>
      <x:c r="D127" s="494"/>
    </x:row>
    <x:row r="128">
      <x:c r="A128" s="494"/>
      <x:c r="B128" s="494"/>
      <x:c r="C128" s="494"/>
      <x:c r="D128" s="494"/>
    </x:row>
    <x:row r="129">
      <x:c r="A129" s="494"/>
      <x:c r="B129" s="494"/>
      <x:c r="C129" s="494"/>
      <x:c r="D129" s="494"/>
    </x:row>
    <x:row r="130">
      <x:c r="A130" s="494"/>
      <x:c r="B130" s="494"/>
      <x:c r="C130" s="494"/>
      <x:c r="D130" s="494"/>
    </x:row>
    <x:row r="131">
      <x:c r="A131" s="494"/>
      <x:c r="B131" s="494"/>
      <x:c r="C131" s="494"/>
      <x:c r="D131" s="494"/>
    </x:row>
    <x:row r="132">
      <x:c r="A132" s="494"/>
      <x:c r="B132" s="494"/>
      <x:c r="C132" s="494"/>
      <x:c r="D132" s="494"/>
    </x:row>
    <x:row r="133">
      <x:c r="A133" s="494"/>
      <x:c r="B133" s="494"/>
      <x:c r="C133" s="494"/>
      <x:c r="D133" s="494"/>
    </x:row>
    <x:row r="134">
      <x:c r="A134" s="494"/>
      <x:c r="B134" s="494"/>
      <x:c r="C134" s="494"/>
      <x:c r="D134" s="494"/>
    </x:row>
    <x:row r="135">
      <x:c r="A135" s="494"/>
      <x:c r="B135" s="494"/>
      <x:c r="C135" s="494"/>
      <x:c r="D135" s="494"/>
    </x:row>
    <x:row r="136">
      <x:c r="A136" s="494"/>
      <x:c r="B136" s="494"/>
      <x:c r="C136" s="494"/>
      <x:c r="D136" s="494"/>
    </x:row>
    <x:row r="137">
      <x:c r="A137" s="494"/>
      <x:c r="B137" s="494"/>
      <x:c r="C137" s="494"/>
      <x:c r="D137" s="494"/>
    </x:row>
    <x:row r="138">
      <x:c r="A138" s="494"/>
      <x:c r="B138" s="494"/>
      <x:c r="C138" s="494"/>
      <x:c r="D138" s="494"/>
    </x:row>
    <x:row r="139">
      <x:c r="A139" s="494"/>
      <x:c r="B139" s="494"/>
      <x:c r="C139" s="494"/>
      <x:c r="D139" s="494"/>
    </x:row>
    <x:row r="140">
      <x:c r="A140" s="494"/>
      <x:c r="B140" s="494"/>
      <x:c r="C140" s="494"/>
      <x:c r="D140" s="494"/>
    </x:row>
    <x:row r="141">
      <x:c r="A141" s="494"/>
      <x:c r="B141" s="494"/>
      <x:c r="C141" s="494"/>
      <x:c r="D141" s="494"/>
    </x:row>
    <x:row r="142">
      <x:c r="A142" s="494"/>
      <x:c r="B142" s="494"/>
      <x:c r="C142" s="494"/>
      <x:c r="D142" s="494"/>
    </x:row>
    <x:row r="143">
      <x:c r="A143" s="494"/>
      <x:c r="B143" s="494"/>
      <x:c r="C143" s="494"/>
      <x:c r="D143" s="494"/>
    </x:row>
    <x:row r="144">
      <x:c r="A144" s="494"/>
      <x:c r="B144" s="494"/>
      <x:c r="C144" s="494"/>
      <x:c r="D144" s="494"/>
    </x:row>
    <x:row r="145">
      <x:c r="A145" s="494"/>
      <x:c r="B145" s="494"/>
      <x:c r="C145" s="494"/>
      <x:c r="D145" s="494"/>
    </x:row>
    <x:row r="146">
      <x:c r="A146" s="494"/>
      <x:c r="B146" s="494"/>
      <x:c r="C146" s="494"/>
      <x:c r="D146" s="494"/>
    </x:row>
    <x:row r="147">
      <x:c r="A147" s="494"/>
      <x:c r="B147" s="494"/>
      <x:c r="C147" s="494"/>
      <x:c r="D147" s="494"/>
    </x:row>
    <x:row r="148">
      <x:c r="A148" s="494"/>
      <x:c r="B148" s="494"/>
      <x:c r="C148" s="494"/>
      <x:c r="D148" s="494"/>
    </x:row>
    <x:row r="149">
      <x:c r="A149" s="494"/>
      <x:c r="B149" s="494"/>
      <x:c r="C149" s="494"/>
      <x:c r="D149" s="494"/>
    </x:row>
    <x:row r="150">
      <x:c r="A150" s="494"/>
      <x:c r="B150" s="494"/>
      <x:c r="C150" s="494"/>
      <x:c r="D150" s="494"/>
    </x:row>
    <x:row r="151">
      <x:c r="A151" s="494"/>
      <x:c r="B151" s="494"/>
      <x:c r="C151" s="494"/>
      <x:c r="D151" s="494"/>
    </x:row>
    <x:row r="152">
      <x:c r="A152" s="494"/>
      <x:c r="B152" s="494"/>
      <x:c r="C152" s="494"/>
      <x:c r="D152" s="494"/>
    </x:row>
    <x:row r="153">
      <x:c r="A153" s="494"/>
      <x:c r="B153" s="494"/>
      <x:c r="C153" s="494"/>
      <x:c r="D153" s="494"/>
    </x:row>
    <x:row r="154">
      <x:c r="A154" s="494"/>
      <x:c r="B154" s="494"/>
      <x:c r="C154" s="494"/>
      <x:c r="D154" s="494"/>
    </x:row>
    <x:row r="155">
      <x:c r="A155" s="494"/>
      <x:c r="B155" s="494"/>
      <x:c r="C155" s="494"/>
      <x:c r="D155" s="494"/>
    </x:row>
    <x:row r="156">
      <x:c r="A156" s="494"/>
      <x:c r="B156" s="494"/>
      <x:c r="C156" s="494"/>
      <x:c r="D156" s="494"/>
    </x:row>
    <x:row r="157">
      <x:c r="A157" s="494"/>
      <x:c r="B157" s="494"/>
      <x:c r="C157" s="494"/>
      <x:c r="D157" s="494"/>
    </x:row>
    <x:row r="158">
      <x:c r="A158" s="494"/>
      <x:c r="B158" s="494"/>
      <x:c r="C158" s="494"/>
      <x:c r="D158" s="494"/>
    </x:row>
    <x:row r="159">
      <x:c r="A159" s="494"/>
      <x:c r="B159" s="494"/>
      <x:c r="C159" s="494"/>
      <x:c r="D159" s="494"/>
    </x:row>
    <x:row r="160">
      <x:c r="A160" s="494"/>
      <x:c r="B160" s="494"/>
      <x:c r="C160" s="494"/>
      <x:c r="D160" s="494"/>
    </x:row>
    <x:row r="161">
      <x:c r="A161" s="494"/>
      <x:c r="B161" s="494"/>
      <x:c r="C161" s="494"/>
      <x:c r="D161" s="494"/>
    </x:row>
    <x:row r="162">
      <x:c r="A162" s="494"/>
      <x:c r="B162" s="494"/>
      <x:c r="C162" s="494"/>
      <x:c r="D162" s="494"/>
    </x:row>
    <x:row r="163">
      <x:c r="A163" s="494"/>
      <x:c r="B163" s="494"/>
      <x:c r="C163" s="494"/>
      <x:c r="D163" s="494"/>
    </x:row>
    <x:row r="164">
      <x:c r="A164" s="494"/>
      <x:c r="B164" s="494"/>
      <x:c r="C164" s="494"/>
      <x:c r="D164" s="494"/>
    </x:row>
    <x:row r="165">
      <x:c r="A165" s="494"/>
      <x:c r="B165" s="494"/>
      <x:c r="C165" s="494"/>
      <x:c r="D165" s="494"/>
    </x:row>
    <x:row r="166">
      <x:c r="A166" s="494"/>
      <x:c r="B166" s="494"/>
      <x:c r="C166" s="494"/>
      <x:c r="D166" s="494"/>
    </x:row>
    <x:row r="167">
      <x:c r="A167" s="494"/>
      <x:c r="B167" s="494"/>
      <x:c r="C167" s="494"/>
      <x:c r="D167" s="494"/>
    </x:row>
    <x:row r="168">
      <x:c r="A168" s="494"/>
      <x:c r="B168" s="494"/>
      <x:c r="C168" s="494"/>
      <x:c r="D168" s="494"/>
    </x:row>
    <x:row r="169">
      <x:c r="A169" s="494"/>
      <x:c r="B169" s="494"/>
      <x:c r="C169" s="494"/>
      <x:c r="D169" s="494"/>
    </x:row>
    <x:row r="170">
      <x:c r="A170" s="494"/>
      <x:c r="B170" s="494"/>
      <x:c r="C170" s="494"/>
      <x:c r="D170" s="494"/>
    </x:row>
    <x:row r="171">
      <x:c r="A171" s="494"/>
      <x:c r="B171" s="494"/>
      <x:c r="C171" s="494"/>
      <x:c r="D171" s="494"/>
    </x:row>
    <x:row r="172">
      <x:c r="A172" s="494"/>
      <x:c r="B172" s="494"/>
      <x:c r="C172" s="494"/>
      <x:c r="D172" s="494"/>
    </x:row>
    <x:row r="173">
      <x:c r="A173" s="494"/>
      <x:c r="B173" s="494"/>
      <x:c r="C173" s="494"/>
      <x:c r="D173" s="494"/>
    </x:row>
    <x:row r="174">
      <x:c r="A174" s="494"/>
      <x:c r="B174" s="494"/>
      <x:c r="C174" s="494"/>
      <x:c r="D174" s="494"/>
    </x:row>
    <x:row r="175">
      <x:c r="A175" s="494"/>
      <x:c r="B175" s="494"/>
      <x:c r="C175" s="494"/>
      <x:c r="D175" s="494"/>
    </x:row>
    <x:row r="176">
      <x:c r="A176" s="494"/>
      <x:c r="B176" s="494"/>
      <x:c r="C176" s="494"/>
      <x:c r="D176" s="494"/>
    </x:row>
    <x:row r="177">
      <x:c r="A177" s="494"/>
      <x:c r="B177" s="494"/>
      <x:c r="C177" s="494"/>
      <x:c r="D177" s="494"/>
    </x:row>
    <x:row r="178">
      <x:c r="A178" s="494"/>
      <x:c r="B178" s="494"/>
      <x:c r="C178" s="494"/>
      <x:c r="D178" s="494"/>
    </x:row>
    <x:row r="179">
      <x:c r="A179" s="494"/>
      <x:c r="B179" s="494"/>
      <x:c r="C179" s="494"/>
      <x:c r="D179" s="494"/>
    </x:row>
    <x:row r="180">
      <x:c r="A180" s="494"/>
      <x:c r="B180" s="494"/>
      <x:c r="C180" s="494"/>
      <x:c r="D180" s="494"/>
    </x:row>
    <x:row r="181">
      <x:c r="A181" s="494"/>
      <x:c r="B181" s="494"/>
      <x:c r="C181" s="494"/>
      <x:c r="D181" s="494"/>
    </x:row>
    <x:row r="182">
      <x:c r="A182" s="494"/>
      <x:c r="B182" s="494"/>
      <x:c r="C182" s="494"/>
      <x:c r="D182" s="494"/>
    </x:row>
    <x:row r="183">
      <x:c r="A183" s="494"/>
      <x:c r="B183" s="494"/>
      <x:c r="C183" s="494"/>
      <x:c r="D183" s="494"/>
    </x:row>
    <x:row r="184">
      <x:c r="A184" s="494"/>
      <x:c r="B184" s="494"/>
      <x:c r="C184" s="494"/>
      <x:c r="D184" s="494"/>
    </x:row>
    <x:row r="185">
      <x:c r="A185" s="494"/>
      <x:c r="B185" s="494"/>
      <x:c r="C185" s="494"/>
      <x:c r="D185" s="494"/>
    </x:row>
    <x:row r="186">
      <x:c r="A186" s="494"/>
      <x:c r="B186" s="494"/>
      <x:c r="C186" s="494"/>
      <x:c r="D186" s="494"/>
    </x:row>
    <x:row r="187">
      <x:c r="A187" s="494"/>
      <x:c r="B187" s="494"/>
      <x:c r="C187" s="494"/>
      <x:c r="D187" s="494"/>
    </x:row>
    <x:row r="188">
      <x:c r="A188" s="494"/>
      <x:c r="B188" s="494"/>
      <x:c r="C188" s="494"/>
      <x:c r="D188" s="494"/>
    </x:row>
    <x:row r="189">
      <x:c r="A189" s="494"/>
      <x:c r="B189" s="494"/>
      <x:c r="C189" s="494"/>
      <x:c r="D189" s="494"/>
    </x:row>
    <x:row r="190">
      <x:c r="A190" s="494"/>
      <x:c r="B190" s="494"/>
      <x:c r="C190" s="494"/>
      <x:c r="D190" s="494"/>
    </x:row>
    <x:row r="191">
      <x:c r="A191" s="494"/>
      <x:c r="B191" s="494"/>
      <x:c r="C191" s="494"/>
      <x:c r="D191" s="494"/>
    </x:row>
    <x:row r="192">
      <x:c r="A192" s="494"/>
      <x:c r="B192" s="494"/>
      <x:c r="C192" s="494"/>
      <x:c r="D192" s="494"/>
    </x:row>
    <x:row r="193">
      <x:c r="A193" s="494"/>
      <x:c r="B193" s="494"/>
      <x:c r="C193" s="494"/>
      <x:c r="D193" s="494"/>
    </x:row>
    <x:row r="194">
      <x:c r="A194" s="494"/>
      <x:c r="B194" s="494"/>
      <x:c r="C194" s="494"/>
      <x:c r="D194" s="494"/>
    </x:row>
    <x:row r="195">
      <x:c r="A195" s="494"/>
      <x:c r="B195" s="494"/>
      <x:c r="C195" s="494"/>
      <x:c r="D195" s="494"/>
    </x:row>
    <x:row r="196">
      <x:c r="A196" s="494"/>
      <x:c r="B196" s="494"/>
      <x:c r="C196" s="494"/>
      <x:c r="D196" s="494"/>
    </x:row>
    <x:row r="197">
      <x:c r="A197" s="494"/>
      <x:c r="B197" s="494"/>
      <x:c r="C197" s="494"/>
      <x:c r="D197" s="494"/>
    </x:row>
    <x:row r="198">
      <x:c r="A198" s="494"/>
      <x:c r="B198" s="494"/>
      <x:c r="C198" s="494"/>
      <x:c r="D198" s="494"/>
    </x:row>
    <x:row r="199">
      <x:c r="A199" s="494"/>
      <x:c r="B199" s="494"/>
      <x:c r="C199" s="494"/>
      <x:c r="D199" s="494"/>
    </x:row>
    <x:row r="200">
      <x:c r="A200" s="494"/>
      <x:c r="B200" s="494"/>
      <x:c r="C200" s="494"/>
      <x:c r="D200" s="494"/>
    </x:row>
    <x:row r="201">
      <x:c r="A201" s="494"/>
      <x:c r="B201" s="494"/>
      <x:c r="C201" s="494"/>
      <x:c r="D201" s="494"/>
    </x:row>
    <x:row r="202">
      <x:c r="A202" s="494"/>
      <x:c r="B202" s="494"/>
      <x:c r="C202" s="494"/>
      <x:c r="D202" s="494"/>
    </x:row>
    <x:row r="203">
      <x:c r="A203" s="494"/>
      <x:c r="B203" s="494"/>
      <x:c r="C203" s="494"/>
      <x:c r="D203" s="494"/>
    </x:row>
    <x:row r="204">
      <x:c r="A204" s="494"/>
      <x:c r="B204" s="494"/>
      <x:c r="C204" s="494"/>
      <x:c r="D204" s="494"/>
    </x:row>
    <x:row r="205">
      <x:c r="A205" s="494"/>
      <x:c r="B205" s="494"/>
      <x:c r="C205" s="494"/>
      <x:c r="D205" s="494"/>
    </x:row>
    <x:row r="206">
      <x:c r="A206" s="494"/>
      <x:c r="B206" s="494"/>
      <x:c r="C206" s="494"/>
      <x:c r="D206" s="494"/>
    </x:row>
    <x:row r="207">
      <x:c r="A207" s="494"/>
      <x:c r="B207" s="494"/>
      <x:c r="C207" s="494"/>
      <x:c r="D207" s="494"/>
    </x:row>
    <x:row r="208">
      <x:c r="A208" s="494"/>
      <x:c r="B208" s="494"/>
      <x:c r="C208" s="494"/>
      <x:c r="D208" s="494"/>
    </x:row>
    <x:row r="209">
      <x:c r="A209" s="494"/>
      <x:c r="B209" s="494"/>
      <x:c r="C209" s="494"/>
      <x:c r="D209" s="494"/>
    </x:row>
    <x:row r="210">
      <x:c r="A210" s="494"/>
      <x:c r="B210" s="494"/>
      <x:c r="C210" s="494"/>
      <x:c r="D210" s="494"/>
    </x:row>
    <x:row r="211">
      <x:c r="A211" s="494"/>
      <x:c r="B211" s="494"/>
      <x:c r="C211" s="494"/>
      <x:c r="D211" s="494"/>
    </x:row>
    <x:row r="212">
      <x:c r="A212" s="494"/>
      <x:c r="B212" s="494"/>
      <x:c r="C212" s="494"/>
      <x:c r="D212" s="494"/>
    </x:row>
    <x:row r="213">
      <x:c r="A213" s="494"/>
      <x:c r="B213" s="494"/>
      <x:c r="C213" s="494"/>
      <x:c r="D213" s="494"/>
    </x:row>
    <x:row r="214">
      <x:c r="A214" s="494"/>
      <x:c r="B214" s="494"/>
      <x:c r="C214" s="494"/>
      <x:c r="D214" s="494"/>
    </x:row>
    <x:row r="215">
      <x:c r="A215" s="494"/>
      <x:c r="B215" s="494"/>
      <x:c r="C215" s="494"/>
      <x:c r="D215" s="494"/>
    </x:row>
    <x:row r="216">
      <x:c r="A216" s="494"/>
      <x:c r="B216" s="494"/>
      <x:c r="C216" s="494"/>
      <x:c r="D216" s="494"/>
    </x:row>
    <x:row r="217">
      <x:c r="A217" s="494"/>
      <x:c r="B217" s="494"/>
      <x:c r="C217" s="494"/>
      <x:c r="D217" s="494"/>
    </x:row>
    <x:row r="218">
      <x:c r="A218" s="494"/>
      <x:c r="B218" s="494"/>
      <x:c r="C218" s="494"/>
      <x:c r="D218" s="494"/>
    </x:row>
    <x:row r="219">
      <x:c r="A219" s="494"/>
      <x:c r="B219" s="494"/>
      <x:c r="C219" s="494"/>
      <x:c r="D219" s="494"/>
    </x:row>
    <x:row r="220">
      <x:c r="A220" s="494"/>
      <x:c r="B220" s="494"/>
      <x:c r="C220" s="494"/>
      <x:c r="D220" s="494"/>
    </x:row>
  </x:sheetData>
  <x:mergeCells>
    <x:mergeCell ref="A3:D3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34" hidden="0" customWidth="1"/>
    <x:col min="4" max="4" width="36" hidden="0" customWidth="1"/>
    <x:col min="5" max="5" width="16" hidden="0" customWidth="1"/>
  </x:cols>
  <x:sheetData>
    <x:row r="1">
      <x:c r="A1" s="509" t="str">
        <x:v>💴 Money Hub / Yen Converter Plan</x:v>
      </x:c>
      <x:c r="B1" s="509"/>
      <x:c r="C1" s="509"/>
      <x:c r="D1" s="509"/>
      <x:c r="E1" s="509"/>
    </x:row>
    <x:row r="2">
      <x:c r="A2" s="509"/>
      <x:c r="B2" s="509"/>
      <x:c r="C2" s="509"/>
      <x:c r="D2" s="509"/>
      <x:c r="E2" s="509"/>
    </x:row>
    <x:row r="3">
      <x:c r="A3" s="510" t="str">
        <x:v>Money Hub is now treated as a primary trip feature. It is designed to work online with a live/cached rate and offline with a fallback estimate.</x:v>
      </x:c>
      <x:c r="B3" s="510"/>
      <x:c r="C3" s="510"/>
      <x:c r="D3" s="510"/>
      <x:c r="E3" s="510"/>
    </x:row>
    <x:row r="4">
      <x:c r="A4" s="506"/>
      <x:c r="B4" s="506"/>
      <x:c r="C4" s="506"/>
      <x:c r="D4" s="506"/>
      <x:c r="E4" s="506"/>
    </x:row>
    <x:row r="5">
      <x:c r="A5" s="513" t="str">
        <x:v>Feature</x:v>
      </x:c>
      <x:c r="B5" s="513" t="str">
        <x:v>Behavior</x:v>
      </x:c>
      <x:c r="C5" s="513" t="str">
        <x:v>Data Source</x:v>
      </x:c>
      <x:c r="D5" s="513" t="str">
        <x:v>Offline Behavior</x:v>
      </x:c>
      <x:c r="E5" s="513" t="str">
        <x:v>Status</x:v>
      </x:c>
    </x:row>
    <x:row r="6">
      <x:c r="A6" s="514" t="str">
        <x:v>Live exchange rate</x:v>
      </x:c>
      <x:c r="B6" s="514" t="str">
        <x:v>Fetch USD → JPY from Cloudflare /fx function</x:v>
      </x:c>
      <x:c r="C6" s="514" t="str">
        <x:v>open.er-api.com via Cloudflare Function</x:v>
      </x:c>
      <x:c r="D6" s="514" t="str">
        <x:v>Use cached or fallback rate</x:v>
      </x:c>
      <x:c r="E6" s="514" t="str">
        <x:v>Built</x:v>
      </x:c>
    </x:row>
    <x:row r="7">
      <x:c r="A7" s="514" t="str">
        <x:v>JPY ↔ USD converter</x:v>
      </x:c>
      <x:c r="B7" s="514" t="str">
        <x:v>Manual input, switch directions</x:v>
      </x:c>
      <x:c r="C7" s="514" t="str">
        <x:v>App local state + FX rate</x:v>
      </x:c>
      <x:c r="D7" s="514" t="str">
        <x:v>Works with cached/fallback rate</x:v>
      </x:c>
      <x:c r="E7" s="514" t="str">
        <x:v>Built</x:v>
      </x:c>
    </x:row>
    <x:row r="8">
      <x:c r="A8" s="514" t="str">
        <x:v>Quick buttons</x:v>
      </x:c>
      <x:c r="B8" s="514" t="str">
        <x:v>Common USD and JPY amounts</x:v>
      </x:c>
      <x:c r="C8" s="514" t="str">
        <x:v>App constants</x:v>
      </x:c>
      <x:c r="D8" s="514" t="str">
        <x:v>Works offline</x:v>
      </x:c>
      <x:c r="E8" s="514" t="str">
        <x:v>Built</x:v>
      </x:c>
    </x:row>
    <x:row r="9">
      <x:c r="A9" s="514" t="str">
        <x:v>Is this expensive?</x:v>
      </x:c>
      <x:c r="B9" s="514" t="str">
        <x:v>Contextual price examples</x:v>
      </x:c>
      <x:c r="C9" s="514" t="str">
        <x:v>App constants / future Sheet rows</x:v>
      </x:c>
      <x:c r="D9" s="514" t="str">
        <x:v>Works offline</x:v>
      </x:c>
      <x:c r="E9" s="514" t="str">
        <x:v>Built</x:v>
      </x:c>
    </x:row>
    <x:row r="10">
      <x:c r="A10" s="514" t="str">
        <x:v>Cash helper</x:v>
      </x:c>
      <x:c r="B10" s="514" t="str">
        <x:v>Manual bill/coin counts</x:v>
      </x:c>
      <x:c r="C10" s="514" t="str">
        <x:v>Device local storage</x:v>
      </x:c>
      <x:c r="D10" s="514" t="str">
        <x:v>Works offline</x:v>
      </x:c>
      <x:c r="E10" s="514" t="str">
        <x:v>Built</x:v>
      </x:c>
    </x:row>
    <x:row r="11">
      <x:c r="A11" s="514" t="str">
        <x:v>Budget tracker</x:v>
      </x:c>
      <x:c r="B11" s="514" t="str">
        <x:v>Reads Budget/Money sheets</x:v>
      </x:c>
      <x:c r="C11" s="514" t="str">
        <x:v>💴 Budget / 💳 Money</x:v>
      </x:c>
      <x:c r="D11" s="514" t="str">
        <x:v>Cached rows if loaded</x:v>
      </x:c>
      <x:c r="E11" s="514" t="str">
        <x:v>Built</x:v>
      </x:c>
    </x:row>
    <x:row r="12">
      <x:c r="A12" s="506"/>
      <x:c r="B12" s="506"/>
      <x:c r="C12" s="506"/>
      <x:c r="D12" s="506"/>
      <x:c r="E12" s="506"/>
    </x:row>
    <x:row r="13">
      <x:c r="A13" s="506"/>
      <x:c r="B13" s="506"/>
      <x:c r="C13" s="506"/>
      <x:c r="D13" s="506"/>
      <x:c r="E13" s="506"/>
    </x:row>
    <x:row r="14">
      <x:c r="A14" s="506"/>
      <x:c r="B14" s="506"/>
      <x:c r="C14" s="506"/>
      <x:c r="D14" s="506"/>
      <x:c r="E14" s="506"/>
    </x:row>
    <x:row r="15">
      <x:c r="A15" s="506"/>
      <x:c r="B15" s="506"/>
      <x:c r="C15" s="506"/>
      <x:c r="D15" s="506"/>
      <x:c r="E15" s="506"/>
    </x:row>
    <x:row r="16">
      <x:c r="A16" s="506"/>
      <x:c r="B16" s="506"/>
      <x:c r="C16" s="506"/>
      <x:c r="D16" s="506"/>
      <x:c r="E16" s="506"/>
    </x:row>
    <x:row r="17">
      <x:c r="A17" s="506"/>
      <x:c r="B17" s="506"/>
      <x:c r="C17" s="506"/>
      <x:c r="D17" s="506"/>
      <x:c r="E17" s="506"/>
    </x:row>
    <x:row r="18">
      <x:c r="A18" s="506"/>
      <x:c r="B18" s="506"/>
      <x:c r="C18" s="506"/>
      <x:c r="D18" s="506"/>
      <x:c r="E18" s="506"/>
    </x:row>
    <x:row r="19">
      <x:c r="A19" s="506"/>
      <x:c r="B19" s="506"/>
      <x:c r="C19" s="506"/>
      <x:c r="D19" s="506"/>
      <x:c r="E19" s="506"/>
    </x:row>
    <x:row r="20">
      <x:c r="A20" s="506"/>
      <x:c r="B20" s="506"/>
      <x:c r="C20" s="506"/>
      <x:c r="D20" s="506"/>
      <x:c r="E20" s="506"/>
    </x:row>
    <x:row r="21">
      <x:c r="A21" s="506"/>
      <x:c r="B21" s="506"/>
      <x:c r="C21" s="506"/>
      <x:c r="D21" s="506"/>
      <x:c r="E21" s="506"/>
    </x:row>
    <x:row r="22">
      <x:c r="A22" s="506"/>
      <x:c r="B22" s="506"/>
      <x:c r="C22" s="506"/>
      <x:c r="D22" s="506"/>
      <x:c r="E22" s="506"/>
    </x:row>
    <x:row r="23">
      <x:c r="A23" s="506"/>
      <x:c r="B23" s="506"/>
      <x:c r="C23" s="506"/>
      <x:c r="D23" s="506"/>
      <x:c r="E23" s="506"/>
    </x:row>
    <x:row r="24">
      <x:c r="A24" s="506"/>
      <x:c r="B24" s="506"/>
      <x:c r="C24" s="506"/>
      <x:c r="D24" s="506"/>
      <x:c r="E24" s="506"/>
    </x:row>
    <x:row r="25">
      <x:c r="A25" s="506"/>
      <x:c r="B25" s="506"/>
      <x:c r="C25" s="506"/>
      <x:c r="D25" s="506"/>
      <x:c r="E25" s="506"/>
    </x:row>
    <x:row r="26">
      <x:c r="A26" s="506"/>
      <x:c r="B26" s="506"/>
      <x:c r="C26" s="506"/>
      <x:c r="D26" s="506"/>
      <x:c r="E26" s="506"/>
    </x:row>
    <x:row r="27">
      <x:c r="A27" s="506"/>
      <x:c r="B27" s="506"/>
      <x:c r="C27" s="506"/>
      <x:c r="D27" s="506"/>
      <x:c r="E27" s="506"/>
    </x:row>
    <x:row r="28">
      <x:c r="A28" s="506"/>
      <x:c r="B28" s="506"/>
      <x:c r="C28" s="506"/>
      <x:c r="D28" s="506"/>
      <x:c r="E28" s="506"/>
    </x:row>
    <x:row r="29">
      <x:c r="A29" s="506"/>
      <x:c r="B29" s="506"/>
      <x:c r="C29" s="506"/>
      <x:c r="D29" s="506"/>
      <x:c r="E29" s="506"/>
    </x:row>
    <x:row r="30">
      <x:c r="A30" s="506"/>
      <x:c r="B30" s="506"/>
      <x:c r="C30" s="506"/>
      <x:c r="D30" s="506"/>
      <x:c r="E30" s="506"/>
    </x:row>
    <x:row r="31">
      <x:c r="A31" s="506"/>
      <x:c r="B31" s="506"/>
      <x:c r="C31" s="506"/>
      <x:c r="D31" s="506"/>
      <x:c r="E31" s="506"/>
    </x:row>
    <x:row r="32">
      <x:c r="A32" s="506"/>
      <x:c r="B32" s="506"/>
      <x:c r="C32" s="506"/>
      <x:c r="D32" s="506"/>
      <x:c r="E32" s="506"/>
    </x:row>
    <x:row r="33">
      <x:c r="A33" s="506"/>
      <x:c r="B33" s="506"/>
      <x:c r="C33" s="506"/>
      <x:c r="D33" s="506"/>
      <x:c r="E33" s="506"/>
    </x:row>
    <x:row r="34">
      <x:c r="A34" s="506"/>
      <x:c r="B34" s="506"/>
      <x:c r="C34" s="506"/>
      <x:c r="D34" s="506"/>
      <x:c r="E34" s="506"/>
    </x:row>
    <x:row r="35">
      <x:c r="A35" s="506"/>
      <x:c r="B35" s="506"/>
      <x:c r="C35" s="506"/>
      <x:c r="D35" s="506"/>
      <x:c r="E35" s="506"/>
    </x:row>
    <x:row r="36">
      <x:c r="A36" s="506"/>
      <x:c r="B36" s="506"/>
      <x:c r="C36" s="506"/>
      <x:c r="D36" s="506"/>
      <x:c r="E36" s="506"/>
    </x:row>
    <x:row r="37">
      <x:c r="A37" s="506"/>
      <x:c r="B37" s="506"/>
      <x:c r="C37" s="506"/>
      <x:c r="D37" s="506"/>
      <x:c r="E37" s="506"/>
    </x:row>
    <x:row r="38">
      <x:c r="A38" s="506"/>
      <x:c r="B38" s="506"/>
      <x:c r="C38" s="506"/>
      <x:c r="D38" s="506"/>
      <x:c r="E38" s="506"/>
    </x:row>
    <x:row r="39">
      <x:c r="A39" s="506"/>
      <x:c r="B39" s="506"/>
      <x:c r="C39" s="506"/>
      <x:c r="D39" s="506"/>
      <x:c r="E39" s="506"/>
    </x:row>
    <x:row r="40">
      <x:c r="A40" s="506"/>
      <x:c r="B40" s="506"/>
      <x:c r="C40" s="506"/>
      <x:c r="D40" s="506"/>
      <x:c r="E40" s="506"/>
    </x:row>
    <x:row r="41">
      <x:c r="A41" s="506"/>
      <x:c r="B41" s="506"/>
      <x:c r="C41" s="506"/>
      <x:c r="D41" s="506"/>
      <x:c r="E41" s="506"/>
    </x:row>
    <x:row r="42">
      <x:c r="A42" s="506"/>
      <x:c r="B42" s="506"/>
      <x:c r="C42" s="506"/>
      <x:c r="D42" s="506"/>
      <x:c r="E42" s="506"/>
    </x:row>
    <x:row r="43">
      <x:c r="A43" s="506"/>
      <x:c r="B43" s="506"/>
      <x:c r="C43" s="506"/>
      <x:c r="D43" s="506"/>
      <x:c r="E43" s="506"/>
    </x:row>
    <x:row r="44">
      <x:c r="A44" s="506"/>
      <x:c r="B44" s="506"/>
      <x:c r="C44" s="506"/>
      <x:c r="D44" s="506"/>
      <x:c r="E44" s="506"/>
    </x:row>
    <x:row r="45">
      <x:c r="A45" s="506"/>
      <x:c r="B45" s="506"/>
      <x:c r="C45" s="506"/>
      <x:c r="D45" s="506"/>
      <x:c r="E45" s="506"/>
    </x:row>
    <x:row r="46">
      <x:c r="A46" s="506"/>
      <x:c r="B46" s="506"/>
      <x:c r="C46" s="506"/>
      <x:c r="D46" s="506"/>
      <x:c r="E46" s="506"/>
    </x:row>
    <x:row r="47">
      <x:c r="A47" s="506"/>
      <x:c r="B47" s="506"/>
      <x:c r="C47" s="506"/>
      <x:c r="D47" s="506"/>
      <x:c r="E47" s="506"/>
    </x:row>
    <x:row r="48">
      <x:c r="A48" s="506"/>
      <x:c r="B48" s="506"/>
      <x:c r="C48" s="506"/>
      <x:c r="D48" s="506"/>
      <x:c r="E48" s="506"/>
    </x:row>
    <x:row r="49">
      <x:c r="A49" s="506"/>
      <x:c r="B49" s="506"/>
      <x:c r="C49" s="506"/>
      <x:c r="D49" s="506"/>
      <x:c r="E49" s="506"/>
    </x:row>
    <x:row r="50">
      <x:c r="A50" s="506"/>
      <x:c r="B50" s="506"/>
      <x:c r="C50" s="506"/>
      <x:c r="D50" s="506"/>
      <x:c r="E50" s="506"/>
    </x:row>
    <x:row r="51">
      <x:c r="A51" s="506"/>
      <x:c r="B51" s="506"/>
      <x:c r="C51" s="506"/>
      <x:c r="D51" s="506"/>
      <x:c r="E51" s="506"/>
    </x:row>
    <x:row r="52">
      <x:c r="A52" s="506"/>
      <x:c r="B52" s="506"/>
      <x:c r="C52" s="506"/>
      <x:c r="D52" s="506"/>
      <x:c r="E52" s="506"/>
    </x:row>
    <x:row r="53">
      <x:c r="A53" s="506"/>
      <x:c r="B53" s="506"/>
      <x:c r="C53" s="506"/>
      <x:c r="D53" s="506"/>
      <x:c r="E53" s="506"/>
    </x:row>
    <x:row r="54">
      <x:c r="A54" s="506"/>
      <x:c r="B54" s="506"/>
      <x:c r="C54" s="506"/>
      <x:c r="D54" s="506"/>
      <x:c r="E54" s="506"/>
    </x:row>
    <x:row r="55">
      <x:c r="A55" s="506"/>
      <x:c r="B55" s="506"/>
      <x:c r="C55" s="506"/>
      <x:c r="D55" s="506"/>
      <x:c r="E55" s="506"/>
    </x:row>
    <x:row r="56">
      <x:c r="A56" s="506"/>
      <x:c r="B56" s="506"/>
      <x:c r="C56" s="506"/>
      <x:c r="D56" s="506"/>
      <x:c r="E56" s="506"/>
    </x:row>
    <x:row r="57">
      <x:c r="A57" s="506"/>
      <x:c r="B57" s="506"/>
      <x:c r="C57" s="506"/>
      <x:c r="D57" s="506"/>
      <x:c r="E57" s="506"/>
    </x:row>
    <x:row r="58">
      <x:c r="A58" s="506"/>
      <x:c r="B58" s="506"/>
      <x:c r="C58" s="506"/>
      <x:c r="D58" s="506"/>
      <x:c r="E58" s="506"/>
    </x:row>
    <x:row r="59">
      <x:c r="A59" s="506"/>
      <x:c r="B59" s="506"/>
      <x:c r="C59" s="506"/>
      <x:c r="D59" s="506"/>
      <x:c r="E59" s="506"/>
    </x:row>
    <x:row r="60">
      <x:c r="A60" s="506"/>
      <x:c r="B60" s="506"/>
      <x:c r="C60" s="506"/>
      <x:c r="D60" s="506"/>
      <x:c r="E60" s="506"/>
    </x:row>
    <x:row r="61">
      <x:c r="A61" s="506"/>
      <x:c r="B61" s="506"/>
      <x:c r="C61" s="506"/>
      <x:c r="D61" s="506"/>
      <x:c r="E61" s="506"/>
    </x:row>
    <x:row r="62">
      <x:c r="A62" s="506"/>
      <x:c r="B62" s="506"/>
      <x:c r="C62" s="506"/>
      <x:c r="D62" s="506"/>
      <x:c r="E62" s="506"/>
    </x:row>
    <x:row r="63">
      <x:c r="A63" s="506"/>
      <x:c r="B63" s="506"/>
      <x:c r="C63" s="506"/>
      <x:c r="D63" s="506"/>
      <x:c r="E63" s="506"/>
    </x:row>
    <x:row r="64">
      <x:c r="A64" s="506"/>
      <x:c r="B64" s="506"/>
      <x:c r="C64" s="506"/>
      <x:c r="D64" s="506"/>
      <x:c r="E64" s="506"/>
    </x:row>
    <x:row r="65">
      <x:c r="A65" s="506"/>
      <x:c r="B65" s="506"/>
      <x:c r="C65" s="506"/>
      <x:c r="D65" s="506"/>
      <x:c r="E65" s="506"/>
    </x:row>
    <x:row r="66">
      <x:c r="A66" s="506"/>
      <x:c r="B66" s="506"/>
      <x:c r="C66" s="506"/>
      <x:c r="D66" s="506"/>
      <x:c r="E66" s="506"/>
    </x:row>
    <x:row r="67">
      <x:c r="A67" s="506"/>
      <x:c r="B67" s="506"/>
      <x:c r="C67" s="506"/>
      <x:c r="D67" s="506"/>
      <x:c r="E67" s="506"/>
    </x:row>
    <x:row r="68">
      <x:c r="A68" s="506"/>
      <x:c r="B68" s="506"/>
      <x:c r="C68" s="506"/>
      <x:c r="D68" s="506"/>
      <x:c r="E68" s="506"/>
    </x:row>
    <x:row r="69">
      <x:c r="A69" s="506"/>
      <x:c r="B69" s="506"/>
      <x:c r="C69" s="506"/>
      <x:c r="D69" s="506"/>
      <x:c r="E69" s="506"/>
    </x:row>
    <x:row r="70">
      <x:c r="A70" s="506"/>
      <x:c r="B70" s="506"/>
      <x:c r="C70" s="506"/>
      <x:c r="D70" s="506"/>
      <x:c r="E70" s="506"/>
    </x:row>
    <x:row r="71">
      <x:c r="A71" s="506"/>
      <x:c r="B71" s="506"/>
      <x:c r="C71" s="506"/>
      <x:c r="D71" s="506"/>
      <x:c r="E71" s="506"/>
    </x:row>
    <x:row r="72">
      <x:c r="A72" s="506"/>
      <x:c r="B72" s="506"/>
      <x:c r="C72" s="506"/>
      <x:c r="D72" s="506"/>
      <x:c r="E72" s="506"/>
    </x:row>
    <x:row r="73">
      <x:c r="A73" s="506"/>
      <x:c r="B73" s="506"/>
      <x:c r="C73" s="506"/>
      <x:c r="D73" s="506"/>
      <x:c r="E73" s="506"/>
    </x:row>
    <x:row r="74">
      <x:c r="A74" s="506"/>
      <x:c r="B74" s="506"/>
      <x:c r="C74" s="506"/>
      <x:c r="D74" s="506"/>
      <x:c r="E74" s="506"/>
    </x:row>
    <x:row r="75">
      <x:c r="A75" s="506"/>
      <x:c r="B75" s="506"/>
      <x:c r="C75" s="506"/>
      <x:c r="D75" s="506"/>
      <x:c r="E75" s="506"/>
    </x:row>
    <x:row r="76">
      <x:c r="A76" s="506"/>
      <x:c r="B76" s="506"/>
      <x:c r="C76" s="506"/>
      <x:c r="D76" s="506"/>
      <x:c r="E76" s="506"/>
    </x:row>
    <x:row r="77">
      <x:c r="A77" s="506"/>
      <x:c r="B77" s="506"/>
      <x:c r="C77" s="506"/>
      <x:c r="D77" s="506"/>
      <x:c r="E77" s="506"/>
    </x:row>
    <x:row r="78">
      <x:c r="A78" s="506"/>
      <x:c r="B78" s="506"/>
      <x:c r="C78" s="506"/>
      <x:c r="D78" s="506"/>
      <x:c r="E78" s="506"/>
    </x:row>
    <x:row r="79">
      <x:c r="A79" s="506"/>
      <x:c r="B79" s="506"/>
      <x:c r="C79" s="506"/>
      <x:c r="D79" s="506"/>
      <x:c r="E79" s="506"/>
    </x:row>
    <x:row r="80">
      <x:c r="A80" s="506"/>
      <x:c r="B80" s="506"/>
      <x:c r="C80" s="506"/>
      <x:c r="D80" s="506"/>
      <x:c r="E80" s="506"/>
    </x:row>
    <x:row r="81">
      <x:c r="A81" s="506"/>
      <x:c r="B81" s="506"/>
      <x:c r="C81" s="506"/>
      <x:c r="D81" s="506"/>
      <x:c r="E81" s="506"/>
    </x:row>
    <x:row r="82">
      <x:c r="A82" s="506"/>
      <x:c r="B82" s="506"/>
      <x:c r="C82" s="506"/>
      <x:c r="D82" s="506"/>
      <x:c r="E82" s="506"/>
    </x:row>
    <x:row r="83">
      <x:c r="A83" s="506"/>
      <x:c r="B83" s="506"/>
      <x:c r="C83" s="506"/>
      <x:c r="D83" s="506"/>
      <x:c r="E83" s="506"/>
    </x:row>
    <x:row r="84">
      <x:c r="A84" s="506"/>
      <x:c r="B84" s="506"/>
      <x:c r="C84" s="506"/>
      <x:c r="D84" s="506"/>
      <x:c r="E84" s="506"/>
    </x:row>
    <x:row r="85">
      <x:c r="A85" s="506"/>
      <x:c r="B85" s="506"/>
      <x:c r="C85" s="506"/>
      <x:c r="D85" s="506"/>
      <x:c r="E85" s="506"/>
    </x:row>
    <x:row r="86">
      <x:c r="A86" s="506"/>
      <x:c r="B86" s="506"/>
      <x:c r="C86" s="506"/>
      <x:c r="D86" s="506"/>
      <x:c r="E86" s="506"/>
    </x:row>
    <x:row r="87">
      <x:c r="A87" s="506"/>
      <x:c r="B87" s="506"/>
      <x:c r="C87" s="506"/>
      <x:c r="D87" s="506"/>
      <x:c r="E87" s="506"/>
    </x:row>
    <x:row r="88">
      <x:c r="A88" s="506"/>
      <x:c r="B88" s="506"/>
      <x:c r="C88" s="506"/>
      <x:c r="D88" s="506"/>
      <x:c r="E88" s="506"/>
    </x:row>
    <x:row r="89">
      <x:c r="A89" s="506"/>
      <x:c r="B89" s="506"/>
      <x:c r="C89" s="506"/>
      <x:c r="D89" s="506"/>
      <x:c r="E89" s="506"/>
    </x:row>
    <x:row r="90">
      <x:c r="A90" s="506"/>
      <x:c r="B90" s="506"/>
      <x:c r="C90" s="506"/>
      <x:c r="D90" s="506"/>
      <x:c r="E90" s="506"/>
    </x:row>
    <x:row r="91">
      <x:c r="A91" s="506"/>
      <x:c r="B91" s="506"/>
      <x:c r="C91" s="506"/>
      <x:c r="D91" s="506"/>
      <x:c r="E91" s="506"/>
    </x:row>
    <x:row r="92">
      <x:c r="A92" s="506"/>
      <x:c r="B92" s="506"/>
      <x:c r="C92" s="506"/>
      <x:c r="D92" s="506"/>
      <x:c r="E92" s="506"/>
    </x:row>
    <x:row r="93">
      <x:c r="A93" s="506"/>
      <x:c r="B93" s="506"/>
      <x:c r="C93" s="506"/>
      <x:c r="D93" s="506"/>
      <x:c r="E93" s="506"/>
    </x:row>
    <x:row r="94">
      <x:c r="A94" s="506"/>
      <x:c r="B94" s="506"/>
      <x:c r="C94" s="506"/>
      <x:c r="D94" s="506"/>
      <x:c r="E94" s="506"/>
    </x:row>
    <x:row r="95">
      <x:c r="A95" s="506"/>
      <x:c r="B95" s="506"/>
      <x:c r="C95" s="506"/>
      <x:c r="D95" s="506"/>
      <x:c r="E95" s="506"/>
    </x:row>
    <x:row r="96">
      <x:c r="A96" s="506"/>
      <x:c r="B96" s="506"/>
      <x:c r="C96" s="506"/>
      <x:c r="D96" s="506"/>
      <x:c r="E96" s="506"/>
    </x:row>
    <x:row r="97">
      <x:c r="A97" s="506"/>
      <x:c r="B97" s="506"/>
      <x:c r="C97" s="506"/>
      <x:c r="D97" s="506"/>
      <x:c r="E97" s="506"/>
    </x:row>
    <x:row r="98">
      <x:c r="A98" s="506"/>
      <x:c r="B98" s="506"/>
      <x:c r="C98" s="506"/>
      <x:c r="D98" s="506"/>
      <x:c r="E98" s="506"/>
    </x:row>
    <x:row r="99">
      <x:c r="A99" s="506"/>
      <x:c r="B99" s="506"/>
      <x:c r="C99" s="506"/>
      <x:c r="D99" s="506"/>
      <x:c r="E99" s="506"/>
    </x:row>
    <x:row r="100">
      <x:c r="A100" s="506"/>
      <x:c r="B100" s="506"/>
      <x:c r="C100" s="506"/>
      <x:c r="D100" s="506"/>
      <x:c r="E100" s="506"/>
    </x:row>
    <x:row r="101">
      <x:c r="A101" s="506"/>
      <x:c r="B101" s="506"/>
      <x:c r="C101" s="506"/>
      <x:c r="D101" s="506"/>
      <x:c r="E101" s="506"/>
    </x:row>
    <x:row r="102">
      <x:c r="A102" s="506"/>
      <x:c r="B102" s="506"/>
      <x:c r="C102" s="506"/>
      <x:c r="D102" s="506"/>
      <x:c r="E102" s="506"/>
    </x:row>
    <x:row r="103">
      <x:c r="A103" s="506"/>
      <x:c r="B103" s="506"/>
      <x:c r="C103" s="506"/>
      <x:c r="D103" s="506"/>
      <x:c r="E103" s="506"/>
    </x:row>
    <x:row r="104">
      <x:c r="A104" s="506"/>
      <x:c r="B104" s="506"/>
      <x:c r="C104" s="506"/>
      <x:c r="D104" s="506"/>
      <x:c r="E104" s="506"/>
    </x:row>
    <x:row r="105">
      <x:c r="A105" s="506"/>
      <x:c r="B105" s="506"/>
      <x:c r="C105" s="506"/>
      <x:c r="D105" s="506"/>
      <x:c r="E105" s="506"/>
    </x:row>
    <x:row r="106">
      <x:c r="A106" s="506"/>
      <x:c r="B106" s="506"/>
      <x:c r="C106" s="506"/>
      <x:c r="D106" s="506"/>
      <x:c r="E106" s="506"/>
    </x:row>
    <x:row r="107">
      <x:c r="A107" s="506"/>
      <x:c r="B107" s="506"/>
      <x:c r="C107" s="506"/>
      <x:c r="D107" s="506"/>
      <x:c r="E107" s="506"/>
    </x:row>
    <x:row r="108">
      <x:c r="A108" s="506"/>
      <x:c r="B108" s="506"/>
      <x:c r="C108" s="506"/>
      <x:c r="D108" s="506"/>
      <x:c r="E108" s="506"/>
    </x:row>
    <x:row r="109">
      <x:c r="A109" s="506"/>
      <x:c r="B109" s="506"/>
      <x:c r="C109" s="506"/>
      <x:c r="D109" s="506"/>
      <x:c r="E109" s="506"/>
    </x:row>
    <x:row r="110">
      <x:c r="A110" s="506"/>
      <x:c r="B110" s="506"/>
      <x:c r="C110" s="506"/>
      <x:c r="D110" s="506"/>
      <x:c r="E110" s="506"/>
    </x:row>
    <x:row r="111">
      <x:c r="A111" s="506"/>
      <x:c r="B111" s="506"/>
      <x:c r="C111" s="506"/>
      <x:c r="D111" s="506"/>
      <x:c r="E111" s="506"/>
    </x:row>
    <x:row r="112">
      <x:c r="A112" s="506"/>
      <x:c r="B112" s="506"/>
      <x:c r="C112" s="506"/>
      <x:c r="D112" s="506"/>
      <x:c r="E112" s="506"/>
    </x:row>
    <x:row r="113">
      <x:c r="A113" s="506"/>
      <x:c r="B113" s="506"/>
      <x:c r="C113" s="506"/>
      <x:c r="D113" s="506"/>
      <x:c r="E113" s="506"/>
    </x:row>
    <x:row r="114">
      <x:c r="A114" s="506"/>
      <x:c r="B114" s="506"/>
      <x:c r="C114" s="506"/>
      <x:c r="D114" s="506"/>
      <x:c r="E114" s="506"/>
    </x:row>
    <x:row r="115">
      <x:c r="A115" s="506"/>
      <x:c r="B115" s="506"/>
      <x:c r="C115" s="506"/>
      <x:c r="D115" s="506"/>
      <x:c r="E115" s="506"/>
    </x:row>
    <x:row r="116">
      <x:c r="A116" s="506"/>
      <x:c r="B116" s="506"/>
      <x:c r="C116" s="506"/>
      <x:c r="D116" s="506"/>
      <x:c r="E116" s="506"/>
    </x:row>
    <x:row r="117">
      <x:c r="A117" s="506"/>
      <x:c r="B117" s="506"/>
      <x:c r="C117" s="506"/>
      <x:c r="D117" s="506"/>
      <x:c r="E117" s="506"/>
    </x:row>
    <x:row r="118">
      <x:c r="A118" s="506"/>
      <x:c r="B118" s="506"/>
      <x:c r="C118" s="506"/>
      <x:c r="D118" s="506"/>
      <x:c r="E118" s="506"/>
    </x:row>
    <x:row r="119">
      <x:c r="A119" s="506"/>
      <x:c r="B119" s="506"/>
      <x:c r="C119" s="506"/>
      <x:c r="D119" s="506"/>
      <x:c r="E119" s="506"/>
    </x:row>
    <x:row r="120">
      <x:c r="A120" s="506"/>
      <x:c r="B120" s="506"/>
      <x:c r="C120" s="506"/>
      <x:c r="D120" s="506"/>
      <x:c r="E120" s="506"/>
    </x:row>
    <x:row r="121">
      <x:c r="A121" s="506"/>
      <x:c r="B121" s="506"/>
      <x:c r="C121" s="506"/>
      <x:c r="D121" s="506"/>
      <x:c r="E121" s="506"/>
    </x:row>
    <x:row r="122">
      <x:c r="A122" s="506"/>
      <x:c r="B122" s="506"/>
      <x:c r="C122" s="506"/>
      <x:c r="D122" s="506"/>
      <x:c r="E122" s="506"/>
    </x:row>
    <x:row r="123">
      <x:c r="A123" s="506"/>
      <x:c r="B123" s="506"/>
      <x:c r="C123" s="506"/>
      <x:c r="D123" s="506"/>
      <x:c r="E123" s="506"/>
    </x:row>
    <x:row r="124">
      <x:c r="A124" s="506"/>
      <x:c r="B124" s="506"/>
      <x:c r="C124" s="506"/>
      <x:c r="D124" s="506"/>
      <x:c r="E124" s="506"/>
    </x:row>
    <x:row r="125">
      <x:c r="A125" s="506"/>
      <x:c r="B125" s="506"/>
      <x:c r="C125" s="506"/>
      <x:c r="D125" s="506"/>
      <x:c r="E125" s="506"/>
    </x:row>
    <x:row r="126">
      <x:c r="A126" s="506"/>
      <x:c r="B126" s="506"/>
      <x:c r="C126" s="506"/>
      <x:c r="D126" s="506"/>
      <x:c r="E126" s="506"/>
    </x:row>
    <x:row r="127">
      <x:c r="A127" s="506"/>
      <x:c r="B127" s="506"/>
      <x:c r="C127" s="506"/>
      <x:c r="D127" s="506"/>
      <x:c r="E127" s="506"/>
    </x:row>
    <x:row r="128">
      <x:c r="A128" s="506"/>
      <x:c r="B128" s="506"/>
      <x:c r="C128" s="506"/>
      <x:c r="D128" s="506"/>
      <x:c r="E128" s="506"/>
    </x:row>
    <x:row r="129">
      <x:c r="A129" s="506"/>
      <x:c r="B129" s="506"/>
      <x:c r="C129" s="506"/>
      <x:c r="D129" s="506"/>
      <x:c r="E129" s="506"/>
    </x:row>
    <x:row r="130">
      <x:c r="A130" s="506"/>
      <x:c r="B130" s="506"/>
      <x:c r="C130" s="506"/>
      <x:c r="D130" s="506"/>
      <x:c r="E130" s="506"/>
    </x:row>
    <x:row r="131">
      <x:c r="A131" s="506"/>
      <x:c r="B131" s="506"/>
      <x:c r="C131" s="506"/>
      <x:c r="D131" s="506"/>
      <x:c r="E131" s="506"/>
    </x:row>
    <x:row r="132">
      <x:c r="A132" s="506"/>
      <x:c r="B132" s="506"/>
      <x:c r="C132" s="506"/>
      <x:c r="D132" s="506"/>
      <x:c r="E132" s="506"/>
    </x:row>
    <x:row r="133">
      <x:c r="A133" s="506"/>
      <x:c r="B133" s="506"/>
      <x:c r="C133" s="506"/>
      <x:c r="D133" s="506"/>
      <x:c r="E133" s="506"/>
    </x:row>
    <x:row r="134">
      <x:c r="A134" s="506"/>
      <x:c r="B134" s="506"/>
      <x:c r="C134" s="506"/>
      <x:c r="D134" s="506"/>
      <x:c r="E134" s="506"/>
    </x:row>
    <x:row r="135">
      <x:c r="A135" s="506"/>
      <x:c r="B135" s="506"/>
      <x:c r="C135" s="506"/>
      <x:c r="D135" s="506"/>
      <x:c r="E135" s="506"/>
    </x:row>
    <x:row r="136">
      <x:c r="A136" s="506"/>
      <x:c r="B136" s="506"/>
      <x:c r="C136" s="506"/>
      <x:c r="D136" s="506"/>
      <x:c r="E136" s="506"/>
    </x:row>
    <x:row r="137">
      <x:c r="A137" s="506"/>
      <x:c r="B137" s="506"/>
      <x:c r="C137" s="506"/>
      <x:c r="D137" s="506"/>
      <x:c r="E137" s="506"/>
    </x:row>
    <x:row r="138">
      <x:c r="A138" s="506"/>
      <x:c r="B138" s="506"/>
      <x:c r="C138" s="506"/>
      <x:c r="D138" s="506"/>
      <x:c r="E138" s="506"/>
    </x:row>
    <x:row r="139">
      <x:c r="A139" s="506"/>
      <x:c r="B139" s="506"/>
      <x:c r="C139" s="506"/>
      <x:c r="D139" s="506"/>
      <x:c r="E139" s="506"/>
    </x:row>
    <x:row r="140">
      <x:c r="A140" s="506"/>
      <x:c r="B140" s="506"/>
      <x:c r="C140" s="506"/>
      <x:c r="D140" s="506"/>
      <x:c r="E140" s="506"/>
    </x:row>
    <x:row r="141">
      <x:c r="A141" s="506"/>
      <x:c r="B141" s="506"/>
      <x:c r="C141" s="506"/>
      <x:c r="D141" s="506"/>
      <x:c r="E141" s="506"/>
    </x:row>
    <x:row r="142">
      <x:c r="A142" s="506"/>
      <x:c r="B142" s="506"/>
      <x:c r="C142" s="506"/>
      <x:c r="D142" s="506"/>
      <x:c r="E142" s="506"/>
    </x:row>
    <x:row r="143">
      <x:c r="A143" s="506"/>
      <x:c r="B143" s="506"/>
      <x:c r="C143" s="506"/>
      <x:c r="D143" s="506"/>
      <x:c r="E143" s="506"/>
    </x:row>
    <x:row r="144">
      <x:c r="A144" s="506"/>
      <x:c r="B144" s="506"/>
      <x:c r="C144" s="506"/>
      <x:c r="D144" s="506"/>
      <x:c r="E144" s="506"/>
    </x:row>
    <x:row r="145">
      <x:c r="A145" s="506"/>
      <x:c r="B145" s="506"/>
      <x:c r="C145" s="506"/>
      <x:c r="D145" s="506"/>
      <x:c r="E145" s="506"/>
    </x:row>
    <x:row r="146">
      <x:c r="A146" s="506"/>
      <x:c r="B146" s="506"/>
      <x:c r="C146" s="506"/>
      <x:c r="D146" s="506"/>
      <x:c r="E146" s="506"/>
    </x:row>
    <x:row r="147">
      <x:c r="A147" s="506"/>
      <x:c r="B147" s="506"/>
      <x:c r="C147" s="506"/>
      <x:c r="D147" s="506"/>
      <x:c r="E147" s="506"/>
    </x:row>
    <x:row r="148">
      <x:c r="A148" s="506"/>
      <x:c r="B148" s="506"/>
      <x:c r="C148" s="506"/>
      <x:c r="D148" s="506"/>
      <x:c r="E148" s="506"/>
    </x:row>
    <x:row r="149">
      <x:c r="A149" s="506"/>
      <x:c r="B149" s="506"/>
      <x:c r="C149" s="506"/>
      <x:c r="D149" s="506"/>
      <x:c r="E149" s="506"/>
    </x:row>
    <x:row r="150">
      <x:c r="A150" s="506"/>
      <x:c r="B150" s="506"/>
      <x:c r="C150" s="506"/>
      <x:c r="D150" s="506"/>
      <x:c r="E150" s="506"/>
    </x:row>
    <x:row r="151">
      <x:c r="A151" s="506"/>
      <x:c r="B151" s="506"/>
      <x:c r="C151" s="506"/>
      <x:c r="D151" s="506"/>
      <x:c r="E151" s="506"/>
    </x:row>
    <x:row r="152">
      <x:c r="A152" s="506"/>
      <x:c r="B152" s="506"/>
      <x:c r="C152" s="506"/>
      <x:c r="D152" s="506"/>
      <x:c r="E152" s="506"/>
    </x:row>
    <x:row r="153">
      <x:c r="A153" s="506"/>
      <x:c r="B153" s="506"/>
      <x:c r="C153" s="506"/>
      <x:c r="D153" s="506"/>
      <x:c r="E153" s="506"/>
    </x:row>
    <x:row r="154">
      <x:c r="A154" s="506"/>
      <x:c r="B154" s="506"/>
      <x:c r="C154" s="506"/>
      <x:c r="D154" s="506"/>
      <x:c r="E154" s="506"/>
    </x:row>
    <x:row r="155">
      <x:c r="A155" s="506"/>
      <x:c r="B155" s="506"/>
      <x:c r="C155" s="506"/>
      <x:c r="D155" s="506"/>
      <x:c r="E155" s="506"/>
    </x:row>
    <x:row r="156">
      <x:c r="A156" s="506"/>
      <x:c r="B156" s="506"/>
      <x:c r="C156" s="506"/>
      <x:c r="D156" s="506"/>
      <x:c r="E156" s="506"/>
    </x:row>
    <x:row r="157">
      <x:c r="A157" s="506"/>
      <x:c r="B157" s="506"/>
      <x:c r="C157" s="506"/>
      <x:c r="D157" s="506"/>
      <x:c r="E157" s="506"/>
    </x:row>
    <x:row r="158">
      <x:c r="A158" s="506"/>
      <x:c r="B158" s="506"/>
      <x:c r="C158" s="506"/>
      <x:c r="D158" s="506"/>
      <x:c r="E158" s="506"/>
    </x:row>
    <x:row r="159">
      <x:c r="A159" s="506"/>
      <x:c r="B159" s="506"/>
      <x:c r="C159" s="506"/>
      <x:c r="D159" s="506"/>
      <x:c r="E159" s="506"/>
    </x:row>
    <x:row r="160">
      <x:c r="A160" s="506"/>
      <x:c r="B160" s="506"/>
      <x:c r="C160" s="506"/>
      <x:c r="D160" s="506"/>
      <x:c r="E160" s="506"/>
    </x:row>
  </x:sheetData>
  <x:mergeCells>
    <x:mergeCell ref="A3:E3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48" hidden="0" customWidth="1"/>
  </x:cols>
  <x:sheetData>
    <x:row r="1">
      <x:c r="A1" s="509" t="str">
        <x:v>💱 Japan Price Sense Guide</x:v>
      </x:c>
      <x:c r="B1" s="509"/>
      <x:c r="C1" s="509"/>
      <x:c r="D1" s="509"/>
      <x:c r="E1" s="509"/>
    </x:row>
    <x:row r="2">
      <x:c r="A2" s="509"/>
      <x:c r="B2" s="509"/>
      <x:c r="C2" s="509"/>
      <x:c r="D2" s="509"/>
      <x:c r="E2" s="509"/>
    </x:row>
    <x:row r="3">
      <x:c r="A3" s="510" t="str">
        <x:v>Reference table for helping the family understand whether a price feels normal, cheap, or expensive. USD is formula-based using rough ¥145/USD.</x:v>
      </x:c>
      <x:c r="B3" s="510"/>
      <x:c r="C3" s="510"/>
      <x:c r="D3" s="510"/>
      <x:c r="E3" s="510"/>
    </x:row>
    <x:row r="4">
      <x:c r="A4" s="506"/>
      <x:c r="B4" s="506"/>
      <x:c r="C4" s="506"/>
      <x:c r="D4" s="506"/>
      <x:c r="E4" s="506"/>
    </x:row>
    <x:row r="5">
      <x:c r="A5" s="513" t="str">
        <x:v>Category</x:v>
      </x:c>
      <x:c r="B5" s="513" t="str">
        <x:v>Typical Yen</x:v>
      </x:c>
      <x:c r="C5" s="513" t="str">
        <x:v>Approx USD @145</x:v>
      </x:c>
      <x:c r="D5" s="513" t="str">
        <x:v>Judgment</x:v>
      </x:c>
      <x:c r="E5" s="513" t="str">
        <x:v>Notes</x:v>
      </x:c>
    </x:row>
    <x:row r="6">
      <x:c r="A6" s="514" t="str">
        <x:v>Ramen</x:v>
      </x:c>
      <x:c r="B6" s="514" t="n">
        <x:v>1200</x:v>
      </x:c>
      <x:c r="C6" s="515" t="n">
        <x:f>B6/145</x:f>
        <x:v>8.275862068965518</x:v>
      </x:c>
      <x:c r="D6" s="514" t="str">
        <x:v>Normal / good value</x:v>
      </x:c>
      <x:c r="E6" s="514" t="str">
        <x:v>Casual ramen often lands around this range.</x:v>
      </x:c>
    </x:row>
    <x:row r="7">
      <x:c r="A7" s="514" t="str">
        <x:v>Coffee</x:v>
      </x:c>
      <x:c r="B7" s="514" t="n">
        <x:v>700</x:v>
      </x:c>
      <x:c r="C7" s="515" t="n">
        <x:f>B7/145</x:f>
        <x:v>4.827586206896552</x:v>
      </x:c>
      <x:c r="D7" s="514" t="str">
        <x:v>Slightly expensive</x:v>
      </x:c>
      <x:c r="E7" s="514" t="str">
        <x:v>Convenience-store coffee is cheaper; cafes cost more.</x:v>
      </x:c>
    </x:row>
    <x:row r="8">
      <x:c r="A8" s="514" t="str">
        <x:v>Konbini breakfast</x:v>
      </x:c>
      <x:c r="B8" s="514" t="n">
        <x:v>650</x:v>
      </x:c>
      <x:c r="C8" s="515" t="n">
        <x:f>B8/145</x:f>
        <x:v>4.482758620689655</x:v>
      </x:c>
      <x:c r="D8" s="514" t="str">
        <x:v>Normal</x:v>
      </x:c>
      <x:c r="E8" s="514" t="str">
        <x:v>Good low-stress breakfast option.</x:v>
      </x:c>
    </x:row>
    <x:row r="9">
      <x:c r="A9" s="514" t="str">
        <x:v>Casual lunch</x:v>
      </x:c>
      <x:c r="B9" s="514" t="n">
        <x:v>1500</x:v>
      </x:c>
      <x:c r="C9" s="515" t="n">
        <x:f>B9/145</x:f>
        <x:v>10.344827586206897</x:v>
      </x:c>
      <x:c r="D9" s="514" t="str">
        <x:v>Normal</x:v>
      </x:c>
      <x:c r="E9" s="514" t="str">
        <x:v>Useful planning estimate.</x:v>
      </x:c>
    </x:row>
    <x:row r="10">
      <x:c r="A10" s="514" t="str">
        <x:v>Nice dinner</x:v>
      </x:c>
      <x:c r="B10" s="514" t="n">
        <x:v>6000</x:v>
      </x:c>
      <x:c r="C10" s="515" t="n">
        <x:f>B10/145</x:f>
        <x:v>41.37931034482759</x:v>
      </x:c>
      <x:c r="D10" s="514" t="str">
        <x:v>Nice/special</x:v>
      </x:c>
      <x:c r="E10" s="514" t="str">
        <x:v>Expected for a better sit-down meal.</x:v>
      </x:c>
    </x:row>
    <x:row r="11">
      <x:c r="A11" s="514" t="str">
        <x:v>Omakase / high-end sushi</x:v>
      </x:c>
      <x:c r="B11" s="514" t="n">
        <x:v>18000</x:v>
      </x:c>
      <x:c r="C11" s="515" t="n">
        <x:f>B11/145</x:f>
        <x:v>124.13793103448276</x:v>
      </x:c>
      <x:c r="D11" s="514" t="str">
        <x:v>High-end</x:v>
      </x:c>
      <x:c r="E11" s="514" t="str">
        <x:v>Expected for special sushi experiences.</x:v>
      </x:c>
    </x:row>
    <x:row r="12">
      <x:c r="A12" s="514" t="str">
        <x:v>Souvenir</x:v>
      </x:c>
      <x:c r="B12" s="514" t="n">
        <x:v>3000</x:v>
      </x:c>
      <x:c r="C12" s="515" t="n">
        <x:f>B12/145</x:f>
        <x:v>20.689655172413794</x:v>
      </x:c>
      <x:c r="D12" s="514" t="str">
        <x:v>Moderate</x:v>
      </x:c>
      <x:c r="E12" s="514" t="str">
        <x:v>Good benchmark for individual gifts.</x:v>
      </x:c>
    </x:row>
    <x:row r="13">
      <x:c r="A13" s="514" t="str">
        <x:v>Taxi short ride</x:v>
      </x:c>
      <x:c r="B13" s="514" t="n">
        <x:v>1800</x:v>
      </x:c>
      <x:c r="C13" s="515" t="n">
        <x:f>B13/145</x:f>
        <x:v>12.413793103448276</x:v>
      </x:c>
      <x:c r="D13" s="514" t="str">
        <x:v>Moderate</x:v>
      </x:c>
      <x:c r="E13" s="514" t="str">
        <x:v>Use when tired/heavy walking.</x:v>
      </x:c>
    </x:row>
    <x:row r="14">
      <x:c r="A14" s="506"/>
      <x:c r="B14" s="506"/>
      <x:c r="C14" s="506"/>
      <x:c r="D14" s="506"/>
      <x:c r="E14" s="506"/>
    </x:row>
    <x:row r="15">
      <x:c r="A15" s="506"/>
      <x:c r="B15" s="506"/>
      <x:c r="C15" s="506"/>
      <x:c r="D15" s="506"/>
      <x:c r="E15" s="506"/>
    </x:row>
    <x:row r="16">
      <x:c r="A16" s="506"/>
      <x:c r="B16" s="506"/>
      <x:c r="C16" s="506"/>
      <x:c r="D16" s="506"/>
      <x:c r="E16" s="506"/>
    </x:row>
    <x:row r="17">
      <x:c r="A17" s="506"/>
      <x:c r="B17" s="506"/>
      <x:c r="C17" s="506"/>
      <x:c r="D17" s="506"/>
      <x:c r="E17" s="506"/>
    </x:row>
    <x:row r="18">
      <x:c r="A18" s="506"/>
      <x:c r="B18" s="506"/>
      <x:c r="C18" s="506"/>
      <x:c r="D18" s="506"/>
      <x:c r="E18" s="506"/>
    </x:row>
    <x:row r="19">
      <x:c r="A19" s="506"/>
      <x:c r="B19" s="506"/>
      <x:c r="C19" s="506"/>
      <x:c r="D19" s="506"/>
      <x:c r="E19" s="506"/>
    </x:row>
    <x:row r="20">
      <x:c r="A20" s="506"/>
      <x:c r="B20" s="506"/>
      <x:c r="C20" s="506"/>
      <x:c r="D20" s="506"/>
      <x:c r="E20" s="506"/>
    </x:row>
    <x:row r="21">
      <x:c r="A21" s="506"/>
      <x:c r="B21" s="506"/>
      <x:c r="C21" s="506"/>
      <x:c r="D21" s="506"/>
      <x:c r="E21" s="506"/>
    </x:row>
    <x:row r="22">
      <x:c r="A22" s="506"/>
      <x:c r="B22" s="506"/>
      <x:c r="C22" s="506"/>
      <x:c r="D22" s="506"/>
      <x:c r="E22" s="506"/>
    </x:row>
    <x:row r="23">
      <x:c r="A23" s="506"/>
      <x:c r="B23" s="506"/>
      <x:c r="C23" s="506"/>
      <x:c r="D23" s="506"/>
      <x:c r="E23" s="506"/>
    </x:row>
    <x:row r="24">
      <x:c r="A24" s="506"/>
      <x:c r="B24" s="506"/>
      <x:c r="C24" s="506"/>
      <x:c r="D24" s="506"/>
      <x:c r="E24" s="506"/>
    </x:row>
    <x:row r="25">
      <x:c r="A25" s="506"/>
      <x:c r="B25" s="506"/>
      <x:c r="C25" s="506"/>
      <x:c r="D25" s="506"/>
      <x:c r="E25" s="506"/>
    </x:row>
    <x:row r="26">
      <x:c r="A26" s="506"/>
      <x:c r="B26" s="506"/>
      <x:c r="C26" s="506"/>
      <x:c r="D26" s="506"/>
      <x:c r="E26" s="506"/>
    </x:row>
    <x:row r="27">
      <x:c r="A27" s="506"/>
      <x:c r="B27" s="506"/>
      <x:c r="C27" s="506"/>
      <x:c r="D27" s="506"/>
      <x:c r="E27" s="506"/>
    </x:row>
    <x:row r="28">
      <x:c r="A28" s="506"/>
      <x:c r="B28" s="506"/>
      <x:c r="C28" s="506"/>
      <x:c r="D28" s="506"/>
      <x:c r="E28" s="506"/>
    </x:row>
    <x:row r="29">
      <x:c r="A29" s="506"/>
      <x:c r="B29" s="506"/>
      <x:c r="C29" s="506"/>
      <x:c r="D29" s="506"/>
      <x:c r="E29" s="506"/>
    </x:row>
    <x:row r="30">
      <x:c r="A30" s="506"/>
      <x:c r="B30" s="506"/>
      <x:c r="C30" s="506"/>
      <x:c r="D30" s="506"/>
      <x:c r="E30" s="506"/>
    </x:row>
    <x:row r="31">
      <x:c r="A31" s="506"/>
      <x:c r="B31" s="506"/>
      <x:c r="C31" s="506"/>
      <x:c r="D31" s="506"/>
      <x:c r="E31" s="506"/>
    </x:row>
    <x:row r="32">
      <x:c r="A32" s="506"/>
      <x:c r="B32" s="506"/>
      <x:c r="C32" s="506"/>
      <x:c r="D32" s="506"/>
      <x:c r="E32" s="506"/>
    </x:row>
    <x:row r="33">
      <x:c r="A33" s="506"/>
      <x:c r="B33" s="506"/>
      <x:c r="C33" s="506"/>
      <x:c r="D33" s="506"/>
      <x:c r="E33" s="506"/>
    </x:row>
    <x:row r="34">
      <x:c r="A34" s="506"/>
      <x:c r="B34" s="506"/>
      <x:c r="C34" s="506"/>
      <x:c r="D34" s="506"/>
      <x:c r="E34" s="506"/>
    </x:row>
    <x:row r="35">
      <x:c r="A35" s="506"/>
      <x:c r="B35" s="506"/>
      <x:c r="C35" s="506"/>
      <x:c r="D35" s="506"/>
      <x:c r="E35" s="506"/>
    </x:row>
    <x:row r="36">
      <x:c r="A36" s="506"/>
      <x:c r="B36" s="506"/>
      <x:c r="C36" s="506"/>
      <x:c r="D36" s="506"/>
      <x:c r="E36" s="506"/>
    </x:row>
    <x:row r="37">
      <x:c r="A37" s="506"/>
      <x:c r="B37" s="506"/>
      <x:c r="C37" s="506"/>
      <x:c r="D37" s="506"/>
      <x:c r="E37" s="506"/>
    </x:row>
    <x:row r="38">
      <x:c r="A38" s="506"/>
      <x:c r="B38" s="506"/>
      <x:c r="C38" s="506"/>
      <x:c r="D38" s="506"/>
      <x:c r="E38" s="506"/>
    </x:row>
    <x:row r="39">
      <x:c r="A39" s="506"/>
      <x:c r="B39" s="506"/>
      <x:c r="C39" s="506"/>
      <x:c r="D39" s="506"/>
      <x:c r="E39" s="506"/>
    </x:row>
    <x:row r="40">
      <x:c r="A40" s="506"/>
      <x:c r="B40" s="506"/>
      <x:c r="C40" s="506"/>
      <x:c r="D40" s="506"/>
      <x:c r="E40" s="506"/>
    </x:row>
    <x:row r="41">
      <x:c r="A41" s="506"/>
      <x:c r="B41" s="506"/>
      <x:c r="C41" s="506"/>
      <x:c r="D41" s="506"/>
      <x:c r="E41" s="506"/>
    </x:row>
    <x:row r="42">
      <x:c r="A42" s="506"/>
      <x:c r="B42" s="506"/>
      <x:c r="C42" s="506"/>
      <x:c r="D42" s="506"/>
      <x:c r="E42" s="506"/>
    </x:row>
    <x:row r="43">
      <x:c r="A43" s="506"/>
      <x:c r="B43" s="506"/>
      <x:c r="C43" s="506"/>
      <x:c r="D43" s="506"/>
      <x:c r="E43" s="506"/>
    </x:row>
    <x:row r="44">
      <x:c r="A44" s="506"/>
      <x:c r="B44" s="506"/>
      <x:c r="C44" s="506"/>
      <x:c r="D44" s="506"/>
      <x:c r="E44" s="506"/>
    </x:row>
    <x:row r="45">
      <x:c r="A45" s="506"/>
      <x:c r="B45" s="506"/>
      <x:c r="C45" s="506"/>
      <x:c r="D45" s="506"/>
      <x:c r="E45" s="506"/>
    </x:row>
    <x:row r="46">
      <x:c r="A46" s="506"/>
      <x:c r="B46" s="506"/>
      <x:c r="C46" s="506"/>
      <x:c r="D46" s="506"/>
      <x:c r="E46" s="506"/>
    </x:row>
    <x:row r="47">
      <x:c r="A47" s="506"/>
      <x:c r="B47" s="506"/>
      <x:c r="C47" s="506"/>
      <x:c r="D47" s="506"/>
      <x:c r="E47" s="506"/>
    </x:row>
    <x:row r="48">
      <x:c r="A48" s="506"/>
      <x:c r="B48" s="506"/>
      <x:c r="C48" s="506"/>
      <x:c r="D48" s="506"/>
      <x:c r="E48" s="506"/>
    </x:row>
    <x:row r="49">
      <x:c r="A49" s="506"/>
      <x:c r="B49" s="506"/>
      <x:c r="C49" s="506"/>
      <x:c r="D49" s="506"/>
      <x:c r="E49" s="506"/>
    </x:row>
    <x:row r="50">
      <x:c r="A50" s="506"/>
      <x:c r="B50" s="506"/>
      <x:c r="C50" s="506"/>
      <x:c r="D50" s="506"/>
      <x:c r="E50" s="506"/>
    </x:row>
    <x:row r="51">
      <x:c r="A51" s="506"/>
      <x:c r="B51" s="506"/>
      <x:c r="C51" s="506"/>
      <x:c r="D51" s="506"/>
      <x:c r="E51" s="506"/>
    </x:row>
    <x:row r="52">
      <x:c r="A52" s="506"/>
      <x:c r="B52" s="506"/>
      <x:c r="C52" s="506"/>
      <x:c r="D52" s="506"/>
      <x:c r="E52" s="506"/>
    </x:row>
    <x:row r="53">
      <x:c r="A53" s="506"/>
      <x:c r="B53" s="506"/>
      <x:c r="C53" s="506"/>
      <x:c r="D53" s="506"/>
      <x:c r="E53" s="506"/>
    </x:row>
    <x:row r="54">
      <x:c r="A54" s="506"/>
      <x:c r="B54" s="506"/>
      <x:c r="C54" s="506"/>
      <x:c r="D54" s="506"/>
      <x:c r="E54" s="506"/>
    </x:row>
    <x:row r="55">
      <x:c r="A55" s="506"/>
      <x:c r="B55" s="506"/>
      <x:c r="C55" s="506"/>
      <x:c r="D55" s="506"/>
      <x:c r="E55" s="506"/>
    </x:row>
    <x:row r="56">
      <x:c r="A56" s="506"/>
      <x:c r="B56" s="506"/>
      <x:c r="C56" s="506"/>
      <x:c r="D56" s="506"/>
      <x:c r="E56" s="506"/>
    </x:row>
    <x:row r="57">
      <x:c r="A57" s="506"/>
      <x:c r="B57" s="506"/>
      <x:c r="C57" s="506"/>
      <x:c r="D57" s="506"/>
      <x:c r="E57" s="506"/>
    </x:row>
    <x:row r="58">
      <x:c r="A58" s="506"/>
      <x:c r="B58" s="506"/>
      <x:c r="C58" s="506"/>
      <x:c r="D58" s="506"/>
      <x:c r="E58" s="506"/>
    </x:row>
    <x:row r="59">
      <x:c r="A59" s="506"/>
      <x:c r="B59" s="506"/>
      <x:c r="C59" s="506"/>
      <x:c r="D59" s="506"/>
      <x:c r="E59" s="506"/>
    </x:row>
    <x:row r="60">
      <x:c r="A60" s="506"/>
      <x:c r="B60" s="506"/>
      <x:c r="C60" s="506"/>
      <x:c r="D60" s="506"/>
      <x:c r="E60" s="506"/>
    </x:row>
    <x:row r="61">
      <x:c r="A61" s="506"/>
      <x:c r="B61" s="506"/>
      <x:c r="C61" s="506"/>
      <x:c r="D61" s="506"/>
      <x:c r="E61" s="506"/>
    </x:row>
    <x:row r="62">
      <x:c r="A62" s="506"/>
      <x:c r="B62" s="506"/>
      <x:c r="C62" s="506"/>
      <x:c r="D62" s="506"/>
      <x:c r="E62" s="506"/>
    </x:row>
    <x:row r="63">
      <x:c r="A63" s="506"/>
      <x:c r="B63" s="506"/>
      <x:c r="C63" s="506"/>
      <x:c r="D63" s="506"/>
      <x:c r="E63" s="506"/>
    </x:row>
    <x:row r="64">
      <x:c r="A64" s="506"/>
      <x:c r="B64" s="506"/>
      <x:c r="C64" s="506"/>
      <x:c r="D64" s="506"/>
      <x:c r="E64" s="506"/>
    </x:row>
    <x:row r="65">
      <x:c r="A65" s="506"/>
      <x:c r="B65" s="506"/>
      <x:c r="C65" s="506"/>
      <x:c r="D65" s="506"/>
      <x:c r="E65" s="506"/>
    </x:row>
    <x:row r="66">
      <x:c r="A66" s="506"/>
      <x:c r="B66" s="506"/>
      <x:c r="C66" s="506"/>
      <x:c r="D66" s="506"/>
      <x:c r="E66" s="506"/>
    </x:row>
    <x:row r="67">
      <x:c r="A67" s="506"/>
      <x:c r="B67" s="506"/>
      <x:c r="C67" s="506"/>
      <x:c r="D67" s="506"/>
      <x:c r="E67" s="506"/>
    </x:row>
    <x:row r="68">
      <x:c r="A68" s="506"/>
      <x:c r="B68" s="506"/>
      <x:c r="C68" s="506"/>
      <x:c r="D68" s="506"/>
      <x:c r="E68" s="506"/>
    </x:row>
    <x:row r="69">
      <x:c r="A69" s="506"/>
      <x:c r="B69" s="506"/>
      <x:c r="C69" s="506"/>
      <x:c r="D69" s="506"/>
      <x:c r="E69" s="506"/>
    </x:row>
    <x:row r="70">
      <x:c r="A70" s="506"/>
      <x:c r="B70" s="506"/>
      <x:c r="C70" s="506"/>
      <x:c r="D70" s="506"/>
      <x:c r="E70" s="506"/>
    </x:row>
    <x:row r="71">
      <x:c r="A71" s="506"/>
      <x:c r="B71" s="506"/>
      <x:c r="C71" s="506"/>
      <x:c r="D71" s="506"/>
      <x:c r="E71" s="506"/>
    </x:row>
    <x:row r="72">
      <x:c r="A72" s="506"/>
      <x:c r="B72" s="506"/>
      <x:c r="C72" s="506"/>
      <x:c r="D72" s="506"/>
      <x:c r="E72" s="506"/>
    </x:row>
    <x:row r="73">
      <x:c r="A73" s="506"/>
      <x:c r="B73" s="506"/>
      <x:c r="C73" s="506"/>
      <x:c r="D73" s="506"/>
      <x:c r="E73" s="506"/>
    </x:row>
    <x:row r="74">
      <x:c r="A74" s="506"/>
      <x:c r="B74" s="506"/>
      <x:c r="C74" s="506"/>
      <x:c r="D74" s="506"/>
      <x:c r="E74" s="506"/>
    </x:row>
    <x:row r="75">
      <x:c r="A75" s="506"/>
      <x:c r="B75" s="506"/>
      <x:c r="C75" s="506"/>
      <x:c r="D75" s="506"/>
      <x:c r="E75" s="506"/>
    </x:row>
    <x:row r="76">
      <x:c r="A76" s="506"/>
      <x:c r="B76" s="506"/>
      <x:c r="C76" s="506"/>
      <x:c r="D76" s="506"/>
      <x:c r="E76" s="506"/>
    </x:row>
    <x:row r="77">
      <x:c r="A77" s="506"/>
      <x:c r="B77" s="506"/>
      <x:c r="C77" s="506"/>
      <x:c r="D77" s="506"/>
      <x:c r="E77" s="506"/>
    </x:row>
    <x:row r="78">
      <x:c r="A78" s="506"/>
      <x:c r="B78" s="506"/>
      <x:c r="C78" s="506"/>
      <x:c r="D78" s="506"/>
      <x:c r="E78" s="506"/>
    </x:row>
    <x:row r="79">
      <x:c r="A79" s="506"/>
      <x:c r="B79" s="506"/>
      <x:c r="C79" s="506"/>
      <x:c r="D79" s="506"/>
      <x:c r="E79" s="506"/>
    </x:row>
    <x:row r="80">
      <x:c r="A80" s="506"/>
      <x:c r="B80" s="506"/>
      <x:c r="C80" s="506"/>
      <x:c r="D80" s="506"/>
      <x:c r="E80" s="506"/>
    </x:row>
    <x:row r="81">
      <x:c r="A81" s="506"/>
      <x:c r="B81" s="506"/>
      <x:c r="C81" s="506"/>
      <x:c r="D81" s="506"/>
      <x:c r="E81" s="506"/>
    </x:row>
    <x:row r="82">
      <x:c r="A82" s="506"/>
      <x:c r="B82" s="506"/>
      <x:c r="C82" s="506"/>
      <x:c r="D82" s="506"/>
      <x:c r="E82" s="506"/>
    </x:row>
    <x:row r="83">
      <x:c r="A83" s="506"/>
      <x:c r="B83" s="506"/>
      <x:c r="C83" s="506"/>
      <x:c r="D83" s="506"/>
      <x:c r="E83" s="506"/>
    </x:row>
    <x:row r="84">
      <x:c r="A84" s="506"/>
      <x:c r="B84" s="506"/>
      <x:c r="C84" s="506"/>
      <x:c r="D84" s="506"/>
      <x:c r="E84" s="506"/>
    </x:row>
    <x:row r="85">
      <x:c r="A85" s="506"/>
      <x:c r="B85" s="506"/>
      <x:c r="C85" s="506"/>
      <x:c r="D85" s="506"/>
      <x:c r="E85" s="506"/>
    </x:row>
    <x:row r="86">
      <x:c r="A86" s="506"/>
      <x:c r="B86" s="506"/>
      <x:c r="C86" s="506"/>
      <x:c r="D86" s="506"/>
      <x:c r="E86" s="506"/>
    </x:row>
    <x:row r="87">
      <x:c r="A87" s="506"/>
      <x:c r="B87" s="506"/>
      <x:c r="C87" s="506"/>
      <x:c r="D87" s="506"/>
      <x:c r="E87" s="506"/>
    </x:row>
    <x:row r="88">
      <x:c r="A88" s="506"/>
      <x:c r="B88" s="506"/>
      <x:c r="C88" s="506"/>
      <x:c r="D88" s="506"/>
      <x:c r="E88" s="506"/>
    </x:row>
    <x:row r="89">
      <x:c r="A89" s="506"/>
      <x:c r="B89" s="506"/>
      <x:c r="C89" s="506"/>
      <x:c r="D89" s="506"/>
      <x:c r="E89" s="506"/>
    </x:row>
    <x:row r="90">
      <x:c r="A90" s="506"/>
      <x:c r="B90" s="506"/>
      <x:c r="C90" s="506"/>
      <x:c r="D90" s="506"/>
      <x:c r="E90" s="506"/>
    </x:row>
    <x:row r="91">
      <x:c r="A91" s="506"/>
      <x:c r="B91" s="506"/>
      <x:c r="C91" s="506"/>
      <x:c r="D91" s="506"/>
      <x:c r="E91" s="506"/>
    </x:row>
    <x:row r="92">
      <x:c r="A92" s="506"/>
      <x:c r="B92" s="506"/>
      <x:c r="C92" s="506"/>
      <x:c r="D92" s="506"/>
      <x:c r="E92" s="506"/>
    </x:row>
    <x:row r="93">
      <x:c r="A93" s="506"/>
      <x:c r="B93" s="506"/>
      <x:c r="C93" s="506"/>
      <x:c r="D93" s="506"/>
      <x:c r="E93" s="506"/>
    </x:row>
    <x:row r="94">
      <x:c r="A94" s="506"/>
      <x:c r="B94" s="506"/>
      <x:c r="C94" s="506"/>
      <x:c r="D94" s="506"/>
      <x:c r="E94" s="506"/>
    </x:row>
    <x:row r="95">
      <x:c r="A95" s="506"/>
      <x:c r="B95" s="506"/>
      <x:c r="C95" s="506"/>
      <x:c r="D95" s="506"/>
      <x:c r="E95" s="506"/>
    </x:row>
    <x:row r="96">
      <x:c r="A96" s="506"/>
      <x:c r="B96" s="506"/>
      <x:c r="C96" s="506"/>
      <x:c r="D96" s="506"/>
      <x:c r="E96" s="506"/>
    </x:row>
    <x:row r="97">
      <x:c r="A97" s="506"/>
      <x:c r="B97" s="506"/>
      <x:c r="C97" s="506"/>
      <x:c r="D97" s="506"/>
      <x:c r="E97" s="506"/>
    </x:row>
    <x:row r="98">
      <x:c r="A98" s="506"/>
      <x:c r="B98" s="506"/>
      <x:c r="C98" s="506"/>
      <x:c r="D98" s="506"/>
      <x:c r="E98" s="506"/>
    </x:row>
    <x:row r="99">
      <x:c r="A99" s="506"/>
      <x:c r="B99" s="506"/>
      <x:c r="C99" s="506"/>
      <x:c r="D99" s="506"/>
      <x:c r="E99" s="506"/>
    </x:row>
    <x:row r="100">
      <x:c r="A100" s="506"/>
      <x:c r="B100" s="506"/>
      <x:c r="C100" s="506"/>
      <x:c r="D100" s="506"/>
      <x:c r="E100" s="506"/>
    </x:row>
    <x:row r="101">
      <x:c r="A101" s="506"/>
      <x:c r="B101" s="506"/>
      <x:c r="C101" s="506"/>
      <x:c r="D101" s="506"/>
      <x:c r="E101" s="506"/>
    </x:row>
    <x:row r="102">
      <x:c r="A102" s="506"/>
      <x:c r="B102" s="506"/>
      <x:c r="C102" s="506"/>
      <x:c r="D102" s="506"/>
      <x:c r="E102" s="506"/>
    </x:row>
    <x:row r="103">
      <x:c r="A103" s="506"/>
      <x:c r="B103" s="506"/>
      <x:c r="C103" s="506"/>
      <x:c r="D103" s="506"/>
      <x:c r="E103" s="506"/>
    </x:row>
    <x:row r="104">
      <x:c r="A104" s="506"/>
      <x:c r="B104" s="506"/>
      <x:c r="C104" s="506"/>
      <x:c r="D104" s="506"/>
      <x:c r="E104" s="506"/>
    </x:row>
    <x:row r="105">
      <x:c r="A105" s="506"/>
      <x:c r="B105" s="506"/>
      <x:c r="C105" s="506"/>
      <x:c r="D105" s="506"/>
      <x:c r="E105" s="506"/>
    </x:row>
    <x:row r="106">
      <x:c r="A106" s="506"/>
      <x:c r="B106" s="506"/>
      <x:c r="C106" s="506"/>
      <x:c r="D106" s="506"/>
      <x:c r="E106" s="506"/>
    </x:row>
    <x:row r="107">
      <x:c r="A107" s="506"/>
      <x:c r="B107" s="506"/>
      <x:c r="C107" s="506"/>
      <x:c r="D107" s="506"/>
      <x:c r="E107" s="506"/>
    </x:row>
    <x:row r="108">
      <x:c r="A108" s="506"/>
      <x:c r="B108" s="506"/>
      <x:c r="C108" s="506"/>
      <x:c r="D108" s="506"/>
      <x:c r="E108" s="506"/>
    </x:row>
    <x:row r="109">
      <x:c r="A109" s="506"/>
      <x:c r="B109" s="506"/>
      <x:c r="C109" s="506"/>
      <x:c r="D109" s="506"/>
      <x:c r="E109" s="506"/>
    </x:row>
    <x:row r="110">
      <x:c r="A110" s="506"/>
      <x:c r="B110" s="506"/>
      <x:c r="C110" s="506"/>
      <x:c r="D110" s="506"/>
      <x:c r="E110" s="506"/>
    </x:row>
    <x:row r="111">
      <x:c r="A111" s="506"/>
      <x:c r="B111" s="506"/>
      <x:c r="C111" s="506"/>
      <x:c r="D111" s="506"/>
      <x:c r="E111" s="506"/>
    </x:row>
    <x:row r="112">
      <x:c r="A112" s="506"/>
      <x:c r="B112" s="506"/>
      <x:c r="C112" s="506"/>
      <x:c r="D112" s="506"/>
      <x:c r="E112" s="506"/>
    </x:row>
    <x:row r="113">
      <x:c r="A113" s="506"/>
      <x:c r="B113" s="506"/>
      <x:c r="C113" s="506"/>
      <x:c r="D113" s="506"/>
      <x:c r="E113" s="506"/>
    </x:row>
    <x:row r="114">
      <x:c r="A114" s="506"/>
      <x:c r="B114" s="506"/>
      <x:c r="C114" s="506"/>
      <x:c r="D114" s="506"/>
      <x:c r="E114" s="506"/>
    </x:row>
    <x:row r="115">
      <x:c r="A115" s="506"/>
      <x:c r="B115" s="506"/>
      <x:c r="C115" s="506"/>
      <x:c r="D115" s="506"/>
      <x:c r="E115" s="506"/>
    </x:row>
    <x:row r="116">
      <x:c r="A116" s="506"/>
      <x:c r="B116" s="506"/>
      <x:c r="C116" s="506"/>
      <x:c r="D116" s="506"/>
      <x:c r="E116" s="506"/>
    </x:row>
    <x:row r="117">
      <x:c r="A117" s="506"/>
      <x:c r="B117" s="506"/>
      <x:c r="C117" s="506"/>
      <x:c r="D117" s="506"/>
      <x:c r="E117" s="506"/>
    </x:row>
    <x:row r="118">
      <x:c r="A118" s="506"/>
      <x:c r="B118" s="506"/>
      <x:c r="C118" s="506"/>
      <x:c r="D118" s="506"/>
      <x:c r="E118" s="506"/>
    </x:row>
    <x:row r="119">
      <x:c r="A119" s="506"/>
      <x:c r="B119" s="506"/>
      <x:c r="C119" s="506"/>
      <x:c r="D119" s="506"/>
      <x:c r="E119" s="506"/>
    </x:row>
    <x:row r="120">
      <x:c r="A120" s="506"/>
      <x:c r="B120" s="506"/>
      <x:c r="C120" s="506"/>
      <x:c r="D120" s="506"/>
      <x:c r="E120" s="506"/>
    </x:row>
    <x:row r="121">
      <x:c r="A121" s="506"/>
      <x:c r="B121" s="506"/>
      <x:c r="C121" s="506"/>
      <x:c r="D121" s="506"/>
      <x:c r="E121" s="506"/>
    </x:row>
    <x:row r="122">
      <x:c r="A122" s="506"/>
      <x:c r="B122" s="506"/>
      <x:c r="C122" s="506"/>
      <x:c r="D122" s="506"/>
      <x:c r="E122" s="506"/>
    </x:row>
    <x:row r="123">
      <x:c r="A123" s="506"/>
      <x:c r="B123" s="506"/>
      <x:c r="C123" s="506"/>
      <x:c r="D123" s="506"/>
      <x:c r="E123" s="506"/>
    </x:row>
    <x:row r="124">
      <x:c r="A124" s="506"/>
      <x:c r="B124" s="506"/>
      <x:c r="C124" s="506"/>
      <x:c r="D124" s="506"/>
      <x:c r="E124" s="506"/>
    </x:row>
    <x:row r="125">
      <x:c r="A125" s="506"/>
      <x:c r="B125" s="506"/>
      <x:c r="C125" s="506"/>
      <x:c r="D125" s="506"/>
      <x:c r="E125" s="506"/>
    </x:row>
    <x:row r="126">
      <x:c r="A126" s="506"/>
      <x:c r="B126" s="506"/>
      <x:c r="C126" s="506"/>
      <x:c r="D126" s="506"/>
      <x:c r="E126" s="506"/>
    </x:row>
    <x:row r="127">
      <x:c r="A127" s="506"/>
      <x:c r="B127" s="506"/>
      <x:c r="C127" s="506"/>
      <x:c r="D127" s="506"/>
      <x:c r="E127" s="506"/>
    </x:row>
    <x:row r="128">
      <x:c r="A128" s="506"/>
      <x:c r="B128" s="506"/>
      <x:c r="C128" s="506"/>
      <x:c r="D128" s="506"/>
      <x:c r="E128" s="506"/>
    </x:row>
    <x:row r="129">
      <x:c r="A129" s="506"/>
      <x:c r="B129" s="506"/>
      <x:c r="C129" s="506"/>
      <x:c r="D129" s="506"/>
      <x:c r="E129" s="506"/>
    </x:row>
    <x:row r="130">
      <x:c r="A130" s="506"/>
      <x:c r="B130" s="506"/>
      <x:c r="C130" s="506"/>
      <x:c r="D130" s="506"/>
      <x:c r="E130" s="506"/>
    </x:row>
    <x:row r="131">
      <x:c r="A131" s="506"/>
      <x:c r="B131" s="506"/>
      <x:c r="C131" s="506"/>
      <x:c r="D131" s="506"/>
      <x:c r="E131" s="506"/>
    </x:row>
    <x:row r="132">
      <x:c r="A132" s="506"/>
      <x:c r="B132" s="506"/>
      <x:c r="C132" s="506"/>
      <x:c r="D132" s="506"/>
      <x:c r="E132" s="506"/>
    </x:row>
    <x:row r="133">
      <x:c r="A133" s="506"/>
      <x:c r="B133" s="506"/>
      <x:c r="C133" s="506"/>
      <x:c r="D133" s="506"/>
      <x:c r="E133" s="506"/>
    </x:row>
    <x:row r="134">
      <x:c r="A134" s="506"/>
      <x:c r="B134" s="506"/>
      <x:c r="C134" s="506"/>
      <x:c r="D134" s="506"/>
      <x:c r="E134" s="506"/>
    </x:row>
    <x:row r="135">
      <x:c r="A135" s="506"/>
      <x:c r="B135" s="506"/>
      <x:c r="C135" s="506"/>
      <x:c r="D135" s="506"/>
      <x:c r="E135" s="506"/>
    </x:row>
    <x:row r="136">
      <x:c r="A136" s="506"/>
      <x:c r="B136" s="506"/>
      <x:c r="C136" s="506"/>
      <x:c r="D136" s="506"/>
      <x:c r="E136" s="506"/>
    </x:row>
    <x:row r="137">
      <x:c r="A137" s="506"/>
      <x:c r="B137" s="506"/>
      <x:c r="C137" s="506"/>
      <x:c r="D137" s="506"/>
      <x:c r="E137" s="506"/>
    </x:row>
    <x:row r="138">
      <x:c r="A138" s="506"/>
      <x:c r="B138" s="506"/>
      <x:c r="C138" s="506"/>
      <x:c r="D138" s="506"/>
      <x:c r="E138" s="506"/>
    </x:row>
    <x:row r="139">
      <x:c r="A139" s="506"/>
      <x:c r="B139" s="506"/>
      <x:c r="C139" s="506"/>
      <x:c r="D139" s="506"/>
      <x:c r="E139" s="506"/>
    </x:row>
    <x:row r="140">
      <x:c r="A140" s="506"/>
      <x:c r="B140" s="506"/>
      <x:c r="C140" s="506"/>
      <x:c r="D140" s="506"/>
      <x:c r="E140" s="506"/>
    </x:row>
    <x:row r="141">
      <x:c r="A141" s="506"/>
      <x:c r="B141" s="506"/>
      <x:c r="C141" s="506"/>
      <x:c r="D141" s="506"/>
      <x:c r="E141" s="506"/>
    </x:row>
    <x:row r="142">
      <x:c r="A142" s="506"/>
      <x:c r="B142" s="506"/>
      <x:c r="C142" s="506"/>
      <x:c r="D142" s="506"/>
      <x:c r="E142" s="506"/>
    </x:row>
    <x:row r="143">
      <x:c r="A143" s="506"/>
      <x:c r="B143" s="506"/>
      <x:c r="C143" s="506"/>
      <x:c r="D143" s="506"/>
      <x:c r="E143" s="506"/>
    </x:row>
    <x:row r="144">
      <x:c r="A144" s="506"/>
      <x:c r="B144" s="506"/>
      <x:c r="C144" s="506"/>
      <x:c r="D144" s="506"/>
      <x:c r="E144" s="506"/>
    </x:row>
    <x:row r="145">
      <x:c r="A145" s="506"/>
      <x:c r="B145" s="506"/>
      <x:c r="C145" s="506"/>
      <x:c r="D145" s="506"/>
      <x:c r="E145" s="506"/>
    </x:row>
    <x:row r="146">
      <x:c r="A146" s="506"/>
      <x:c r="B146" s="506"/>
      <x:c r="C146" s="506"/>
      <x:c r="D146" s="506"/>
      <x:c r="E146" s="506"/>
    </x:row>
    <x:row r="147">
      <x:c r="A147" s="506"/>
      <x:c r="B147" s="506"/>
      <x:c r="C147" s="506"/>
      <x:c r="D147" s="506"/>
      <x:c r="E147" s="506"/>
    </x:row>
    <x:row r="148">
      <x:c r="A148" s="506"/>
      <x:c r="B148" s="506"/>
      <x:c r="C148" s="506"/>
      <x:c r="D148" s="506"/>
      <x:c r="E148" s="506"/>
    </x:row>
    <x:row r="149">
      <x:c r="A149" s="506"/>
      <x:c r="B149" s="506"/>
      <x:c r="C149" s="506"/>
      <x:c r="D149" s="506"/>
      <x:c r="E149" s="506"/>
    </x:row>
    <x:row r="150">
      <x:c r="A150" s="506"/>
      <x:c r="B150" s="506"/>
      <x:c r="C150" s="506"/>
      <x:c r="D150" s="506"/>
      <x:c r="E150" s="506"/>
    </x:row>
    <x:row r="151">
      <x:c r="A151" s="506"/>
      <x:c r="B151" s="506"/>
      <x:c r="C151" s="506"/>
      <x:c r="D151" s="506"/>
      <x:c r="E151" s="506"/>
    </x:row>
    <x:row r="152">
      <x:c r="A152" s="506"/>
      <x:c r="B152" s="506"/>
      <x:c r="C152" s="506"/>
      <x:c r="D152" s="506"/>
      <x:c r="E152" s="506"/>
    </x:row>
    <x:row r="153">
      <x:c r="A153" s="506"/>
      <x:c r="B153" s="506"/>
      <x:c r="C153" s="506"/>
      <x:c r="D153" s="506"/>
      <x:c r="E153" s="506"/>
    </x:row>
    <x:row r="154">
      <x:c r="A154" s="506"/>
      <x:c r="B154" s="506"/>
      <x:c r="C154" s="506"/>
      <x:c r="D154" s="506"/>
      <x:c r="E154" s="506"/>
    </x:row>
    <x:row r="155">
      <x:c r="A155" s="506"/>
      <x:c r="B155" s="506"/>
      <x:c r="C155" s="506"/>
      <x:c r="D155" s="506"/>
      <x:c r="E155" s="506"/>
    </x:row>
    <x:row r="156">
      <x:c r="A156" s="506"/>
      <x:c r="B156" s="506"/>
      <x:c r="C156" s="506"/>
      <x:c r="D156" s="506"/>
      <x:c r="E156" s="506"/>
    </x:row>
    <x:row r="157">
      <x:c r="A157" s="506"/>
      <x:c r="B157" s="506"/>
      <x:c r="C157" s="506"/>
      <x:c r="D157" s="506"/>
      <x:c r="E157" s="506"/>
    </x:row>
    <x:row r="158">
      <x:c r="A158" s="506"/>
      <x:c r="B158" s="506"/>
      <x:c r="C158" s="506"/>
      <x:c r="D158" s="506"/>
      <x:c r="E158" s="506"/>
    </x:row>
    <x:row r="159">
      <x:c r="A159" s="506"/>
      <x:c r="B159" s="506"/>
      <x:c r="C159" s="506"/>
      <x:c r="D159" s="506"/>
      <x:c r="E159" s="506"/>
    </x:row>
    <x:row r="160">
      <x:c r="A160" s="506"/>
      <x:c r="B160" s="506"/>
      <x:c r="C160" s="506"/>
      <x:c r="D160" s="506"/>
      <x:c r="E160" s="506"/>
    </x:row>
  </x:sheetData>
  <x:mergeCells>
    <x:mergeCell ref="A3:E3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6" hidden="0" customWidth="1"/>
    <x:col min="4" max="4" width="18" hidden="0" customWidth="1"/>
    <x:col min="5" max="5" width="20" hidden="0" customWidth="1"/>
    <x:col min="6" max="6" width="16" hidden="0" customWidth="1"/>
  </x:cols>
  <x:sheetData>
    <x:row r="1">
      <x:c r="A1" s="523" t="str">
        <x:v>🚀 Travel OS 1.0 RC2.1 Launch Checklist</x:v>
      </x:c>
      <x:c r="B1" s="523"/>
      <x:c r="C1" s="523"/>
      <x:c r="D1" s="523"/>
      <x:c r="E1" s="523"/>
      <x:c r="F1" s="523"/>
    </x:row>
    <x:row r="2">
      <x:c r="A2" s="523"/>
      <x:c r="B2" s="523"/>
      <x:c r="C2" s="523"/>
      <x:c r="D2" s="523"/>
      <x:c r="E2" s="523"/>
      <x:c r="F2" s="523"/>
    </x:row>
    <x:row r="3">
      <x:c r="A3" s="524" t="str">
        <x:v>Use this as the active release checklist. This workbook is now the master source for content entry and RC2 testing.</x:v>
      </x:c>
      <x:c r="B3" s="524"/>
      <x:c r="C3" s="524"/>
      <x:c r="D3" s="524"/>
      <x:c r="E3" s="524"/>
      <x:c r="F3" s="524"/>
    </x:row>
    <x:row r="4">
      <x:c r="A4" s="520"/>
      <x:c r="B4" s="520"/>
      <x:c r="C4" s="520"/>
      <x:c r="D4" s="520"/>
      <x:c r="E4" s="520"/>
      <x:c r="F4" s="520"/>
    </x:row>
    <x:row r="5">
      <x:c r="A5" s="527" t="str">
        <x:v>Area</x:v>
      </x:c>
      <x:c r="B5" s="527" t="str">
        <x:v>Task</x:v>
      </x:c>
      <x:c r="C5" s="527" t="str">
        <x:v>Expected Result</x:v>
      </x:c>
      <x:c r="D5" s="527" t="str">
        <x:v>Status</x:v>
      </x:c>
      <x:c r="E5" s="527" t="str">
        <x:v>Owner</x:v>
      </x:c>
      <x:c r="F5" s="527" t="str">
        <x:v>Priority</x:v>
      </x:c>
    </x:row>
    <x:row r="6">
      <x:c r="A6" s="528" t="str">
        <x:v>Deploy</x:v>
      </x:c>
      <x:c r="B6" s="528" t="str">
        <x:v>Upload RC2 package to GitHub</x:v>
      </x:c>
      <x:c r="C6" s="528" t="str">
        <x:v>Cloudflare deploy succeeds</x:v>
      </x:c>
      <x:c r="D6" s="528" t="str">
        <x:v>Not Started</x:v>
      </x:c>
      <x:c r="E6" s="528" t="str">
        <x:v>David</x:v>
      </x:c>
      <x:c r="F6" s="528" t="str">
        <x:v>Critical</x:v>
      </x:c>
    </x:row>
    <x:row r="7">
      <x:c r="A7" s="528" t="str">
        <x:v>API</x:v>
      </x:c>
      <x:c r="B7" s="528" t="str">
        <x:v>Open /api?action=core</x:v>
      </x:c>
      <x:c r="C7" s="528" t="str">
        <x:v>Returns ok:true JSON</x:v>
      </x:c>
      <x:c r="D7" s="528" t="str">
        <x:v>Not Started</x:v>
      </x:c>
      <x:c r="E7" s="528" t="str">
        <x:v>David</x:v>
      </x:c>
      <x:c r="F7" s="528" t="str">
        <x:v>Critical</x:v>
      </x:c>
    </x:row>
    <x:row r="8">
      <x:c r="A8" s="528" t="str">
        <x:v>FX</x:v>
      </x:c>
      <x:c r="B8" s="528" t="str">
        <x:v>Open /fx</x:v>
      </x:c>
      <x:c r="C8" s="528" t="str">
        <x:v>Returns JPY exchange rate JSON</x:v>
      </x:c>
      <x:c r="D8" s="528" t="str">
        <x:v>Not Started</x:v>
      </x:c>
      <x:c r="E8" s="528" t="str">
        <x:v>David</x:v>
      </x:c>
      <x:c r="F8" s="528" t="str">
        <x:v>High</x:v>
      </x:c>
    </x:row>
    <x:row r="9">
      <x:c r="A9" s="528" t="str">
        <x:v>Install</x:v>
      </x:c>
      <x:c r="B9" s="528" t="str">
        <x:v>Install PWA on iPhone</x:v>
      </x:c>
      <x:c r="C9" s="528" t="str">
        <x:v>Launches standalone</x:v>
      </x:c>
      <x:c r="D9" s="528" t="str">
        <x:v>Not Started</x:v>
      </x:c>
      <x:c r="E9" s="528" t="str">
        <x:v>David</x:v>
      </x:c>
      <x:c r="F9" s="528" t="str">
        <x:v>Critical</x:v>
      </x:c>
    </x:row>
    <x:row r="10">
      <x:c r="A10" s="528" t="str">
        <x:v>Offline</x:v>
      </x:c>
      <x:c r="B10" s="528" t="str">
        <x:v>Test Airplane Mode</x:v>
      </x:c>
      <x:c r="C10" s="528" t="str">
        <x:v>Essentials remain visible</x:v>
      </x:c>
      <x:c r="D10" s="528" t="str">
        <x:v>Not Started</x:v>
      </x:c>
      <x:c r="E10" s="528" t="str">
        <x:v>David</x:v>
      </x:c>
      <x:c r="F10" s="528" t="str">
        <x:v>Critical</x:v>
      </x:c>
    </x:row>
    <x:row r="11">
      <x:c r="A11" s="528" t="str">
        <x:v>Money</x:v>
      </x:c>
      <x:c r="B11" s="528" t="str">
        <x:v>Test Money Hub</x:v>
      </x:c>
      <x:c r="C11" s="528" t="str">
        <x:v>Converter/cash/price guide works</x:v>
      </x:c>
      <x:c r="D11" s="528" t="str">
        <x:v>Not Started</x:v>
      </x:c>
      <x:c r="E11" s="528" t="str">
        <x:v>David</x:v>
      </x:c>
      <x:c r="F11" s="528" t="str">
        <x:v>High</x:v>
      </x:c>
    </x:row>
    <x:row r="12">
      <x:c r="A12" s="528" t="str">
        <x:v>Suica</x:v>
      </x:c>
      <x:c r="B12" s="528" t="str">
        <x:v>Review Apple Wallet Suica</x:v>
      </x:c>
      <x:c r="C12" s="528" t="str">
        <x:v>Instructions are clear</x:v>
      </x:c>
      <x:c r="D12" s="528" t="str">
        <x:v>Not Started</x:v>
      </x:c>
      <x:c r="E12" s="528" t="str">
        <x:v>Everyone</x:v>
      </x:c>
      <x:c r="F12" s="528" t="str">
        <x:v>Critical</x:v>
      </x:c>
    </x:row>
    <x:row r="13">
      <x:c r="A13" s="528" t="str">
        <x:v>Hilda</x:v>
      </x:c>
      <x:c r="B13" s="528" t="str">
        <x:v>Hilda usability test</x:v>
      </x:c>
      <x:c r="C13" s="528" t="str">
        <x:v>Can find key info unaided</x:v>
      </x:c>
      <x:c r="D13" s="528" t="str">
        <x:v>Not Started</x:v>
      </x:c>
      <x:c r="E13" s="528" t="str">
        <x:v>Hilda</x:v>
      </x:c>
      <x:c r="F13" s="528" t="str">
        <x:v>Critical</x:v>
      </x:c>
    </x:row>
    <x:row r="14">
      <x:c r="A14" s="528" t="str">
        <x:v>Nick</x:v>
      </x:c>
      <x:c r="B14" s="528" t="str">
        <x:v>Nick usability test</x:v>
      </x:c>
      <x:c r="C14" s="528" t="str">
        <x:v>Can find food/transit/phrases</x:v>
      </x:c>
      <x:c r="D14" s="528" t="str">
        <x:v>Not Started</x:v>
      </x:c>
      <x:c r="E14" s="528" t="str">
        <x:v>Nick</x:v>
      </x:c>
      <x:c r="F14" s="528" t="str">
        <x:v>High</x:v>
      </x:c>
    </x:row>
    <x:row r="15">
      <x:c r="A15" s="528" t="str">
        <x:v>Content</x:v>
      </x:c>
      <x:c r="B15" s="528" t="str">
        <x:v>Complete hotels/restaurants/maps</x:v>
      </x:c>
      <x:c r="C15" s="528" t="str">
        <x:v>Critical info populated</x:v>
      </x:c>
      <x:c r="D15" s="528" t="str">
        <x:v>Not Started</x:v>
      </x:c>
      <x:c r="E15" s="528" t="str">
        <x:v>David + Noelle</x:v>
      </x:c>
      <x:c r="F15" s="528" t="str">
        <x:v>Critical</x:v>
      </x:c>
    </x:row>
    <x:row r="16">
      <x:c r="A16" s="528" t="str">
        <x:v>Safety</x:v>
      </x:c>
      <x:c r="B16" s="528" t="str">
        <x:v>Review SOS/Lost/emergency</x:v>
      </x:c>
      <x:c r="C16" s="528" t="str">
        <x:v>Accurate and easy to show someone</x:v>
      </x:c>
      <x:c r="D16" s="528" t="str">
        <x:v>Not Started</x:v>
      </x:c>
      <x:c r="E16" s="528" t="str">
        <x:v>David</x:v>
      </x:c>
      <x:c r="F16" s="528" t="str">
        <x:v>Critical</x:v>
      </x:c>
    </x:row>
    <x:row r="17">
      <x:c r="A17" s="528" t="str">
        <x:v>Freeze</x:v>
      </x:c>
      <x:c r="B17" s="528" t="str">
        <x:v>Stop feature additions</x:v>
      </x:c>
      <x:c r="C17" s="528" t="str">
        <x:v>Only content/bug fixes remain</x:v>
      </x:c>
      <x:c r="D17" s="528" t="str">
        <x:v>Not Started</x:v>
      </x:c>
      <x:c r="E17" s="528" t="str">
        <x:v>David</x:v>
      </x:c>
      <x:c r="F17" s="528" t="str">
        <x:v>High</x:v>
      </x:c>
    </x:row>
    <x:row r="18">
      <x:c r="A18" s="520"/>
      <x:c r="B18" s="520"/>
      <x:c r="C18" s="520"/>
      <x:c r="D18" s="520"/>
      <x:c r="E18" s="520"/>
      <x:c r="F18" s="520"/>
    </x:row>
    <x:row r="19">
      <x:c r="A19" s="520"/>
      <x:c r="B19" s="520"/>
      <x:c r="C19" s="520"/>
      <x:c r="D19" s="520"/>
      <x:c r="E19" s="520"/>
      <x:c r="F19" s="520"/>
    </x:row>
    <x:row r="20">
      <x:c r="A20" s="520"/>
      <x:c r="B20" s="520"/>
      <x:c r="C20" s="520"/>
      <x:c r="D20" s="520"/>
      <x:c r="E20" s="520"/>
      <x:c r="F20" s="520"/>
    </x:row>
    <x:row r="21">
      <x:c r="A21" s="520"/>
      <x:c r="B21" s="520"/>
      <x:c r="C21" s="520"/>
      <x:c r="D21" s="520"/>
      <x:c r="E21" s="520"/>
      <x:c r="F21" s="520"/>
    </x:row>
    <x:row r="22">
      <x:c r="A22" s="520"/>
      <x:c r="B22" s="520"/>
      <x:c r="C22" s="520"/>
      <x:c r="D22" s="520"/>
      <x:c r="E22" s="520"/>
      <x:c r="F22" s="520"/>
    </x:row>
    <x:row r="23">
      <x:c r="A23" s="520"/>
      <x:c r="B23" s="520"/>
      <x:c r="C23" s="520"/>
      <x:c r="D23" s="520"/>
      <x:c r="E23" s="520"/>
      <x:c r="F23" s="520"/>
    </x:row>
    <x:row r="24">
      <x:c r="A24" s="520"/>
      <x:c r="B24" s="520"/>
      <x:c r="C24" s="520"/>
      <x:c r="D24" s="520"/>
      <x:c r="E24" s="520"/>
      <x:c r="F24" s="520"/>
    </x:row>
    <x:row r="25">
      <x:c r="A25" s="520"/>
      <x:c r="B25" s="520"/>
      <x:c r="C25" s="520"/>
      <x:c r="D25" s="520"/>
      <x:c r="E25" s="520"/>
      <x:c r="F25" s="520"/>
    </x:row>
    <x:row r="26">
      <x:c r="A26" s="520"/>
      <x:c r="B26" s="520"/>
      <x:c r="C26" s="520"/>
      <x:c r="D26" s="520"/>
      <x:c r="E26" s="520"/>
      <x:c r="F26" s="520"/>
    </x:row>
    <x:row r="27">
      <x:c r="A27" s="520"/>
      <x:c r="B27" s="520"/>
      <x:c r="C27" s="520"/>
      <x:c r="D27" s="520"/>
      <x:c r="E27" s="520"/>
      <x:c r="F27" s="520"/>
    </x:row>
    <x:row r="28">
      <x:c r="A28" s="520"/>
      <x:c r="B28" s="520"/>
      <x:c r="C28" s="520"/>
      <x:c r="D28" s="520"/>
      <x:c r="E28" s="520"/>
      <x:c r="F28" s="520"/>
    </x:row>
    <x:row r="29">
      <x:c r="A29" s="520"/>
      <x:c r="B29" s="520"/>
      <x:c r="C29" s="520"/>
      <x:c r="D29" s="520"/>
      <x:c r="E29" s="520"/>
      <x:c r="F29" s="520"/>
    </x:row>
    <x:row r="30">
      <x:c r="A30" s="520"/>
      <x:c r="B30" s="520"/>
      <x:c r="C30" s="520"/>
      <x:c r="D30" s="520"/>
      <x:c r="E30" s="520"/>
      <x:c r="F30" s="520"/>
    </x:row>
    <x:row r="31">
      <x:c r="A31" s="520"/>
      <x:c r="B31" s="520"/>
      <x:c r="C31" s="520"/>
      <x:c r="D31" s="520"/>
      <x:c r="E31" s="520"/>
      <x:c r="F31" s="520"/>
    </x:row>
    <x:row r="32">
      <x:c r="A32" s="520"/>
      <x:c r="B32" s="520"/>
      <x:c r="C32" s="520"/>
      <x:c r="D32" s="520"/>
      <x:c r="E32" s="520"/>
      <x:c r="F32" s="520"/>
    </x:row>
    <x:row r="33">
      <x:c r="A33" s="520"/>
      <x:c r="B33" s="520"/>
      <x:c r="C33" s="520"/>
      <x:c r="D33" s="520"/>
      <x:c r="E33" s="520"/>
      <x:c r="F33" s="520"/>
    </x:row>
    <x:row r="34">
      <x:c r="A34" s="520"/>
      <x:c r="B34" s="520"/>
      <x:c r="C34" s="520"/>
      <x:c r="D34" s="520"/>
      <x:c r="E34" s="520"/>
      <x:c r="F34" s="520"/>
    </x:row>
    <x:row r="35">
      <x:c r="A35" s="520"/>
      <x:c r="B35" s="520"/>
      <x:c r="C35" s="520"/>
      <x:c r="D35" s="520"/>
      <x:c r="E35" s="520"/>
      <x:c r="F35" s="520"/>
    </x:row>
    <x:row r="36">
      <x:c r="A36" s="520"/>
      <x:c r="B36" s="520"/>
      <x:c r="C36" s="520"/>
      <x:c r="D36" s="520"/>
      <x:c r="E36" s="520"/>
      <x:c r="F36" s="520"/>
    </x:row>
    <x:row r="37">
      <x:c r="A37" s="520"/>
      <x:c r="B37" s="520"/>
      <x:c r="C37" s="520"/>
      <x:c r="D37" s="520"/>
      <x:c r="E37" s="520"/>
      <x:c r="F37" s="520"/>
    </x:row>
    <x:row r="38">
      <x:c r="A38" s="520"/>
      <x:c r="B38" s="520"/>
      <x:c r="C38" s="520"/>
      <x:c r="D38" s="520"/>
      <x:c r="E38" s="520"/>
      <x:c r="F38" s="520"/>
    </x:row>
    <x:row r="39">
      <x:c r="A39" s="520"/>
      <x:c r="B39" s="520"/>
      <x:c r="C39" s="520"/>
      <x:c r="D39" s="520"/>
      <x:c r="E39" s="520"/>
      <x:c r="F39" s="520"/>
    </x:row>
    <x:row r="40">
      <x:c r="A40" s="520"/>
      <x:c r="B40" s="520"/>
      <x:c r="C40" s="520"/>
      <x:c r="D40" s="520"/>
      <x:c r="E40" s="520"/>
      <x:c r="F40" s="520"/>
    </x:row>
    <x:row r="41">
      <x:c r="A41" s="520"/>
      <x:c r="B41" s="520"/>
      <x:c r="C41" s="520"/>
      <x:c r="D41" s="520"/>
      <x:c r="E41" s="520"/>
      <x:c r="F41" s="520"/>
    </x:row>
    <x:row r="42">
      <x:c r="A42" s="520"/>
      <x:c r="B42" s="520"/>
      <x:c r="C42" s="520"/>
      <x:c r="D42" s="520"/>
      <x:c r="E42" s="520"/>
      <x:c r="F42" s="520"/>
    </x:row>
    <x:row r="43">
      <x:c r="A43" s="520"/>
      <x:c r="B43" s="520"/>
      <x:c r="C43" s="520"/>
      <x:c r="D43" s="520"/>
      <x:c r="E43" s="520"/>
      <x:c r="F43" s="520"/>
    </x:row>
    <x:row r="44">
      <x:c r="A44" s="520"/>
      <x:c r="B44" s="520"/>
      <x:c r="C44" s="520"/>
      <x:c r="D44" s="520"/>
      <x:c r="E44" s="520"/>
      <x:c r="F44" s="520"/>
    </x:row>
    <x:row r="45">
      <x:c r="A45" s="520"/>
      <x:c r="B45" s="520"/>
      <x:c r="C45" s="520"/>
      <x:c r="D45" s="520"/>
      <x:c r="E45" s="520"/>
      <x:c r="F45" s="520"/>
    </x:row>
    <x:row r="46">
      <x:c r="A46" s="520"/>
      <x:c r="B46" s="520"/>
      <x:c r="C46" s="520"/>
      <x:c r="D46" s="520"/>
      <x:c r="E46" s="520"/>
      <x:c r="F46" s="520"/>
    </x:row>
    <x:row r="47">
      <x:c r="A47" s="520"/>
      <x:c r="B47" s="520"/>
      <x:c r="C47" s="520"/>
      <x:c r="D47" s="520"/>
      <x:c r="E47" s="520"/>
      <x:c r="F47" s="520"/>
    </x:row>
    <x:row r="48">
      <x:c r="A48" s="520"/>
      <x:c r="B48" s="520"/>
      <x:c r="C48" s="520"/>
      <x:c r="D48" s="520"/>
      <x:c r="E48" s="520"/>
      <x:c r="F48" s="520"/>
    </x:row>
    <x:row r="49">
      <x:c r="A49" s="520"/>
      <x:c r="B49" s="520"/>
      <x:c r="C49" s="520"/>
      <x:c r="D49" s="520"/>
      <x:c r="E49" s="520"/>
      <x:c r="F49" s="520"/>
    </x:row>
    <x:row r="50">
      <x:c r="A50" s="520"/>
      <x:c r="B50" s="520"/>
      <x:c r="C50" s="520"/>
      <x:c r="D50" s="520"/>
      <x:c r="E50" s="520"/>
      <x:c r="F50" s="520"/>
    </x:row>
    <x:row r="51">
      <x:c r="A51" s="520"/>
      <x:c r="B51" s="520"/>
      <x:c r="C51" s="520"/>
      <x:c r="D51" s="520"/>
      <x:c r="E51" s="520"/>
      <x:c r="F51" s="520"/>
    </x:row>
    <x:row r="52">
      <x:c r="A52" s="520"/>
      <x:c r="B52" s="520"/>
      <x:c r="C52" s="520"/>
      <x:c r="D52" s="520"/>
      <x:c r="E52" s="520"/>
      <x:c r="F52" s="520"/>
    </x:row>
    <x:row r="53">
      <x:c r="A53" s="520"/>
      <x:c r="B53" s="520"/>
      <x:c r="C53" s="520"/>
      <x:c r="D53" s="520"/>
      <x:c r="E53" s="520"/>
      <x:c r="F53" s="520"/>
    </x:row>
    <x:row r="54">
      <x:c r="A54" s="520"/>
      <x:c r="B54" s="520"/>
      <x:c r="C54" s="520"/>
      <x:c r="D54" s="520"/>
      <x:c r="E54" s="520"/>
      <x:c r="F54" s="520"/>
    </x:row>
    <x:row r="55">
      <x:c r="A55" s="520"/>
      <x:c r="B55" s="520"/>
      <x:c r="C55" s="520"/>
      <x:c r="D55" s="520"/>
      <x:c r="E55" s="520"/>
      <x:c r="F55" s="520"/>
    </x:row>
    <x:row r="56">
      <x:c r="A56" s="520"/>
      <x:c r="B56" s="520"/>
      <x:c r="C56" s="520"/>
      <x:c r="D56" s="520"/>
      <x:c r="E56" s="520"/>
      <x:c r="F56" s="520"/>
    </x:row>
    <x:row r="57">
      <x:c r="A57" s="520"/>
      <x:c r="B57" s="520"/>
      <x:c r="C57" s="520"/>
      <x:c r="D57" s="520"/>
      <x:c r="E57" s="520"/>
      <x:c r="F57" s="520"/>
    </x:row>
    <x:row r="58">
      <x:c r="A58" s="520"/>
      <x:c r="B58" s="520"/>
      <x:c r="C58" s="520"/>
      <x:c r="D58" s="520"/>
      <x:c r="E58" s="520"/>
      <x:c r="F58" s="520"/>
    </x:row>
    <x:row r="59">
      <x:c r="A59" s="520"/>
      <x:c r="B59" s="520"/>
      <x:c r="C59" s="520"/>
      <x:c r="D59" s="520"/>
      <x:c r="E59" s="520"/>
      <x:c r="F59" s="520"/>
    </x:row>
    <x:row r="60">
      <x:c r="A60" s="520"/>
      <x:c r="B60" s="520"/>
      <x:c r="C60" s="520"/>
      <x:c r="D60" s="520"/>
      <x:c r="E60" s="520"/>
      <x:c r="F60" s="520"/>
    </x:row>
    <x:row r="61">
      <x:c r="A61" s="520"/>
      <x:c r="B61" s="520"/>
      <x:c r="C61" s="520"/>
      <x:c r="D61" s="520"/>
      <x:c r="E61" s="520"/>
      <x:c r="F61" s="520"/>
    </x:row>
    <x:row r="62">
      <x:c r="A62" s="520"/>
      <x:c r="B62" s="520"/>
      <x:c r="C62" s="520"/>
      <x:c r="D62" s="520"/>
      <x:c r="E62" s="520"/>
      <x:c r="F62" s="520"/>
    </x:row>
    <x:row r="63">
      <x:c r="A63" s="520"/>
      <x:c r="B63" s="520"/>
      <x:c r="C63" s="520"/>
      <x:c r="D63" s="520"/>
      <x:c r="E63" s="520"/>
      <x:c r="F63" s="520"/>
    </x:row>
    <x:row r="64">
      <x:c r="A64" s="520"/>
      <x:c r="B64" s="520"/>
      <x:c r="C64" s="520"/>
      <x:c r="D64" s="520"/>
      <x:c r="E64" s="520"/>
      <x:c r="F64" s="520"/>
    </x:row>
    <x:row r="65">
      <x:c r="A65" s="520"/>
      <x:c r="B65" s="520"/>
      <x:c r="C65" s="520"/>
      <x:c r="D65" s="520"/>
      <x:c r="E65" s="520"/>
      <x:c r="F65" s="520"/>
    </x:row>
    <x:row r="66">
      <x:c r="A66" s="520"/>
      <x:c r="B66" s="520"/>
      <x:c r="C66" s="520"/>
      <x:c r="D66" s="520"/>
      <x:c r="E66" s="520"/>
      <x:c r="F66" s="520"/>
    </x:row>
    <x:row r="67">
      <x:c r="A67" s="520"/>
      <x:c r="B67" s="520"/>
      <x:c r="C67" s="520"/>
      <x:c r="D67" s="520"/>
      <x:c r="E67" s="520"/>
      <x:c r="F67" s="520"/>
    </x:row>
    <x:row r="68">
      <x:c r="A68" s="520"/>
      <x:c r="B68" s="520"/>
      <x:c r="C68" s="520"/>
      <x:c r="D68" s="520"/>
      <x:c r="E68" s="520"/>
      <x:c r="F68" s="520"/>
    </x:row>
    <x:row r="69">
      <x:c r="A69" s="520"/>
      <x:c r="B69" s="520"/>
      <x:c r="C69" s="520"/>
      <x:c r="D69" s="520"/>
      <x:c r="E69" s="520"/>
      <x:c r="F69" s="520"/>
    </x:row>
    <x:row r="70">
      <x:c r="A70" s="520"/>
      <x:c r="B70" s="520"/>
      <x:c r="C70" s="520"/>
      <x:c r="D70" s="520"/>
      <x:c r="E70" s="520"/>
      <x:c r="F70" s="520"/>
    </x:row>
    <x:row r="71">
      <x:c r="A71" s="520"/>
      <x:c r="B71" s="520"/>
      <x:c r="C71" s="520"/>
      <x:c r="D71" s="520"/>
      <x:c r="E71" s="520"/>
      <x:c r="F71" s="520"/>
    </x:row>
    <x:row r="72">
      <x:c r="A72" s="520"/>
      <x:c r="B72" s="520"/>
      <x:c r="C72" s="520"/>
      <x:c r="D72" s="520"/>
      <x:c r="E72" s="520"/>
      <x:c r="F72" s="520"/>
    </x:row>
    <x:row r="73">
      <x:c r="A73" s="520"/>
      <x:c r="B73" s="520"/>
      <x:c r="C73" s="520"/>
      <x:c r="D73" s="520"/>
      <x:c r="E73" s="520"/>
      <x:c r="F73" s="520"/>
    </x:row>
    <x:row r="74">
      <x:c r="A74" s="520"/>
      <x:c r="B74" s="520"/>
      <x:c r="C74" s="520"/>
      <x:c r="D74" s="520"/>
      <x:c r="E74" s="520"/>
      <x:c r="F74" s="520"/>
    </x:row>
    <x:row r="75">
      <x:c r="A75" s="520"/>
      <x:c r="B75" s="520"/>
      <x:c r="C75" s="520"/>
      <x:c r="D75" s="520"/>
      <x:c r="E75" s="520"/>
      <x:c r="F75" s="520"/>
    </x:row>
    <x:row r="76">
      <x:c r="A76" s="520"/>
      <x:c r="B76" s="520"/>
      <x:c r="C76" s="520"/>
      <x:c r="D76" s="520"/>
      <x:c r="E76" s="520"/>
      <x:c r="F76" s="520"/>
    </x:row>
    <x:row r="77">
      <x:c r="A77" s="520"/>
      <x:c r="B77" s="520"/>
      <x:c r="C77" s="520"/>
      <x:c r="D77" s="520"/>
      <x:c r="E77" s="520"/>
      <x:c r="F77" s="520"/>
    </x:row>
    <x:row r="78">
      <x:c r="A78" s="520"/>
      <x:c r="B78" s="520"/>
      <x:c r="C78" s="520"/>
      <x:c r="D78" s="520"/>
      <x:c r="E78" s="520"/>
      <x:c r="F78" s="520"/>
    </x:row>
    <x:row r="79">
      <x:c r="A79" s="520"/>
      <x:c r="B79" s="520"/>
      <x:c r="C79" s="520"/>
      <x:c r="D79" s="520"/>
      <x:c r="E79" s="520"/>
      <x:c r="F79" s="520"/>
    </x:row>
    <x:row r="80">
      <x:c r="A80" s="520"/>
      <x:c r="B80" s="520"/>
      <x:c r="C80" s="520"/>
      <x:c r="D80" s="520"/>
      <x:c r="E80" s="520"/>
      <x:c r="F80" s="520"/>
    </x:row>
    <x:row r="81">
      <x:c r="A81" s="520"/>
      <x:c r="B81" s="520"/>
      <x:c r="C81" s="520"/>
      <x:c r="D81" s="520"/>
      <x:c r="E81" s="520"/>
      <x:c r="F81" s="520"/>
    </x:row>
    <x:row r="82">
      <x:c r="A82" s="520"/>
      <x:c r="B82" s="520"/>
      <x:c r="C82" s="520"/>
      <x:c r="D82" s="520"/>
      <x:c r="E82" s="520"/>
      <x:c r="F82" s="520"/>
    </x:row>
    <x:row r="83">
      <x:c r="A83" s="520"/>
      <x:c r="B83" s="520"/>
      <x:c r="C83" s="520"/>
      <x:c r="D83" s="520"/>
      <x:c r="E83" s="520"/>
      <x:c r="F83" s="520"/>
    </x:row>
    <x:row r="84">
      <x:c r="A84" s="520"/>
      <x:c r="B84" s="520"/>
      <x:c r="C84" s="520"/>
      <x:c r="D84" s="520"/>
      <x:c r="E84" s="520"/>
      <x:c r="F84" s="520"/>
    </x:row>
    <x:row r="85">
      <x:c r="A85" s="520"/>
      <x:c r="B85" s="520"/>
      <x:c r="C85" s="520"/>
      <x:c r="D85" s="520"/>
      <x:c r="E85" s="520"/>
      <x:c r="F85" s="520"/>
    </x:row>
    <x:row r="86">
      <x:c r="A86" s="520"/>
      <x:c r="B86" s="520"/>
      <x:c r="C86" s="520"/>
      <x:c r="D86" s="520"/>
      <x:c r="E86" s="520"/>
      <x:c r="F86" s="520"/>
    </x:row>
    <x:row r="87">
      <x:c r="A87" s="520"/>
      <x:c r="B87" s="520"/>
      <x:c r="C87" s="520"/>
      <x:c r="D87" s="520"/>
      <x:c r="E87" s="520"/>
      <x:c r="F87" s="520"/>
    </x:row>
    <x:row r="88">
      <x:c r="A88" s="520"/>
      <x:c r="B88" s="520"/>
      <x:c r="C88" s="520"/>
      <x:c r="D88" s="520"/>
      <x:c r="E88" s="520"/>
      <x:c r="F88" s="520"/>
    </x:row>
    <x:row r="89">
      <x:c r="A89" s="520"/>
      <x:c r="B89" s="520"/>
      <x:c r="C89" s="520"/>
      <x:c r="D89" s="520"/>
      <x:c r="E89" s="520"/>
      <x:c r="F89" s="520"/>
    </x:row>
    <x:row r="90">
      <x:c r="A90" s="520"/>
      <x:c r="B90" s="520"/>
      <x:c r="C90" s="520"/>
      <x:c r="D90" s="520"/>
      <x:c r="E90" s="520"/>
      <x:c r="F90" s="520"/>
    </x:row>
    <x:row r="91">
      <x:c r="A91" s="520"/>
      <x:c r="B91" s="520"/>
      <x:c r="C91" s="520"/>
      <x:c r="D91" s="520"/>
      <x:c r="E91" s="520"/>
      <x:c r="F91" s="520"/>
    </x:row>
    <x:row r="92">
      <x:c r="A92" s="520"/>
      <x:c r="B92" s="520"/>
      <x:c r="C92" s="520"/>
      <x:c r="D92" s="520"/>
      <x:c r="E92" s="520"/>
      <x:c r="F92" s="520"/>
    </x:row>
    <x:row r="93">
      <x:c r="A93" s="520"/>
      <x:c r="B93" s="520"/>
      <x:c r="C93" s="520"/>
      <x:c r="D93" s="520"/>
      <x:c r="E93" s="520"/>
      <x:c r="F93" s="520"/>
    </x:row>
    <x:row r="94">
      <x:c r="A94" s="520"/>
      <x:c r="B94" s="520"/>
      <x:c r="C94" s="520"/>
      <x:c r="D94" s="520"/>
      <x:c r="E94" s="520"/>
      <x:c r="F94" s="520"/>
    </x:row>
    <x:row r="95">
      <x:c r="A95" s="520"/>
      <x:c r="B95" s="520"/>
      <x:c r="C95" s="520"/>
      <x:c r="D95" s="520"/>
      <x:c r="E95" s="520"/>
      <x:c r="F95" s="520"/>
    </x:row>
    <x:row r="96">
      <x:c r="A96" s="520"/>
      <x:c r="B96" s="520"/>
      <x:c r="C96" s="520"/>
      <x:c r="D96" s="520"/>
      <x:c r="E96" s="520"/>
      <x:c r="F96" s="520"/>
    </x:row>
    <x:row r="97">
      <x:c r="A97" s="520"/>
      <x:c r="B97" s="520"/>
      <x:c r="C97" s="520"/>
      <x:c r="D97" s="520"/>
      <x:c r="E97" s="520"/>
      <x:c r="F97" s="520"/>
    </x:row>
    <x:row r="98">
      <x:c r="A98" s="520"/>
      <x:c r="B98" s="520"/>
      <x:c r="C98" s="520"/>
      <x:c r="D98" s="520"/>
      <x:c r="E98" s="520"/>
      <x:c r="F98" s="520"/>
    </x:row>
    <x:row r="99">
      <x:c r="A99" s="520"/>
      <x:c r="B99" s="520"/>
      <x:c r="C99" s="520"/>
      <x:c r="D99" s="520"/>
      <x:c r="E99" s="520"/>
      <x:c r="F99" s="520"/>
    </x:row>
    <x:row r="100">
      <x:c r="A100" s="520"/>
      <x:c r="B100" s="520"/>
      <x:c r="C100" s="520"/>
      <x:c r="D100" s="520"/>
      <x:c r="E100" s="520"/>
      <x:c r="F100" s="520"/>
    </x:row>
    <x:row r="101">
      <x:c r="A101" s="520"/>
      <x:c r="B101" s="520"/>
      <x:c r="C101" s="520"/>
      <x:c r="D101" s="520"/>
      <x:c r="E101" s="520"/>
      <x:c r="F101" s="520"/>
    </x:row>
    <x:row r="102">
      <x:c r="A102" s="520"/>
      <x:c r="B102" s="520"/>
      <x:c r="C102" s="520"/>
      <x:c r="D102" s="520"/>
      <x:c r="E102" s="520"/>
      <x:c r="F102" s="520"/>
    </x:row>
    <x:row r="103">
      <x:c r="A103" s="520"/>
      <x:c r="B103" s="520"/>
      <x:c r="C103" s="520"/>
      <x:c r="D103" s="520"/>
      <x:c r="E103" s="520"/>
      <x:c r="F103" s="520"/>
    </x:row>
    <x:row r="104">
      <x:c r="A104" s="520"/>
      <x:c r="B104" s="520"/>
      <x:c r="C104" s="520"/>
      <x:c r="D104" s="520"/>
      <x:c r="E104" s="520"/>
      <x:c r="F104" s="520"/>
    </x:row>
    <x:row r="105">
      <x:c r="A105" s="520"/>
      <x:c r="B105" s="520"/>
      <x:c r="C105" s="520"/>
      <x:c r="D105" s="520"/>
      <x:c r="E105" s="520"/>
      <x:c r="F105" s="520"/>
    </x:row>
    <x:row r="106">
      <x:c r="A106" s="520"/>
      <x:c r="B106" s="520"/>
      <x:c r="C106" s="520"/>
      <x:c r="D106" s="520"/>
      <x:c r="E106" s="520"/>
      <x:c r="F106" s="520"/>
    </x:row>
    <x:row r="107">
      <x:c r="A107" s="520"/>
      <x:c r="B107" s="520"/>
      <x:c r="C107" s="520"/>
      <x:c r="D107" s="520"/>
      <x:c r="E107" s="520"/>
      <x:c r="F107" s="520"/>
    </x:row>
    <x:row r="108">
      <x:c r="A108" s="520"/>
      <x:c r="B108" s="520"/>
      <x:c r="C108" s="520"/>
      <x:c r="D108" s="520"/>
      <x:c r="E108" s="520"/>
      <x:c r="F108" s="520"/>
    </x:row>
    <x:row r="109">
      <x:c r="A109" s="520"/>
      <x:c r="B109" s="520"/>
      <x:c r="C109" s="520"/>
      <x:c r="D109" s="520"/>
      <x:c r="E109" s="520"/>
      <x:c r="F109" s="520"/>
    </x:row>
    <x:row r="110">
      <x:c r="A110" s="520"/>
      <x:c r="B110" s="520"/>
      <x:c r="C110" s="520"/>
      <x:c r="D110" s="520"/>
      <x:c r="E110" s="520"/>
      <x:c r="F110" s="520"/>
    </x:row>
    <x:row r="111">
      <x:c r="A111" s="520"/>
      <x:c r="B111" s="520"/>
      <x:c r="C111" s="520"/>
      <x:c r="D111" s="520"/>
      <x:c r="E111" s="520"/>
      <x:c r="F111" s="520"/>
    </x:row>
    <x:row r="112">
      <x:c r="A112" s="520"/>
      <x:c r="B112" s="520"/>
      <x:c r="C112" s="520"/>
      <x:c r="D112" s="520"/>
      <x:c r="E112" s="520"/>
      <x:c r="F112" s="520"/>
    </x:row>
    <x:row r="113">
      <x:c r="A113" s="520"/>
      <x:c r="B113" s="520"/>
      <x:c r="C113" s="520"/>
      <x:c r="D113" s="520"/>
      <x:c r="E113" s="520"/>
      <x:c r="F113" s="520"/>
    </x:row>
    <x:row r="114">
      <x:c r="A114" s="520"/>
      <x:c r="B114" s="520"/>
      <x:c r="C114" s="520"/>
      <x:c r="D114" s="520"/>
      <x:c r="E114" s="520"/>
      <x:c r="F114" s="520"/>
    </x:row>
    <x:row r="115">
      <x:c r="A115" s="520"/>
      <x:c r="B115" s="520"/>
      <x:c r="C115" s="520"/>
      <x:c r="D115" s="520"/>
      <x:c r="E115" s="520"/>
      <x:c r="F115" s="520"/>
    </x:row>
    <x:row r="116">
      <x:c r="A116" s="520"/>
      <x:c r="B116" s="520"/>
      <x:c r="C116" s="520"/>
      <x:c r="D116" s="520"/>
      <x:c r="E116" s="520"/>
      <x:c r="F116" s="520"/>
    </x:row>
    <x:row r="117">
      <x:c r="A117" s="520"/>
      <x:c r="B117" s="520"/>
      <x:c r="C117" s="520"/>
      <x:c r="D117" s="520"/>
      <x:c r="E117" s="520"/>
      <x:c r="F117" s="520"/>
    </x:row>
    <x:row r="118">
      <x:c r="A118" s="520"/>
      <x:c r="B118" s="520"/>
      <x:c r="C118" s="520"/>
      <x:c r="D118" s="520"/>
      <x:c r="E118" s="520"/>
      <x:c r="F118" s="520"/>
    </x:row>
    <x:row r="119">
      <x:c r="A119" s="520"/>
      <x:c r="B119" s="520"/>
      <x:c r="C119" s="520"/>
      <x:c r="D119" s="520"/>
      <x:c r="E119" s="520"/>
      <x:c r="F119" s="520"/>
    </x:row>
    <x:row r="120">
      <x:c r="A120" s="520"/>
      <x:c r="B120" s="520"/>
      <x:c r="C120" s="520"/>
      <x:c r="D120" s="520"/>
      <x:c r="E120" s="520"/>
      <x:c r="F120" s="520"/>
    </x:row>
    <x:row r="121">
      <x:c r="A121" s="520"/>
      <x:c r="B121" s="520"/>
      <x:c r="C121" s="520"/>
      <x:c r="D121" s="520"/>
      <x:c r="E121" s="520"/>
      <x:c r="F121" s="520"/>
    </x:row>
    <x:row r="122">
      <x:c r="A122" s="520"/>
      <x:c r="B122" s="520"/>
      <x:c r="C122" s="520"/>
      <x:c r="D122" s="520"/>
      <x:c r="E122" s="520"/>
      <x:c r="F122" s="520"/>
    </x:row>
    <x:row r="123">
      <x:c r="A123" s="520"/>
      <x:c r="B123" s="520"/>
      <x:c r="C123" s="520"/>
      <x:c r="D123" s="520"/>
      <x:c r="E123" s="520"/>
      <x:c r="F123" s="520"/>
    </x:row>
    <x:row r="124">
      <x:c r="A124" s="520"/>
      <x:c r="B124" s="520"/>
      <x:c r="C124" s="520"/>
      <x:c r="D124" s="520"/>
      <x:c r="E124" s="520"/>
      <x:c r="F124" s="520"/>
    </x:row>
    <x:row r="125">
      <x:c r="A125" s="520"/>
      <x:c r="B125" s="520"/>
      <x:c r="C125" s="520"/>
      <x:c r="D125" s="520"/>
      <x:c r="E125" s="520"/>
      <x:c r="F125" s="520"/>
    </x:row>
    <x:row r="126">
      <x:c r="A126" s="520"/>
      <x:c r="B126" s="520"/>
      <x:c r="C126" s="520"/>
      <x:c r="D126" s="520"/>
      <x:c r="E126" s="520"/>
      <x:c r="F126" s="520"/>
    </x:row>
    <x:row r="127">
      <x:c r="A127" s="520"/>
      <x:c r="B127" s="520"/>
      <x:c r="C127" s="520"/>
      <x:c r="D127" s="520"/>
      <x:c r="E127" s="520"/>
      <x:c r="F127" s="520"/>
    </x:row>
    <x:row r="128">
      <x:c r="A128" s="520"/>
      <x:c r="B128" s="520"/>
      <x:c r="C128" s="520"/>
      <x:c r="D128" s="520"/>
      <x:c r="E128" s="520"/>
      <x:c r="F128" s="520"/>
    </x:row>
    <x:row r="129">
      <x:c r="A129" s="520"/>
      <x:c r="B129" s="520"/>
      <x:c r="C129" s="520"/>
      <x:c r="D129" s="520"/>
      <x:c r="E129" s="520"/>
      <x:c r="F129" s="520"/>
    </x:row>
    <x:row r="130">
      <x:c r="A130" s="520"/>
      <x:c r="B130" s="520"/>
      <x:c r="C130" s="520"/>
      <x:c r="D130" s="520"/>
      <x:c r="E130" s="520"/>
      <x:c r="F130" s="520"/>
    </x:row>
    <x:row r="131">
      <x:c r="A131" s="520"/>
      <x:c r="B131" s="520"/>
      <x:c r="C131" s="520"/>
      <x:c r="D131" s="520"/>
      <x:c r="E131" s="520"/>
      <x:c r="F131" s="520"/>
    </x:row>
    <x:row r="132">
      <x:c r="A132" s="520"/>
      <x:c r="B132" s="520"/>
      <x:c r="C132" s="520"/>
      <x:c r="D132" s="520"/>
      <x:c r="E132" s="520"/>
      <x:c r="F132" s="520"/>
    </x:row>
    <x:row r="133">
      <x:c r="A133" s="520"/>
      <x:c r="B133" s="520"/>
      <x:c r="C133" s="520"/>
      <x:c r="D133" s="520"/>
      <x:c r="E133" s="520"/>
      <x:c r="F133" s="520"/>
    </x:row>
    <x:row r="134">
      <x:c r="A134" s="520"/>
      <x:c r="B134" s="520"/>
      <x:c r="C134" s="520"/>
      <x:c r="D134" s="520"/>
      <x:c r="E134" s="520"/>
      <x:c r="F134" s="520"/>
    </x:row>
    <x:row r="135">
      <x:c r="A135" s="520"/>
      <x:c r="B135" s="520"/>
      <x:c r="C135" s="520"/>
      <x:c r="D135" s="520"/>
      <x:c r="E135" s="520"/>
      <x:c r="F135" s="520"/>
    </x:row>
    <x:row r="136">
      <x:c r="A136" s="520"/>
      <x:c r="B136" s="520"/>
      <x:c r="C136" s="520"/>
      <x:c r="D136" s="520"/>
      <x:c r="E136" s="520"/>
      <x:c r="F136" s="520"/>
    </x:row>
    <x:row r="137">
      <x:c r="A137" s="520"/>
      <x:c r="B137" s="520"/>
      <x:c r="C137" s="520"/>
      <x:c r="D137" s="520"/>
      <x:c r="E137" s="520"/>
      <x:c r="F137" s="520"/>
    </x:row>
    <x:row r="138">
      <x:c r="A138" s="520"/>
      <x:c r="B138" s="520"/>
      <x:c r="C138" s="520"/>
      <x:c r="D138" s="520"/>
      <x:c r="E138" s="520"/>
      <x:c r="F138" s="520"/>
    </x:row>
    <x:row r="139">
      <x:c r="A139" s="520"/>
      <x:c r="B139" s="520"/>
      <x:c r="C139" s="520"/>
      <x:c r="D139" s="520"/>
      <x:c r="E139" s="520"/>
      <x:c r="F139" s="520"/>
    </x:row>
    <x:row r="140">
      <x:c r="A140" s="520"/>
      <x:c r="B140" s="520"/>
      <x:c r="C140" s="520"/>
      <x:c r="D140" s="520"/>
      <x:c r="E140" s="520"/>
      <x:c r="F140" s="520"/>
    </x:row>
    <x:row r="141">
      <x:c r="A141" s="520"/>
      <x:c r="B141" s="520"/>
      <x:c r="C141" s="520"/>
      <x:c r="D141" s="520"/>
      <x:c r="E141" s="520"/>
      <x:c r="F141" s="520"/>
    </x:row>
    <x:row r="142">
      <x:c r="A142" s="520"/>
      <x:c r="B142" s="520"/>
      <x:c r="C142" s="520"/>
      <x:c r="D142" s="520"/>
      <x:c r="E142" s="520"/>
      <x:c r="F142" s="520"/>
    </x:row>
    <x:row r="143">
      <x:c r="A143" s="520"/>
      <x:c r="B143" s="520"/>
      <x:c r="C143" s="520"/>
      <x:c r="D143" s="520"/>
      <x:c r="E143" s="520"/>
      <x:c r="F143" s="520"/>
    </x:row>
    <x:row r="144">
      <x:c r="A144" s="520"/>
      <x:c r="B144" s="520"/>
      <x:c r="C144" s="520"/>
      <x:c r="D144" s="520"/>
      <x:c r="E144" s="520"/>
      <x:c r="F144" s="520"/>
    </x:row>
    <x:row r="145">
      <x:c r="A145" s="520"/>
      <x:c r="B145" s="520"/>
      <x:c r="C145" s="520"/>
      <x:c r="D145" s="520"/>
      <x:c r="E145" s="520"/>
      <x:c r="F145" s="520"/>
    </x:row>
    <x:row r="146">
      <x:c r="A146" s="520"/>
      <x:c r="B146" s="520"/>
      <x:c r="C146" s="520"/>
      <x:c r="D146" s="520"/>
      <x:c r="E146" s="520"/>
      <x:c r="F146" s="520"/>
    </x:row>
    <x:row r="147">
      <x:c r="A147" s="520"/>
      <x:c r="B147" s="520"/>
      <x:c r="C147" s="520"/>
      <x:c r="D147" s="520"/>
      <x:c r="E147" s="520"/>
      <x:c r="F147" s="520"/>
    </x:row>
    <x:row r="148">
      <x:c r="A148" s="520"/>
      <x:c r="B148" s="520"/>
      <x:c r="C148" s="520"/>
      <x:c r="D148" s="520"/>
      <x:c r="E148" s="520"/>
      <x:c r="F148" s="520"/>
    </x:row>
    <x:row r="149">
      <x:c r="A149" s="520"/>
      <x:c r="B149" s="520"/>
      <x:c r="C149" s="520"/>
      <x:c r="D149" s="520"/>
      <x:c r="E149" s="520"/>
      <x:c r="F149" s="520"/>
    </x:row>
    <x:row r="150">
      <x:c r="A150" s="520"/>
      <x:c r="B150" s="520"/>
      <x:c r="C150" s="520"/>
      <x:c r="D150" s="520"/>
      <x:c r="E150" s="520"/>
      <x:c r="F150" s="520"/>
    </x:row>
    <x:row r="151">
      <x:c r="A151" s="520"/>
      <x:c r="B151" s="520"/>
      <x:c r="C151" s="520"/>
      <x:c r="D151" s="520"/>
      <x:c r="E151" s="520"/>
      <x:c r="F151" s="520"/>
    </x:row>
    <x:row r="152">
      <x:c r="A152" s="520"/>
      <x:c r="B152" s="520"/>
      <x:c r="C152" s="520"/>
      <x:c r="D152" s="520"/>
      <x:c r="E152" s="520"/>
      <x:c r="F152" s="520"/>
    </x:row>
    <x:row r="153">
      <x:c r="A153" s="520"/>
      <x:c r="B153" s="520"/>
      <x:c r="C153" s="520"/>
      <x:c r="D153" s="520"/>
      <x:c r="E153" s="520"/>
      <x:c r="F153" s="520"/>
    </x:row>
    <x:row r="154">
      <x:c r="A154" s="520"/>
      <x:c r="B154" s="520"/>
      <x:c r="C154" s="520"/>
      <x:c r="D154" s="520"/>
      <x:c r="E154" s="520"/>
      <x:c r="F154" s="520"/>
    </x:row>
    <x:row r="155">
      <x:c r="A155" s="520"/>
      <x:c r="B155" s="520"/>
      <x:c r="C155" s="520"/>
      <x:c r="D155" s="520"/>
      <x:c r="E155" s="520"/>
      <x:c r="F155" s="520"/>
    </x:row>
    <x:row r="156">
      <x:c r="A156" s="520"/>
      <x:c r="B156" s="520"/>
      <x:c r="C156" s="520"/>
      <x:c r="D156" s="520"/>
      <x:c r="E156" s="520"/>
      <x:c r="F156" s="520"/>
    </x:row>
    <x:row r="157">
      <x:c r="A157" s="520"/>
      <x:c r="B157" s="520"/>
      <x:c r="C157" s="520"/>
      <x:c r="D157" s="520"/>
      <x:c r="E157" s="520"/>
      <x:c r="F157" s="520"/>
    </x:row>
    <x:row r="158">
      <x:c r="A158" s="520"/>
      <x:c r="B158" s="520"/>
      <x:c r="C158" s="520"/>
      <x:c r="D158" s="520"/>
      <x:c r="E158" s="520"/>
      <x:c r="F158" s="520"/>
    </x:row>
    <x:row r="159">
      <x:c r="A159" s="520"/>
      <x:c r="B159" s="520"/>
      <x:c r="C159" s="520"/>
      <x:c r="D159" s="520"/>
      <x:c r="E159" s="520"/>
      <x:c r="F159" s="520"/>
    </x:row>
    <x:row r="160">
      <x:c r="A160" s="520"/>
      <x:c r="B160" s="520"/>
      <x:c r="C160" s="520"/>
      <x:c r="D160" s="520"/>
      <x:c r="E160" s="520"/>
      <x:c r="F160" s="520"/>
    </x:row>
    <x:row r="161">
      <x:c r="A161" s="520"/>
      <x:c r="B161" s="520"/>
      <x:c r="C161" s="520"/>
      <x:c r="D161" s="520"/>
      <x:c r="E161" s="520"/>
      <x:c r="F161" s="520"/>
    </x:row>
    <x:row r="162">
      <x:c r="A162" s="520"/>
      <x:c r="B162" s="520"/>
      <x:c r="C162" s="520"/>
      <x:c r="D162" s="520"/>
      <x:c r="E162" s="520"/>
      <x:c r="F162" s="520"/>
    </x:row>
    <x:row r="163">
      <x:c r="A163" s="520"/>
      <x:c r="B163" s="520"/>
      <x:c r="C163" s="520"/>
      <x:c r="D163" s="520"/>
      <x:c r="E163" s="520"/>
      <x:c r="F163" s="520"/>
    </x:row>
    <x:row r="164">
      <x:c r="A164" s="520"/>
      <x:c r="B164" s="520"/>
      <x:c r="C164" s="520"/>
      <x:c r="D164" s="520"/>
      <x:c r="E164" s="520"/>
      <x:c r="F164" s="520"/>
    </x:row>
    <x:row r="165">
      <x:c r="A165" s="520"/>
      <x:c r="B165" s="520"/>
      <x:c r="C165" s="520"/>
      <x:c r="D165" s="520"/>
      <x:c r="E165" s="520"/>
      <x:c r="F165" s="520"/>
    </x:row>
    <x:row r="166">
      <x:c r="A166" s="520"/>
      <x:c r="B166" s="520"/>
      <x:c r="C166" s="520"/>
      <x:c r="D166" s="520"/>
      <x:c r="E166" s="520"/>
      <x:c r="F166" s="520"/>
    </x:row>
    <x:row r="167">
      <x:c r="A167" s="520"/>
      <x:c r="B167" s="520"/>
      <x:c r="C167" s="520"/>
      <x:c r="D167" s="520"/>
      <x:c r="E167" s="520"/>
      <x:c r="F167" s="520"/>
    </x:row>
    <x:row r="168">
      <x:c r="A168" s="520"/>
      <x:c r="B168" s="520"/>
      <x:c r="C168" s="520"/>
      <x:c r="D168" s="520"/>
      <x:c r="E168" s="520"/>
      <x:c r="F168" s="520"/>
    </x:row>
    <x:row r="169">
      <x:c r="A169" s="520"/>
      <x:c r="B169" s="520"/>
      <x:c r="C169" s="520"/>
      <x:c r="D169" s="520"/>
      <x:c r="E169" s="520"/>
      <x:c r="F169" s="520"/>
    </x:row>
    <x:row r="170">
      <x:c r="A170" s="520"/>
      <x:c r="B170" s="520"/>
      <x:c r="C170" s="520"/>
      <x:c r="D170" s="520"/>
      <x:c r="E170" s="520"/>
      <x:c r="F170" s="520"/>
    </x:row>
    <x:row r="171">
      <x:c r="A171" s="520"/>
      <x:c r="B171" s="520"/>
      <x:c r="C171" s="520"/>
      <x:c r="D171" s="520"/>
      <x:c r="E171" s="520"/>
      <x:c r="F171" s="520"/>
    </x:row>
    <x:row r="172">
      <x:c r="A172" s="520"/>
      <x:c r="B172" s="520"/>
      <x:c r="C172" s="520"/>
      <x:c r="D172" s="520"/>
      <x:c r="E172" s="520"/>
      <x:c r="F172" s="520"/>
    </x:row>
    <x:row r="173">
      <x:c r="A173" s="520"/>
      <x:c r="B173" s="520"/>
      <x:c r="C173" s="520"/>
      <x:c r="D173" s="520"/>
      <x:c r="E173" s="520"/>
      <x:c r="F173" s="520"/>
    </x:row>
    <x:row r="174">
      <x:c r="A174" s="520"/>
      <x:c r="B174" s="520"/>
      <x:c r="C174" s="520"/>
      <x:c r="D174" s="520"/>
      <x:c r="E174" s="520"/>
      <x:c r="F174" s="520"/>
    </x:row>
    <x:row r="175">
      <x:c r="A175" s="520"/>
      <x:c r="B175" s="520"/>
      <x:c r="C175" s="520"/>
      <x:c r="D175" s="520"/>
      <x:c r="E175" s="520"/>
      <x:c r="F175" s="520"/>
    </x:row>
    <x:row r="176">
      <x:c r="A176" s="520"/>
      <x:c r="B176" s="520"/>
      <x:c r="C176" s="520"/>
      <x:c r="D176" s="520"/>
      <x:c r="E176" s="520"/>
      <x:c r="F176" s="520"/>
    </x:row>
    <x:row r="177">
      <x:c r="A177" s="520"/>
      <x:c r="B177" s="520"/>
      <x:c r="C177" s="520"/>
      <x:c r="D177" s="520"/>
      <x:c r="E177" s="520"/>
      <x:c r="F177" s="520"/>
    </x:row>
    <x:row r="178">
      <x:c r="A178" s="520"/>
      <x:c r="B178" s="520"/>
      <x:c r="C178" s="520"/>
      <x:c r="D178" s="520"/>
      <x:c r="E178" s="520"/>
      <x:c r="F178" s="520"/>
    </x:row>
    <x:row r="179">
      <x:c r="A179" s="520"/>
      <x:c r="B179" s="520"/>
      <x:c r="C179" s="520"/>
      <x:c r="D179" s="520"/>
      <x:c r="E179" s="520"/>
      <x:c r="F179" s="520"/>
    </x:row>
    <x:row r="180">
      <x:c r="A180" s="520"/>
      <x:c r="B180" s="520"/>
      <x:c r="C180" s="520"/>
      <x:c r="D180" s="520"/>
      <x:c r="E180" s="520"/>
      <x:c r="F180" s="520"/>
    </x:row>
    <x:row r="181">
      <x:c r="A181" s="520"/>
      <x:c r="B181" s="520"/>
      <x:c r="C181" s="520"/>
      <x:c r="D181" s="520"/>
      <x:c r="E181" s="520"/>
      <x:c r="F181" s="520"/>
    </x:row>
    <x:row r="182">
      <x:c r="A182" s="520"/>
      <x:c r="B182" s="520"/>
      <x:c r="C182" s="520"/>
      <x:c r="D182" s="520"/>
      <x:c r="E182" s="520"/>
      <x:c r="F182" s="520"/>
    </x:row>
    <x:row r="183">
      <x:c r="A183" s="520"/>
      <x:c r="B183" s="520"/>
      <x:c r="C183" s="520"/>
      <x:c r="D183" s="520"/>
      <x:c r="E183" s="520"/>
      <x:c r="F183" s="520"/>
    </x:row>
    <x:row r="184">
      <x:c r="A184" s="520"/>
      <x:c r="B184" s="520"/>
      <x:c r="C184" s="520"/>
      <x:c r="D184" s="520"/>
      <x:c r="E184" s="520"/>
      <x:c r="F184" s="520"/>
    </x:row>
    <x:row r="185">
      <x:c r="A185" s="520"/>
      <x:c r="B185" s="520"/>
      <x:c r="C185" s="520"/>
      <x:c r="D185" s="520"/>
      <x:c r="E185" s="520"/>
      <x:c r="F185" s="520"/>
    </x:row>
    <x:row r="186">
      <x:c r="A186" s="520"/>
      <x:c r="B186" s="520"/>
      <x:c r="C186" s="520"/>
      <x:c r="D186" s="520"/>
      <x:c r="E186" s="520"/>
      <x:c r="F186" s="520"/>
    </x:row>
    <x:row r="187">
      <x:c r="A187" s="520"/>
      <x:c r="B187" s="520"/>
      <x:c r="C187" s="520"/>
      <x:c r="D187" s="520"/>
      <x:c r="E187" s="520"/>
      <x:c r="F187" s="520"/>
    </x:row>
    <x:row r="188">
      <x:c r="A188" s="520"/>
      <x:c r="B188" s="520"/>
      <x:c r="C188" s="520"/>
      <x:c r="D188" s="520"/>
      <x:c r="E188" s="520"/>
      <x:c r="F188" s="520"/>
    </x:row>
    <x:row r="189">
      <x:c r="A189" s="520"/>
      <x:c r="B189" s="520"/>
      <x:c r="C189" s="520"/>
      <x:c r="D189" s="520"/>
      <x:c r="E189" s="520"/>
      <x:c r="F189" s="520"/>
    </x:row>
    <x:row r="190">
      <x:c r="A190" s="520"/>
      <x:c r="B190" s="520"/>
      <x:c r="C190" s="520"/>
      <x:c r="D190" s="520"/>
      <x:c r="E190" s="520"/>
      <x:c r="F190" s="520"/>
    </x:row>
    <x:row r="191">
      <x:c r="A191" s="520"/>
      <x:c r="B191" s="520"/>
      <x:c r="C191" s="520"/>
      <x:c r="D191" s="520"/>
      <x:c r="E191" s="520"/>
      <x:c r="F191" s="520"/>
    </x:row>
    <x:row r="192">
      <x:c r="A192" s="520"/>
      <x:c r="B192" s="520"/>
      <x:c r="C192" s="520"/>
      <x:c r="D192" s="520"/>
      <x:c r="E192" s="520"/>
      <x:c r="F192" s="520"/>
    </x:row>
    <x:row r="193">
      <x:c r="A193" s="520"/>
      <x:c r="B193" s="520"/>
      <x:c r="C193" s="520"/>
      <x:c r="D193" s="520"/>
      <x:c r="E193" s="520"/>
      <x:c r="F193" s="520"/>
    </x:row>
    <x:row r="194">
      <x:c r="A194" s="520"/>
      <x:c r="B194" s="520"/>
      <x:c r="C194" s="520"/>
      <x:c r="D194" s="520"/>
      <x:c r="E194" s="520"/>
      <x:c r="F194" s="520"/>
    </x:row>
    <x:row r="195">
      <x:c r="A195" s="520"/>
      <x:c r="B195" s="520"/>
      <x:c r="C195" s="520"/>
      <x:c r="D195" s="520"/>
      <x:c r="E195" s="520"/>
      <x:c r="F195" s="520"/>
    </x:row>
    <x:row r="196">
      <x:c r="A196" s="520"/>
      <x:c r="B196" s="520"/>
      <x:c r="C196" s="520"/>
      <x:c r="D196" s="520"/>
      <x:c r="E196" s="520"/>
      <x:c r="F196" s="520"/>
    </x:row>
    <x:row r="197">
      <x:c r="A197" s="520"/>
      <x:c r="B197" s="520"/>
      <x:c r="C197" s="520"/>
      <x:c r="D197" s="520"/>
      <x:c r="E197" s="520"/>
      <x:c r="F197" s="520"/>
    </x:row>
    <x:row r="198">
      <x:c r="A198" s="520"/>
      <x:c r="B198" s="520"/>
      <x:c r="C198" s="520"/>
      <x:c r="D198" s="520"/>
      <x:c r="E198" s="520"/>
      <x:c r="F198" s="520"/>
    </x:row>
    <x:row r="199">
      <x:c r="A199" s="520"/>
      <x:c r="B199" s="520"/>
      <x:c r="C199" s="520"/>
      <x:c r="D199" s="520"/>
      <x:c r="E199" s="520"/>
      <x:c r="F199" s="520"/>
    </x:row>
    <x:row r="200">
      <x:c r="A200" s="520"/>
      <x:c r="B200" s="520"/>
      <x:c r="C200" s="520"/>
      <x:c r="D200" s="520"/>
      <x:c r="E200" s="520"/>
      <x:c r="F200" s="520"/>
    </x:row>
    <x:row r="201">
      <x:c r="A201" s="520"/>
      <x:c r="B201" s="520"/>
      <x:c r="C201" s="520"/>
      <x:c r="D201" s="520"/>
      <x:c r="E201" s="520"/>
      <x:c r="F201" s="520"/>
    </x:row>
    <x:row r="202">
      <x:c r="A202" s="520"/>
      <x:c r="B202" s="520"/>
      <x:c r="C202" s="520"/>
      <x:c r="D202" s="520"/>
      <x:c r="E202" s="520"/>
      <x:c r="F202" s="520"/>
    </x:row>
    <x:row r="203">
      <x:c r="A203" s="520"/>
      <x:c r="B203" s="520"/>
      <x:c r="C203" s="520"/>
      <x:c r="D203" s="520"/>
      <x:c r="E203" s="520"/>
      <x:c r="F203" s="520"/>
    </x:row>
    <x:row r="204">
      <x:c r="A204" s="520"/>
      <x:c r="B204" s="520"/>
      <x:c r="C204" s="520"/>
      <x:c r="D204" s="520"/>
      <x:c r="E204" s="520"/>
      <x:c r="F204" s="520"/>
    </x:row>
    <x:row r="205">
      <x:c r="A205" s="520"/>
      <x:c r="B205" s="520"/>
      <x:c r="C205" s="520"/>
      <x:c r="D205" s="520"/>
      <x:c r="E205" s="520"/>
      <x:c r="F205" s="520"/>
    </x:row>
    <x:row r="206">
      <x:c r="A206" s="520"/>
      <x:c r="B206" s="520"/>
      <x:c r="C206" s="520"/>
      <x:c r="D206" s="520"/>
      <x:c r="E206" s="520"/>
      <x:c r="F206" s="520"/>
    </x:row>
    <x:row r="207">
      <x:c r="A207" s="520"/>
      <x:c r="B207" s="520"/>
      <x:c r="C207" s="520"/>
      <x:c r="D207" s="520"/>
      <x:c r="E207" s="520"/>
      <x:c r="F207" s="520"/>
    </x:row>
    <x:row r="208">
      <x:c r="A208" s="520"/>
      <x:c r="B208" s="520"/>
      <x:c r="C208" s="520"/>
      <x:c r="D208" s="520"/>
      <x:c r="E208" s="520"/>
      <x:c r="F208" s="520"/>
    </x:row>
    <x:row r="209">
      <x:c r="A209" s="520"/>
      <x:c r="B209" s="520"/>
      <x:c r="C209" s="520"/>
      <x:c r="D209" s="520"/>
      <x:c r="E209" s="520"/>
      <x:c r="F209" s="520"/>
    </x:row>
    <x:row r="210">
      <x:c r="A210" s="520"/>
      <x:c r="B210" s="520"/>
      <x:c r="C210" s="520"/>
      <x:c r="D210" s="520"/>
      <x:c r="E210" s="520"/>
      <x:c r="F210" s="520"/>
    </x:row>
    <x:row r="211">
      <x:c r="A211" s="520"/>
      <x:c r="B211" s="520"/>
      <x:c r="C211" s="520"/>
      <x:c r="D211" s="520"/>
      <x:c r="E211" s="520"/>
      <x:c r="F211" s="520"/>
    </x:row>
    <x:row r="212">
      <x:c r="A212" s="520"/>
      <x:c r="B212" s="520"/>
      <x:c r="C212" s="520"/>
      <x:c r="D212" s="520"/>
      <x:c r="E212" s="520"/>
      <x:c r="F212" s="520"/>
    </x:row>
    <x:row r="213">
      <x:c r="A213" s="520"/>
      <x:c r="B213" s="520"/>
      <x:c r="C213" s="520"/>
      <x:c r="D213" s="520"/>
      <x:c r="E213" s="520"/>
      <x:c r="F213" s="520"/>
    </x:row>
    <x:row r="214">
      <x:c r="A214" s="520"/>
      <x:c r="B214" s="520"/>
      <x:c r="C214" s="520"/>
      <x:c r="D214" s="520"/>
      <x:c r="E214" s="520"/>
      <x:c r="F214" s="520"/>
    </x:row>
    <x:row r="215">
      <x:c r="A215" s="520"/>
      <x:c r="B215" s="520"/>
      <x:c r="C215" s="520"/>
      <x:c r="D215" s="520"/>
      <x:c r="E215" s="520"/>
      <x:c r="F215" s="520"/>
    </x:row>
    <x:row r="216">
      <x:c r="A216" s="520"/>
      <x:c r="B216" s="520"/>
      <x:c r="C216" s="520"/>
      <x:c r="D216" s="520"/>
      <x:c r="E216" s="520"/>
      <x:c r="F216" s="520"/>
    </x:row>
    <x:row r="217">
      <x:c r="A217" s="520"/>
      <x:c r="B217" s="520"/>
      <x:c r="C217" s="520"/>
      <x:c r="D217" s="520"/>
      <x:c r="E217" s="520"/>
      <x:c r="F217" s="520"/>
    </x:row>
    <x:row r="218">
      <x:c r="A218" s="520"/>
      <x:c r="B218" s="520"/>
      <x:c r="C218" s="520"/>
      <x:c r="D218" s="520"/>
      <x:c r="E218" s="520"/>
      <x:c r="F218" s="520"/>
    </x:row>
    <x:row r="219">
      <x:c r="A219" s="520"/>
      <x:c r="B219" s="520"/>
      <x:c r="C219" s="520"/>
      <x:c r="D219" s="520"/>
      <x:c r="E219" s="520"/>
      <x:c r="F219" s="520"/>
    </x:row>
    <x:row r="220">
      <x:c r="A220" s="520"/>
      <x:c r="B220" s="520"/>
      <x:c r="C220" s="520"/>
      <x:c r="D220" s="520"/>
      <x:c r="E220" s="520"/>
      <x:c r="F220" s="520"/>
    </x:row>
  </x:sheetData>
  <x:mergeCells>
    <x:mergeCell ref="A3:F3"/>
  </x:mergeCells>
  <x:dataValidations count="2">
    <x:dataValidation type="list" sqref="D6:D80">
      <x:formula1>"Not Started,In Progress,Blocked,Done"</x:formula1>
    </x:dataValidation>
    <x:dataValidation type="list" sqref="F6:F80">
      <x:formula1>"Critical,High,Medium,Low"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44" hidden="0" customWidth="1"/>
    <x:col min="4" max="4" width="16" hidden="0" customWidth="1"/>
  </x:cols>
  <x:sheetData>
    <x:row r="1">
      <x:c r="A1" s="523" t="str">
        <x:v>🧾 Content Entry Guide</x:v>
      </x:c>
      <x:c r="B1" s="523"/>
      <x:c r="C1" s="523"/>
      <x:c r="D1" s="523"/>
    </x:row>
    <x:row r="2">
      <x:c r="A2" s="523"/>
      <x:c r="B2" s="523"/>
      <x:c r="C2" s="523"/>
      <x:c r="D2" s="523"/>
    </x:row>
    <x:row r="3">
      <x:c r="A3" s="524" t="str">
        <x:v>Start here when filling the Google Sheet. Do not worry about perfection; complete critical fields first.</x:v>
      </x:c>
      <x:c r="B3" s="524"/>
      <x:c r="C3" s="524"/>
      <x:c r="D3" s="524"/>
    </x:row>
    <x:row r="4">
      <x:c r="A4" s="520"/>
      <x:c r="B4" s="520"/>
      <x:c r="C4" s="520"/>
      <x:c r="D4" s="520"/>
    </x:row>
    <x:row r="5">
      <x:c r="A5" s="527" t="str">
        <x:v>Content Area</x:v>
      </x:c>
      <x:c r="B5" s="527" t="str">
        <x:v>Fill These Fields First</x:v>
      </x:c>
      <x:c r="C5" s="527" t="str">
        <x:v>Good Enough For Testing</x:v>
      </x:c>
      <x:c r="D5" s="527" t="str">
        <x:v>Priority</x:v>
      </x:c>
    </x:row>
    <x:row r="6">
      <x:c r="A6" s="528" t="str">
        <x:v>Hotels</x:v>
      </x:c>
      <x:c r="B6" s="528" t="str">
        <x:v>Name, address, phone, nearest station, Google Maps link, Japanese address if available</x:v>
      </x:c>
      <x:c r="C6" s="528" t="str">
        <x:v>Every hotel has enough info for taxi/Lost Mode</x:v>
      </x:c>
      <x:c r="D6" s="528" t="str">
        <x:v>Critical</x:v>
      </x:c>
    </x:row>
    <x:row r="7">
      <x:c r="A7" s="528" t="str">
        <x:v>Restaurants</x:v>
      </x:c>
      <x:c r="B7" s="528" t="str">
        <x:v>Name, city, area, cuisine, must order, price, reservation, map link</x:v>
      </x:c>
      <x:c r="C7" s="528" t="str">
        <x:v>At least 5–10 per city/area you expect to visit</x:v>
      </x:c>
      <x:c r="D7" s="528" t="str">
        <x:v>High</x:v>
      </x:c>
    </x:row>
    <x:row r="8">
      <x:c r="A8" s="528" t="str">
        <x:v>Maps</x:v>
      </x:c>
      <x:c r="B8" s="528" t="str">
        <x:v>Hotels, stations, restaurants, attractions, bathrooms, meetup points</x:v>
      </x:c>
      <x:c r="C8" s="528" t="str">
        <x:v>Every major plan has a map link</x:v>
      </x:c>
      <x:c r="D8" s="528" t="str">
        <x:v>High</x:v>
      </x:c>
    </x:row>
    <x:row r="9">
      <x:c r="A9" s="528" t="str">
        <x:v>Transit</x:v>
      </x:c>
      <x:c r="B9" s="528" t="str">
        <x:v>Airport routes, Apple Wallet Suica, Shinkansen/special tickets, luggage notes</x:v>
      </x:c>
      <x:c r="C9" s="528" t="str">
        <x:v>Major travel days are documented</x:v>
      </x:c>
      <x:c r="D9" s="528" t="str">
        <x:v>Critical</x:v>
      </x:c>
    </x:row>
    <x:row r="10">
      <x:c r="A10" s="528" t="str">
        <x:v>Phrases</x:v>
      </x:c>
      <x:c r="B10" s="528" t="str">
        <x:v>Lost, medical, ordering, konbini, transit, polite basics</x:v>
      </x:c>
      <x:c r="C10" s="528" t="str">
        <x:v>Top phrases are easy to find</x:v>
      </x:c>
      <x:c r="D10" s="528" t="str">
        <x:v>High</x:v>
      </x:c>
    </x:row>
    <x:row r="11">
      <x:c r="A11" s="528" t="str">
        <x:v>Emergency</x:v>
      </x:c>
      <x:c r="B11" s="528" t="str">
        <x:v>Police, ambulance, embassy/clinic, hotel card, help phrases</x:v>
      </x:c>
      <x:c r="C11" s="528" t="str">
        <x:v>SOS/Lost are usable offline</x:v>
      </x:c>
      <x:c r="D11" s="528" t="str">
        <x:v>Critical</x:v>
      </x:c>
    </x:row>
    <x:row r="12">
      <x:c r="A12" s="528" t="str">
        <x:v>Money</x:v>
      </x:c>
      <x:c r="B12" s="528" t="str">
        <x:v>Budget, cash notes, price guide, Suica/top-up reminders</x:v>
      </x:c>
      <x:c r="C12" s="528" t="str">
        <x:v>Money Hub is useful daily</x:v>
      </x:c>
      <x:c r="D12" s="528" t="str">
        <x:v>High</x:v>
      </x:c>
    </x:row>
    <x:row r="13">
      <x:c r="A13" s="528" t="str">
        <x:v>Packing</x:v>
      </x:c>
      <x:c r="B13" s="528" t="str">
        <x:v>Traveler, item, status, daily-carry, meds, battery, adapters</x:v>
      </x:c>
      <x:c r="C13" s="528" t="str">
        <x:v>Departure essentials tracked</x:v>
      </x:c>
      <x:c r="D13" s="528" t="str">
        <x:v>High</x:v>
      </x:c>
    </x:row>
    <x:row r="14">
      <x:c r="A14" s="520"/>
      <x:c r="B14" s="520"/>
      <x:c r="C14" s="520"/>
      <x:c r="D14" s="520"/>
    </x:row>
    <x:row r="15">
      <x:c r="A15" s="520"/>
      <x:c r="B15" s="520"/>
      <x:c r="C15" s="520"/>
      <x:c r="D15" s="520"/>
    </x:row>
    <x:row r="16">
      <x:c r="A16" s="520"/>
      <x:c r="B16" s="520"/>
      <x:c r="C16" s="520"/>
      <x:c r="D16" s="520"/>
    </x:row>
    <x:row r="17">
      <x:c r="A17" s="520"/>
      <x:c r="B17" s="520"/>
      <x:c r="C17" s="520"/>
      <x:c r="D17" s="520"/>
    </x:row>
    <x:row r="18">
      <x:c r="A18" s="520"/>
      <x:c r="B18" s="520"/>
      <x:c r="C18" s="520"/>
      <x:c r="D18" s="520"/>
    </x:row>
    <x:row r="19">
      <x:c r="A19" s="520"/>
      <x:c r="B19" s="520"/>
      <x:c r="C19" s="520"/>
      <x:c r="D19" s="520"/>
    </x:row>
    <x:row r="20">
      <x:c r="A20" s="520"/>
      <x:c r="B20" s="520"/>
      <x:c r="C20" s="520"/>
      <x:c r="D20" s="520"/>
    </x:row>
    <x:row r="21">
      <x:c r="A21" s="520"/>
      <x:c r="B21" s="520"/>
      <x:c r="C21" s="520"/>
      <x:c r="D21" s="520"/>
    </x:row>
    <x:row r="22">
      <x:c r="A22" s="520"/>
      <x:c r="B22" s="520"/>
      <x:c r="C22" s="520"/>
      <x:c r="D22" s="520"/>
    </x:row>
    <x:row r="23">
      <x:c r="A23" s="520"/>
      <x:c r="B23" s="520"/>
      <x:c r="C23" s="520"/>
      <x:c r="D23" s="520"/>
    </x:row>
    <x:row r="24">
      <x:c r="A24" s="520"/>
      <x:c r="B24" s="520"/>
      <x:c r="C24" s="520"/>
      <x:c r="D24" s="520"/>
    </x:row>
    <x:row r="25">
      <x:c r="A25" s="520"/>
      <x:c r="B25" s="520"/>
      <x:c r="C25" s="520"/>
      <x:c r="D25" s="520"/>
    </x:row>
    <x:row r="26">
      <x:c r="A26" s="520"/>
      <x:c r="B26" s="520"/>
      <x:c r="C26" s="520"/>
      <x:c r="D26" s="520"/>
    </x:row>
    <x:row r="27">
      <x:c r="A27" s="520"/>
      <x:c r="B27" s="520"/>
      <x:c r="C27" s="520"/>
      <x:c r="D27" s="520"/>
    </x:row>
    <x:row r="28">
      <x:c r="A28" s="520"/>
      <x:c r="B28" s="520"/>
      <x:c r="C28" s="520"/>
      <x:c r="D28" s="520"/>
    </x:row>
    <x:row r="29">
      <x:c r="A29" s="520"/>
      <x:c r="B29" s="520"/>
      <x:c r="C29" s="520"/>
      <x:c r="D29" s="520"/>
    </x:row>
    <x:row r="30">
      <x:c r="A30" s="520"/>
      <x:c r="B30" s="520"/>
      <x:c r="C30" s="520"/>
      <x:c r="D30" s="520"/>
    </x:row>
    <x:row r="31">
      <x:c r="A31" s="520"/>
      <x:c r="B31" s="520"/>
      <x:c r="C31" s="520"/>
      <x:c r="D31" s="520"/>
    </x:row>
    <x:row r="32">
      <x:c r="A32" s="520"/>
      <x:c r="B32" s="520"/>
      <x:c r="C32" s="520"/>
      <x:c r="D32" s="520"/>
    </x:row>
    <x:row r="33">
      <x:c r="A33" s="520"/>
      <x:c r="B33" s="520"/>
      <x:c r="C33" s="520"/>
      <x:c r="D33" s="520"/>
    </x:row>
    <x:row r="34">
      <x:c r="A34" s="520"/>
      <x:c r="B34" s="520"/>
      <x:c r="C34" s="520"/>
      <x:c r="D34" s="520"/>
    </x:row>
    <x:row r="35">
      <x:c r="A35" s="520"/>
      <x:c r="B35" s="520"/>
      <x:c r="C35" s="520"/>
      <x:c r="D35" s="520"/>
    </x:row>
    <x:row r="36">
      <x:c r="A36" s="520"/>
      <x:c r="B36" s="520"/>
      <x:c r="C36" s="520"/>
      <x:c r="D36" s="520"/>
    </x:row>
    <x:row r="37">
      <x:c r="A37" s="520"/>
      <x:c r="B37" s="520"/>
      <x:c r="C37" s="520"/>
      <x:c r="D37" s="520"/>
    </x:row>
    <x:row r="38">
      <x:c r="A38" s="520"/>
      <x:c r="B38" s="520"/>
      <x:c r="C38" s="520"/>
      <x:c r="D38" s="520"/>
    </x:row>
    <x:row r="39">
      <x:c r="A39" s="520"/>
      <x:c r="B39" s="520"/>
      <x:c r="C39" s="520"/>
      <x:c r="D39" s="520"/>
    </x:row>
    <x:row r="40">
      <x:c r="A40" s="520"/>
      <x:c r="B40" s="520"/>
      <x:c r="C40" s="520"/>
      <x:c r="D40" s="520"/>
    </x:row>
    <x:row r="41">
      <x:c r="A41" s="520"/>
      <x:c r="B41" s="520"/>
      <x:c r="C41" s="520"/>
      <x:c r="D41" s="520"/>
    </x:row>
    <x:row r="42">
      <x:c r="A42" s="520"/>
      <x:c r="B42" s="520"/>
      <x:c r="C42" s="520"/>
      <x:c r="D42" s="520"/>
    </x:row>
    <x:row r="43">
      <x:c r="A43" s="520"/>
      <x:c r="B43" s="520"/>
      <x:c r="C43" s="520"/>
      <x:c r="D43" s="520"/>
    </x:row>
    <x:row r="44">
      <x:c r="A44" s="520"/>
      <x:c r="B44" s="520"/>
      <x:c r="C44" s="520"/>
      <x:c r="D44" s="520"/>
    </x:row>
    <x:row r="45">
      <x:c r="A45" s="520"/>
      <x:c r="B45" s="520"/>
      <x:c r="C45" s="520"/>
      <x:c r="D45" s="520"/>
    </x:row>
    <x:row r="46">
      <x:c r="A46" s="520"/>
      <x:c r="B46" s="520"/>
      <x:c r="C46" s="520"/>
      <x:c r="D46" s="520"/>
    </x:row>
    <x:row r="47">
      <x:c r="A47" s="520"/>
      <x:c r="B47" s="520"/>
      <x:c r="C47" s="520"/>
      <x:c r="D47" s="520"/>
    </x:row>
    <x:row r="48">
      <x:c r="A48" s="520"/>
      <x:c r="B48" s="520"/>
      <x:c r="C48" s="520"/>
      <x:c r="D48" s="520"/>
    </x:row>
    <x:row r="49">
      <x:c r="A49" s="520"/>
      <x:c r="B49" s="520"/>
      <x:c r="C49" s="520"/>
      <x:c r="D49" s="520"/>
    </x:row>
    <x:row r="50">
      <x:c r="A50" s="520"/>
      <x:c r="B50" s="520"/>
      <x:c r="C50" s="520"/>
      <x:c r="D50" s="520"/>
    </x:row>
    <x:row r="51">
      <x:c r="A51" s="520"/>
      <x:c r="B51" s="520"/>
      <x:c r="C51" s="520"/>
      <x:c r="D51" s="520"/>
    </x:row>
    <x:row r="52">
      <x:c r="A52" s="520"/>
      <x:c r="B52" s="520"/>
      <x:c r="C52" s="520"/>
      <x:c r="D52" s="520"/>
    </x:row>
    <x:row r="53">
      <x:c r="A53" s="520"/>
      <x:c r="B53" s="520"/>
      <x:c r="C53" s="520"/>
      <x:c r="D53" s="520"/>
    </x:row>
    <x:row r="54">
      <x:c r="A54" s="520"/>
      <x:c r="B54" s="520"/>
      <x:c r="C54" s="520"/>
      <x:c r="D54" s="520"/>
    </x:row>
    <x:row r="55">
      <x:c r="A55" s="520"/>
      <x:c r="B55" s="520"/>
      <x:c r="C55" s="520"/>
      <x:c r="D55" s="520"/>
    </x:row>
    <x:row r="56">
      <x:c r="A56" s="520"/>
      <x:c r="B56" s="520"/>
      <x:c r="C56" s="520"/>
      <x:c r="D56" s="520"/>
    </x:row>
    <x:row r="57">
      <x:c r="A57" s="520"/>
      <x:c r="B57" s="520"/>
      <x:c r="C57" s="520"/>
      <x:c r="D57" s="520"/>
    </x:row>
    <x:row r="58">
      <x:c r="A58" s="520"/>
      <x:c r="B58" s="520"/>
      <x:c r="C58" s="520"/>
      <x:c r="D58" s="520"/>
    </x:row>
    <x:row r="59">
      <x:c r="A59" s="520"/>
      <x:c r="B59" s="520"/>
      <x:c r="C59" s="520"/>
      <x:c r="D59" s="520"/>
    </x:row>
    <x:row r="60">
      <x:c r="A60" s="520"/>
      <x:c r="B60" s="520"/>
      <x:c r="C60" s="520"/>
      <x:c r="D60" s="520"/>
    </x:row>
    <x:row r="61">
      <x:c r="A61" s="520"/>
      <x:c r="B61" s="520"/>
      <x:c r="C61" s="520"/>
      <x:c r="D61" s="520"/>
    </x:row>
    <x:row r="62">
      <x:c r="A62" s="520"/>
      <x:c r="B62" s="520"/>
      <x:c r="C62" s="520"/>
      <x:c r="D62" s="520"/>
    </x:row>
    <x:row r="63">
      <x:c r="A63" s="520"/>
      <x:c r="B63" s="520"/>
      <x:c r="C63" s="520"/>
      <x:c r="D63" s="520"/>
    </x:row>
    <x:row r="64">
      <x:c r="A64" s="520"/>
      <x:c r="B64" s="520"/>
      <x:c r="C64" s="520"/>
      <x:c r="D64" s="520"/>
    </x:row>
    <x:row r="65">
      <x:c r="A65" s="520"/>
      <x:c r="B65" s="520"/>
      <x:c r="C65" s="520"/>
      <x:c r="D65" s="520"/>
    </x:row>
    <x:row r="66">
      <x:c r="A66" s="520"/>
      <x:c r="B66" s="520"/>
      <x:c r="C66" s="520"/>
      <x:c r="D66" s="520"/>
    </x:row>
    <x:row r="67">
      <x:c r="A67" s="520"/>
      <x:c r="B67" s="520"/>
      <x:c r="C67" s="520"/>
      <x:c r="D67" s="520"/>
    </x:row>
    <x:row r="68">
      <x:c r="A68" s="520"/>
      <x:c r="B68" s="520"/>
      <x:c r="C68" s="520"/>
      <x:c r="D68" s="520"/>
    </x:row>
    <x:row r="69">
      <x:c r="A69" s="520"/>
      <x:c r="B69" s="520"/>
      <x:c r="C69" s="520"/>
      <x:c r="D69" s="520"/>
    </x:row>
    <x:row r="70">
      <x:c r="A70" s="520"/>
      <x:c r="B70" s="520"/>
      <x:c r="C70" s="520"/>
      <x:c r="D70" s="520"/>
    </x:row>
    <x:row r="71">
      <x:c r="A71" s="520"/>
      <x:c r="B71" s="520"/>
      <x:c r="C71" s="520"/>
      <x:c r="D71" s="520"/>
    </x:row>
    <x:row r="72">
      <x:c r="A72" s="520"/>
      <x:c r="B72" s="520"/>
      <x:c r="C72" s="520"/>
      <x:c r="D72" s="520"/>
    </x:row>
    <x:row r="73">
      <x:c r="A73" s="520"/>
      <x:c r="B73" s="520"/>
      <x:c r="C73" s="520"/>
      <x:c r="D73" s="520"/>
    </x:row>
    <x:row r="74">
      <x:c r="A74" s="520"/>
      <x:c r="B74" s="520"/>
      <x:c r="C74" s="520"/>
      <x:c r="D74" s="520"/>
    </x:row>
    <x:row r="75">
      <x:c r="A75" s="520"/>
      <x:c r="B75" s="520"/>
      <x:c r="C75" s="520"/>
      <x:c r="D75" s="520"/>
    </x:row>
    <x:row r="76">
      <x:c r="A76" s="520"/>
      <x:c r="B76" s="520"/>
      <x:c r="C76" s="520"/>
      <x:c r="D76" s="520"/>
    </x:row>
    <x:row r="77">
      <x:c r="A77" s="520"/>
      <x:c r="B77" s="520"/>
      <x:c r="C77" s="520"/>
      <x:c r="D77" s="520"/>
    </x:row>
    <x:row r="78">
      <x:c r="A78" s="520"/>
      <x:c r="B78" s="520"/>
      <x:c r="C78" s="520"/>
      <x:c r="D78" s="520"/>
    </x:row>
    <x:row r="79">
      <x:c r="A79" s="520"/>
      <x:c r="B79" s="520"/>
      <x:c r="C79" s="520"/>
      <x:c r="D79" s="520"/>
    </x:row>
    <x:row r="80">
      <x:c r="A80" s="520"/>
      <x:c r="B80" s="520"/>
      <x:c r="C80" s="520"/>
      <x:c r="D80" s="520"/>
    </x:row>
    <x:row r="81">
      <x:c r="A81" s="520"/>
      <x:c r="B81" s="520"/>
      <x:c r="C81" s="520"/>
      <x:c r="D81" s="520"/>
    </x:row>
    <x:row r="82">
      <x:c r="A82" s="520"/>
      <x:c r="B82" s="520"/>
      <x:c r="C82" s="520"/>
      <x:c r="D82" s="520"/>
    </x:row>
    <x:row r="83">
      <x:c r="A83" s="520"/>
      <x:c r="B83" s="520"/>
      <x:c r="C83" s="520"/>
      <x:c r="D83" s="520"/>
    </x:row>
    <x:row r="84">
      <x:c r="A84" s="520"/>
      <x:c r="B84" s="520"/>
      <x:c r="C84" s="520"/>
      <x:c r="D84" s="520"/>
    </x:row>
    <x:row r="85">
      <x:c r="A85" s="520"/>
      <x:c r="B85" s="520"/>
      <x:c r="C85" s="520"/>
      <x:c r="D85" s="520"/>
    </x:row>
    <x:row r="86">
      <x:c r="A86" s="520"/>
      <x:c r="B86" s="520"/>
      <x:c r="C86" s="520"/>
      <x:c r="D86" s="520"/>
    </x:row>
    <x:row r="87">
      <x:c r="A87" s="520"/>
      <x:c r="B87" s="520"/>
      <x:c r="C87" s="520"/>
      <x:c r="D87" s="520"/>
    </x:row>
    <x:row r="88">
      <x:c r="A88" s="520"/>
      <x:c r="B88" s="520"/>
      <x:c r="C88" s="520"/>
      <x:c r="D88" s="520"/>
    </x:row>
    <x:row r="89">
      <x:c r="A89" s="520"/>
      <x:c r="B89" s="520"/>
      <x:c r="C89" s="520"/>
      <x:c r="D89" s="520"/>
    </x:row>
    <x:row r="90">
      <x:c r="A90" s="520"/>
      <x:c r="B90" s="520"/>
      <x:c r="C90" s="520"/>
      <x:c r="D90" s="520"/>
    </x:row>
    <x:row r="91">
      <x:c r="A91" s="520"/>
      <x:c r="B91" s="520"/>
      <x:c r="C91" s="520"/>
      <x:c r="D91" s="520"/>
    </x:row>
    <x:row r="92">
      <x:c r="A92" s="520"/>
      <x:c r="B92" s="520"/>
      <x:c r="C92" s="520"/>
      <x:c r="D92" s="520"/>
    </x:row>
    <x:row r="93">
      <x:c r="A93" s="520"/>
      <x:c r="B93" s="520"/>
      <x:c r="C93" s="520"/>
      <x:c r="D93" s="520"/>
    </x:row>
    <x:row r="94">
      <x:c r="A94" s="520"/>
      <x:c r="B94" s="520"/>
      <x:c r="C94" s="520"/>
      <x:c r="D94" s="520"/>
    </x:row>
    <x:row r="95">
      <x:c r="A95" s="520"/>
      <x:c r="B95" s="520"/>
      <x:c r="C95" s="520"/>
      <x:c r="D95" s="520"/>
    </x:row>
    <x:row r="96">
      <x:c r="A96" s="520"/>
      <x:c r="B96" s="520"/>
      <x:c r="C96" s="520"/>
      <x:c r="D96" s="520"/>
    </x:row>
    <x:row r="97">
      <x:c r="A97" s="520"/>
      <x:c r="B97" s="520"/>
      <x:c r="C97" s="520"/>
      <x:c r="D97" s="520"/>
    </x:row>
    <x:row r="98">
      <x:c r="A98" s="520"/>
      <x:c r="B98" s="520"/>
      <x:c r="C98" s="520"/>
      <x:c r="D98" s="520"/>
    </x:row>
    <x:row r="99">
      <x:c r="A99" s="520"/>
      <x:c r="B99" s="520"/>
      <x:c r="C99" s="520"/>
      <x:c r="D99" s="520"/>
    </x:row>
    <x:row r="100">
      <x:c r="A100" s="520"/>
      <x:c r="B100" s="520"/>
      <x:c r="C100" s="520"/>
      <x:c r="D100" s="520"/>
    </x:row>
    <x:row r="101">
      <x:c r="A101" s="520"/>
      <x:c r="B101" s="520"/>
      <x:c r="C101" s="520"/>
      <x:c r="D101" s="520"/>
    </x:row>
    <x:row r="102">
      <x:c r="A102" s="520"/>
      <x:c r="B102" s="520"/>
      <x:c r="C102" s="520"/>
      <x:c r="D102" s="520"/>
    </x:row>
    <x:row r="103">
      <x:c r="A103" s="520"/>
      <x:c r="B103" s="520"/>
      <x:c r="C103" s="520"/>
      <x:c r="D103" s="520"/>
    </x:row>
    <x:row r="104">
      <x:c r="A104" s="520"/>
      <x:c r="B104" s="520"/>
      <x:c r="C104" s="520"/>
      <x:c r="D104" s="520"/>
    </x:row>
    <x:row r="105">
      <x:c r="A105" s="520"/>
      <x:c r="B105" s="520"/>
      <x:c r="C105" s="520"/>
      <x:c r="D105" s="520"/>
    </x:row>
    <x:row r="106">
      <x:c r="A106" s="520"/>
      <x:c r="B106" s="520"/>
      <x:c r="C106" s="520"/>
      <x:c r="D106" s="520"/>
    </x:row>
    <x:row r="107">
      <x:c r="A107" s="520"/>
      <x:c r="B107" s="520"/>
      <x:c r="C107" s="520"/>
      <x:c r="D107" s="520"/>
    </x:row>
    <x:row r="108">
      <x:c r="A108" s="520"/>
      <x:c r="B108" s="520"/>
      <x:c r="C108" s="520"/>
      <x:c r="D108" s="520"/>
    </x:row>
    <x:row r="109">
      <x:c r="A109" s="520"/>
      <x:c r="B109" s="520"/>
      <x:c r="C109" s="520"/>
      <x:c r="D109" s="520"/>
    </x:row>
    <x:row r="110">
      <x:c r="A110" s="520"/>
      <x:c r="B110" s="520"/>
      <x:c r="C110" s="520"/>
      <x:c r="D110" s="520"/>
    </x:row>
    <x:row r="111">
      <x:c r="A111" s="520"/>
      <x:c r="B111" s="520"/>
      <x:c r="C111" s="520"/>
      <x:c r="D111" s="520"/>
    </x:row>
    <x:row r="112">
      <x:c r="A112" s="520"/>
      <x:c r="B112" s="520"/>
      <x:c r="C112" s="520"/>
      <x:c r="D112" s="520"/>
    </x:row>
    <x:row r="113">
      <x:c r="A113" s="520"/>
      <x:c r="B113" s="520"/>
      <x:c r="C113" s="520"/>
      <x:c r="D113" s="520"/>
    </x:row>
    <x:row r="114">
      <x:c r="A114" s="520"/>
      <x:c r="B114" s="520"/>
      <x:c r="C114" s="520"/>
      <x:c r="D114" s="520"/>
    </x:row>
    <x:row r="115">
      <x:c r="A115" s="520"/>
      <x:c r="B115" s="520"/>
      <x:c r="C115" s="520"/>
      <x:c r="D115" s="520"/>
    </x:row>
    <x:row r="116">
      <x:c r="A116" s="520"/>
      <x:c r="B116" s="520"/>
      <x:c r="C116" s="520"/>
      <x:c r="D116" s="520"/>
    </x:row>
    <x:row r="117">
      <x:c r="A117" s="520"/>
      <x:c r="B117" s="520"/>
      <x:c r="C117" s="520"/>
      <x:c r="D117" s="520"/>
    </x:row>
    <x:row r="118">
      <x:c r="A118" s="520"/>
      <x:c r="B118" s="520"/>
      <x:c r="C118" s="520"/>
      <x:c r="D118" s="520"/>
    </x:row>
    <x:row r="119">
      <x:c r="A119" s="520"/>
      <x:c r="B119" s="520"/>
      <x:c r="C119" s="520"/>
      <x:c r="D119" s="520"/>
    </x:row>
    <x:row r="120">
      <x:c r="A120" s="520"/>
      <x:c r="B120" s="520"/>
      <x:c r="C120" s="520"/>
      <x:c r="D120" s="520"/>
    </x:row>
    <x:row r="121">
      <x:c r="A121" s="520"/>
      <x:c r="B121" s="520"/>
      <x:c r="C121" s="520"/>
      <x:c r="D121" s="520"/>
    </x:row>
    <x:row r="122">
      <x:c r="A122" s="520"/>
      <x:c r="B122" s="520"/>
      <x:c r="C122" s="520"/>
      <x:c r="D122" s="520"/>
    </x:row>
    <x:row r="123">
      <x:c r="A123" s="520"/>
      <x:c r="B123" s="520"/>
      <x:c r="C123" s="520"/>
      <x:c r="D123" s="520"/>
    </x:row>
    <x:row r="124">
      <x:c r="A124" s="520"/>
      <x:c r="B124" s="520"/>
      <x:c r="C124" s="520"/>
      <x:c r="D124" s="520"/>
    </x:row>
    <x:row r="125">
      <x:c r="A125" s="520"/>
      <x:c r="B125" s="520"/>
      <x:c r="C125" s="520"/>
      <x:c r="D125" s="520"/>
    </x:row>
    <x:row r="126">
      <x:c r="A126" s="520"/>
      <x:c r="B126" s="520"/>
      <x:c r="C126" s="520"/>
      <x:c r="D126" s="520"/>
    </x:row>
    <x:row r="127">
      <x:c r="A127" s="520"/>
      <x:c r="B127" s="520"/>
      <x:c r="C127" s="520"/>
      <x:c r="D127" s="520"/>
    </x:row>
    <x:row r="128">
      <x:c r="A128" s="520"/>
      <x:c r="B128" s="520"/>
      <x:c r="C128" s="520"/>
      <x:c r="D128" s="520"/>
    </x:row>
    <x:row r="129">
      <x:c r="A129" s="520"/>
      <x:c r="B129" s="520"/>
      <x:c r="C129" s="520"/>
      <x:c r="D129" s="520"/>
    </x:row>
    <x:row r="130">
      <x:c r="A130" s="520"/>
      <x:c r="B130" s="520"/>
      <x:c r="C130" s="520"/>
      <x:c r="D130" s="520"/>
    </x:row>
    <x:row r="131">
      <x:c r="A131" s="520"/>
      <x:c r="B131" s="520"/>
      <x:c r="C131" s="520"/>
      <x:c r="D131" s="520"/>
    </x:row>
    <x:row r="132">
      <x:c r="A132" s="520"/>
      <x:c r="B132" s="520"/>
      <x:c r="C132" s="520"/>
      <x:c r="D132" s="520"/>
    </x:row>
    <x:row r="133">
      <x:c r="A133" s="520"/>
      <x:c r="B133" s="520"/>
      <x:c r="C133" s="520"/>
      <x:c r="D133" s="520"/>
    </x:row>
    <x:row r="134">
      <x:c r="A134" s="520"/>
      <x:c r="B134" s="520"/>
      <x:c r="C134" s="520"/>
      <x:c r="D134" s="520"/>
    </x:row>
    <x:row r="135">
      <x:c r="A135" s="520"/>
      <x:c r="B135" s="520"/>
      <x:c r="C135" s="520"/>
      <x:c r="D135" s="520"/>
    </x:row>
    <x:row r="136">
      <x:c r="A136" s="520"/>
      <x:c r="B136" s="520"/>
      <x:c r="C136" s="520"/>
      <x:c r="D136" s="520"/>
    </x:row>
    <x:row r="137">
      <x:c r="A137" s="520"/>
      <x:c r="B137" s="520"/>
      <x:c r="C137" s="520"/>
      <x:c r="D137" s="520"/>
    </x:row>
    <x:row r="138">
      <x:c r="A138" s="520"/>
      <x:c r="B138" s="520"/>
      <x:c r="C138" s="520"/>
      <x:c r="D138" s="520"/>
    </x:row>
    <x:row r="139">
      <x:c r="A139" s="520"/>
      <x:c r="B139" s="520"/>
      <x:c r="C139" s="520"/>
      <x:c r="D139" s="520"/>
    </x:row>
    <x:row r="140">
      <x:c r="A140" s="520"/>
      <x:c r="B140" s="520"/>
      <x:c r="C140" s="520"/>
      <x:c r="D140" s="520"/>
    </x:row>
    <x:row r="141">
      <x:c r="A141" s="520"/>
      <x:c r="B141" s="520"/>
      <x:c r="C141" s="520"/>
      <x:c r="D141" s="520"/>
    </x:row>
    <x:row r="142">
      <x:c r="A142" s="520"/>
      <x:c r="B142" s="520"/>
      <x:c r="C142" s="520"/>
      <x:c r="D142" s="520"/>
    </x:row>
    <x:row r="143">
      <x:c r="A143" s="520"/>
      <x:c r="B143" s="520"/>
      <x:c r="C143" s="520"/>
      <x:c r="D143" s="520"/>
    </x:row>
    <x:row r="144">
      <x:c r="A144" s="520"/>
      <x:c r="B144" s="520"/>
      <x:c r="C144" s="520"/>
      <x:c r="D144" s="520"/>
    </x:row>
    <x:row r="145">
      <x:c r="A145" s="520"/>
      <x:c r="B145" s="520"/>
      <x:c r="C145" s="520"/>
      <x:c r="D145" s="520"/>
    </x:row>
    <x:row r="146">
      <x:c r="A146" s="520"/>
      <x:c r="B146" s="520"/>
      <x:c r="C146" s="520"/>
      <x:c r="D146" s="520"/>
    </x:row>
    <x:row r="147">
      <x:c r="A147" s="520"/>
      <x:c r="B147" s="520"/>
      <x:c r="C147" s="520"/>
      <x:c r="D147" s="520"/>
    </x:row>
    <x:row r="148">
      <x:c r="A148" s="520"/>
      <x:c r="B148" s="520"/>
      <x:c r="C148" s="520"/>
      <x:c r="D148" s="520"/>
    </x:row>
    <x:row r="149">
      <x:c r="A149" s="520"/>
      <x:c r="B149" s="520"/>
      <x:c r="C149" s="520"/>
      <x:c r="D149" s="520"/>
    </x:row>
    <x:row r="150">
      <x:c r="A150" s="520"/>
      <x:c r="B150" s="520"/>
      <x:c r="C150" s="520"/>
      <x:c r="D150" s="520"/>
    </x:row>
    <x:row r="151">
      <x:c r="A151" s="520"/>
      <x:c r="B151" s="520"/>
      <x:c r="C151" s="520"/>
      <x:c r="D151" s="520"/>
    </x:row>
    <x:row r="152">
      <x:c r="A152" s="520"/>
      <x:c r="B152" s="520"/>
      <x:c r="C152" s="520"/>
      <x:c r="D152" s="520"/>
    </x:row>
    <x:row r="153">
      <x:c r="A153" s="520"/>
      <x:c r="B153" s="520"/>
      <x:c r="C153" s="520"/>
      <x:c r="D153" s="520"/>
    </x:row>
    <x:row r="154">
      <x:c r="A154" s="520"/>
      <x:c r="B154" s="520"/>
      <x:c r="C154" s="520"/>
      <x:c r="D154" s="520"/>
    </x:row>
    <x:row r="155">
      <x:c r="A155" s="520"/>
      <x:c r="B155" s="520"/>
      <x:c r="C155" s="520"/>
      <x:c r="D155" s="520"/>
    </x:row>
    <x:row r="156">
      <x:c r="A156" s="520"/>
      <x:c r="B156" s="520"/>
      <x:c r="C156" s="520"/>
      <x:c r="D156" s="520"/>
    </x:row>
    <x:row r="157">
      <x:c r="A157" s="520"/>
      <x:c r="B157" s="520"/>
      <x:c r="C157" s="520"/>
      <x:c r="D157" s="520"/>
    </x:row>
    <x:row r="158">
      <x:c r="A158" s="520"/>
      <x:c r="B158" s="520"/>
      <x:c r="C158" s="520"/>
      <x:c r="D158" s="520"/>
    </x:row>
    <x:row r="159">
      <x:c r="A159" s="520"/>
      <x:c r="B159" s="520"/>
      <x:c r="C159" s="520"/>
      <x:c r="D159" s="520"/>
    </x:row>
    <x:row r="160">
      <x:c r="A160" s="520"/>
      <x:c r="B160" s="520"/>
      <x:c r="C160" s="520"/>
      <x:c r="D160" s="520"/>
    </x:row>
    <x:row r="161">
      <x:c r="A161" s="520"/>
      <x:c r="B161" s="520"/>
      <x:c r="C161" s="520"/>
      <x:c r="D161" s="520"/>
    </x:row>
    <x:row r="162">
      <x:c r="A162" s="520"/>
      <x:c r="B162" s="520"/>
      <x:c r="C162" s="520"/>
      <x:c r="D162" s="520"/>
    </x:row>
    <x:row r="163">
      <x:c r="A163" s="520"/>
      <x:c r="B163" s="520"/>
      <x:c r="C163" s="520"/>
      <x:c r="D163" s="520"/>
    </x:row>
    <x:row r="164">
      <x:c r="A164" s="520"/>
      <x:c r="B164" s="520"/>
      <x:c r="C164" s="520"/>
      <x:c r="D164" s="520"/>
    </x:row>
    <x:row r="165">
      <x:c r="A165" s="520"/>
      <x:c r="B165" s="520"/>
      <x:c r="C165" s="520"/>
      <x:c r="D165" s="520"/>
    </x:row>
    <x:row r="166">
      <x:c r="A166" s="520"/>
      <x:c r="B166" s="520"/>
      <x:c r="C166" s="520"/>
      <x:c r="D166" s="520"/>
    </x:row>
    <x:row r="167">
      <x:c r="A167" s="520"/>
      <x:c r="B167" s="520"/>
      <x:c r="C167" s="520"/>
      <x:c r="D167" s="520"/>
    </x:row>
    <x:row r="168">
      <x:c r="A168" s="520"/>
      <x:c r="B168" s="520"/>
      <x:c r="C168" s="520"/>
      <x:c r="D168" s="520"/>
    </x:row>
    <x:row r="169">
      <x:c r="A169" s="520"/>
      <x:c r="B169" s="520"/>
      <x:c r="C169" s="520"/>
      <x:c r="D169" s="520"/>
    </x:row>
    <x:row r="170">
      <x:c r="A170" s="520"/>
      <x:c r="B170" s="520"/>
      <x:c r="C170" s="520"/>
      <x:c r="D170" s="520"/>
    </x:row>
    <x:row r="171">
      <x:c r="A171" s="520"/>
      <x:c r="B171" s="520"/>
      <x:c r="C171" s="520"/>
      <x:c r="D171" s="520"/>
    </x:row>
    <x:row r="172">
      <x:c r="A172" s="520"/>
      <x:c r="B172" s="520"/>
      <x:c r="C172" s="520"/>
      <x:c r="D172" s="520"/>
    </x:row>
    <x:row r="173">
      <x:c r="A173" s="520"/>
      <x:c r="B173" s="520"/>
      <x:c r="C173" s="520"/>
      <x:c r="D173" s="520"/>
    </x:row>
    <x:row r="174">
      <x:c r="A174" s="520"/>
      <x:c r="B174" s="520"/>
      <x:c r="C174" s="520"/>
      <x:c r="D174" s="520"/>
    </x:row>
    <x:row r="175">
      <x:c r="A175" s="520"/>
      <x:c r="B175" s="520"/>
      <x:c r="C175" s="520"/>
      <x:c r="D175" s="520"/>
    </x:row>
    <x:row r="176">
      <x:c r="A176" s="520"/>
      <x:c r="B176" s="520"/>
      <x:c r="C176" s="520"/>
      <x:c r="D176" s="520"/>
    </x:row>
    <x:row r="177">
      <x:c r="A177" s="520"/>
      <x:c r="B177" s="520"/>
      <x:c r="C177" s="520"/>
      <x:c r="D177" s="520"/>
    </x:row>
    <x:row r="178">
      <x:c r="A178" s="520"/>
      <x:c r="B178" s="520"/>
      <x:c r="C178" s="520"/>
      <x:c r="D178" s="520"/>
    </x:row>
    <x:row r="179">
      <x:c r="A179" s="520"/>
      <x:c r="B179" s="520"/>
      <x:c r="C179" s="520"/>
      <x:c r="D179" s="520"/>
    </x:row>
    <x:row r="180">
      <x:c r="A180" s="520"/>
      <x:c r="B180" s="520"/>
      <x:c r="C180" s="520"/>
      <x:c r="D180" s="520"/>
    </x:row>
    <x:row r="181">
      <x:c r="A181" s="520"/>
      <x:c r="B181" s="520"/>
      <x:c r="C181" s="520"/>
      <x:c r="D181" s="520"/>
    </x:row>
    <x:row r="182">
      <x:c r="A182" s="520"/>
      <x:c r="B182" s="520"/>
      <x:c r="C182" s="520"/>
      <x:c r="D182" s="520"/>
    </x:row>
    <x:row r="183">
      <x:c r="A183" s="520"/>
      <x:c r="B183" s="520"/>
      <x:c r="C183" s="520"/>
      <x:c r="D183" s="520"/>
    </x:row>
    <x:row r="184">
      <x:c r="A184" s="520"/>
      <x:c r="B184" s="520"/>
      <x:c r="C184" s="520"/>
      <x:c r="D184" s="520"/>
    </x:row>
    <x:row r="185">
      <x:c r="A185" s="520"/>
      <x:c r="B185" s="520"/>
      <x:c r="C185" s="520"/>
      <x:c r="D185" s="520"/>
    </x:row>
    <x:row r="186">
      <x:c r="A186" s="520"/>
      <x:c r="B186" s="520"/>
      <x:c r="C186" s="520"/>
      <x:c r="D186" s="520"/>
    </x:row>
    <x:row r="187">
      <x:c r="A187" s="520"/>
      <x:c r="B187" s="520"/>
      <x:c r="C187" s="520"/>
      <x:c r="D187" s="520"/>
    </x:row>
    <x:row r="188">
      <x:c r="A188" s="520"/>
      <x:c r="B188" s="520"/>
      <x:c r="C188" s="520"/>
      <x:c r="D188" s="520"/>
    </x:row>
    <x:row r="189">
      <x:c r="A189" s="520"/>
      <x:c r="B189" s="520"/>
      <x:c r="C189" s="520"/>
      <x:c r="D189" s="520"/>
    </x:row>
    <x:row r="190">
      <x:c r="A190" s="520"/>
      <x:c r="B190" s="520"/>
      <x:c r="C190" s="520"/>
      <x:c r="D190" s="520"/>
    </x:row>
    <x:row r="191">
      <x:c r="A191" s="520"/>
      <x:c r="B191" s="520"/>
      <x:c r="C191" s="520"/>
      <x:c r="D191" s="520"/>
    </x:row>
    <x:row r="192">
      <x:c r="A192" s="520"/>
      <x:c r="B192" s="520"/>
      <x:c r="C192" s="520"/>
      <x:c r="D192" s="520"/>
    </x:row>
    <x:row r="193">
      <x:c r="A193" s="520"/>
      <x:c r="B193" s="520"/>
      <x:c r="C193" s="520"/>
      <x:c r="D193" s="520"/>
    </x:row>
    <x:row r="194">
      <x:c r="A194" s="520"/>
      <x:c r="B194" s="520"/>
      <x:c r="C194" s="520"/>
      <x:c r="D194" s="520"/>
    </x:row>
    <x:row r="195">
      <x:c r="A195" s="520"/>
      <x:c r="B195" s="520"/>
      <x:c r="C195" s="520"/>
      <x:c r="D195" s="520"/>
    </x:row>
    <x:row r="196">
      <x:c r="A196" s="520"/>
      <x:c r="B196" s="520"/>
      <x:c r="C196" s="520"/>
      <x:c r="D196" s="520"/>
    </x:row>
    <x:row r="197">
      <x:c r="A197" s="520"/>
      <x:c r="B197" s="520"/>
      <x:c r="C197" s="520"/>
      <x:c r="D197" s="520"/>
    </x:row>
    <x:row r="198">
      <x:c r="A198" s="520"/>
      <x:c r="B198" s="520"/>
      <x:c r="C198" s="520"/>
      <x:c r="D198" s="520"/>
    </x:row>
    <x:row r="199">
      <x:c r="A199" s="520"/>
      <x:c r="B199" s="520"/>
      <x:c r="C199" s="520"/>
      <x:c r="D199" s="520"/>
    </x:row>
    <x:row r="200">
      <x:c r="A200" s="520"/>
      <x:c r="B200" s="520"/>
      <x:c r="C200" s="520"/>
      <x:c r="D200" s="520"/>
    </x:row>
    <x:row r="201">
      <x:c r="A201" s="520"/>
      <x:c r="B201" s="520"/>
      <x:c r="C201" s="520"/>
      <x:c r="D201" s="520"/>
    </x:row>
    <x:row r="202">
      <x:c r="A202" s="520"/>
      <x:c r="B202" s="520"/>
      <x:c r="C202" s="520"/>
      <x:c r="D202" s="520"/>
    </x:row>
    <x:row r="203">
      <x:c r="A203" s="520"/>
      <x:c r="B203" s="520"/>
      <x:c r="C203" s="520"/>
      <x:c r="D203" s="520"/>
    </x:row>
    <x:row r="204">
      <x:c r="A204" s="520"/>
      <x:c r="B204" s="520"/>
      <x:c r="C204" s="520"/>
      <x:c r="D204" s="520"/>
    </x:row>
    <x:row r="205">
      <x:c r="A205" s="520"/>
      <x:c r="B205" s="520"/>
      <x:c r="C205" s="520"/>
      <x:c r="D205" s="520"/>
    </x:row>
    <x:row r="206">
      <x:c r="A206" s="520"/>
      <x:c r="B206" s="520"/>
      <x:c r="C206" s="520"/>
      <x:c r="D206" s="520"/>
    </x:row>
    <x:row r="207">
      <x:c r="A207" s="520"/>
      <x:c r="B207" s="520"/>
      <x:c r="C207" s="520"/>
      <x:c r="D207" s="520"/>
    </x:row>
    <x:row r="208">
      <x:c r="A208" s="520"/>
      <x:c r="B208" s="520"/>
      <x:c r="C208" s="520"/>
      <x:c r="D208" s="520"/>
    </x:row>
    <x:row r="209">
      <x:c r="A209" s="520"/>
      <x:c r="B209" s="520"/>
      <x:c r="C209" s="520"/>
      <x:c r="D209" s="520"/>
    </x:row>
    <x:row r="210">
      <x:c r="A210" s="520"/>
      <x:c r="B210" s="520"/>
      <x:c r="C210" s="520"/>
      <x:c r="D210" s="520"/>
    </x:row>
    <x:row r="211">
      <x:c r="A211" s="520"/>
      <x:c r="B211" s="520"/>
      <x:c r="C211" s="520"/>
      <x:c r="D211" s="520"/>
    </x:row>
    <x:row r="212">
      <x:c r="A212" s="520"/>
      <x:c r="B212" s="520"/>
      <x:c r="C212" s="520"/>
      <x:c r="D212" s="520"/>
    </x:row>
    <x:row r="213">
      <x:c r="A213" s="520"/>
      <x:c r="B213" s="520"/>
      <x:c r="C213" s="520"/>
      <x:c r="D213" s="520"/>
    </x:row>
    <x:row r="214">
      <x:c r="A214" s="520"/>
      <x:c r="B214" s="520"/>
      <x:c r="C214" s="520"/>
      <x:c r="D214" s="520"/>
    </x:row>
    <x:row r="215">
      <x:c r="A215" s="520"/>
      <x:c r="B215" s="520"/>
      <x:c r="C215" s="520"/>
      <x:c r="D215" s="520"/>
    </x:row>
    <x:row r="216">
      <x:c r="A216" s="520"/>
      <x:c r="B216" s="520"/>
      <x:c r="C216" s="520"/>
      <x:c r="D216" s="520"/>
    </x:row>
    <x:row r="217">
      <x:c r="A217" s="520"/>
      <x:c r="B217" s="520"/>
      <x:c r="C217" s="520"/>
      <x:c r="D217" s="520"/>
    </x:row>
    <x:row r="218">
      <x:c r="A218" s="520"/>
      <x:c r="B218" s="520"/>
      <x:c r="C218" s="520"/>
      <x:c r="D218" s="520"/>
    </x:row>
    <x:row r="219">
      <x:c r="A219" s="520"/>
      <x:c r="B219" s="520"/>
      <x:c r="C219" s="520"/>
      <x:c r="D219" s="520"/>
    </x:row>
    <x:row r="220">
      <x:c r="A220" s="520"/>
      <x:c r="B220" s="520"/>
      <x:c r="C220" s="520"/>
      <x:c r="D220" s="520"/>
    </x:row>
  </x:sheetData>
  <x:mergeCells>
    <x:mergeCell ref="A3:D3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28" hidden="0" customWidth="1"/>
    <x:col min="4" max="4" width="16" hidden="0" customWidth="1"/>
    <x:col min="5" max="5" width="12" hidden="0" customWidth="1"/>
  </x:cols>
  <x:sheetData>
    <x:row r="1">
      <x:c r="A1" s="535" t="str">
        <x:v>✅ START HERE — Travel OS 1.0 RC2</x:v>
      </x:c>
      <x:c r="B1" s="535"/>
      <x:c r="C1" s="535"/>
      <x:c r="D1" s="535"/>
      <x:c r="E1" s="535"/>
    </x:row>
    <x:row r="2">
      <x:c r="A2" s="535"/>
      <x:c r="B2" s="535"/>
      <x:c r="C2" s="535"/>
      <x:c r="D2" s="535"/>
      <x:c r="E2" s="535"/>
    </x:row>
    <x:row r="3">
      <x:c r="A3" s="536" t="str">
        <x:v>This is the first sheet to use after importing the workbook. Complete the critical rows before judging whether the app is trip-ready.</x:v>
      </x:c>
      <x:c r="B3" s="536"/>
      <x:c r="C3" s="536"/>
      <x:c r="D3" s="536"/>
      <x:c r="E3" s="536"/>
    </x:row>
    <x:row r="4">
      <x:c r="A4" s="532"/>
      <x:c r="B4" s="532"/>
      <x:c r="C4" s="532"/>
      <x:c r="D4" s="532"/>
      <x:c r="E4" s="532"/>
    </x:row>
    <x:row r="5">
      <x:c r="A5" s="539" t="str">
        <x:v>Step</x:v>
      </x:c>
      <x:c r="B5" s="539" t="str">
        <x:v>What To Do</x:v>
      </x:c>
      <x:c r="C5" s="539" t="str">
        <x:v>Where</x:v>
      </x:c>
      <x:c r="D5" s="539" t="str">
        <x:v>Priority</x:v>
      </x:c>
      <x:c r="E5" s="539" t="str">
        <x:v>Done?</x:v>
      </x:c>
    </x:row>
    <x:row r="6">
      <x:c r="A6" s="540" t="str">
        <x:v>1</x:v>
      </x:c>
      <x:c r="B6" s="540" t="str">
        <x:v>Upload this workbook to Google Sheets and use it as the active content source.</x:v>
      </x:c>
      <x:c r="C6" s="540" t="str">
        <x:v>Google Sheets</x:v>
      </x:c>
      <x:c r="D6" s="540" t="str">
        <x:v>Critical</x:v>
      </x:c>
      <x:c r="E6" s="540" t="str">
        <x:v>No</x:v>
      </x:c>
    </x:row>
    <x:row r="7">
      <x:c r="A7" s="540" t="str">
        <x:v>2</x:v>
      </x:c>
      <x:c r="B7" s="540" t="str">
        <x:v>Fill hotel name, address, phone, nearest station, and map link.</x:v>
      </x:c>
      <x:c r="C7" s="540" t="str">
        <x:v>Hotels / Maps</x:v>
      </x:c>
      <x:c r="D7" s="540" t="str">
        <x:v>Critical</x:v>
      </x:c>
      <x:c r="E7" s="540" t="str">
        <x:v>No</x:v>
      </x:c>
    </x:row>
    <x:row r="8">
      <x:c r="A8" s="540" t="str">
        <x:v>3</x:v>
      </x:c>
      <x:c r="B8" s="540" t="str">
        <x:v>Fill emergency/lost mode info and hotel taxi card details.</x:v>
      </x:c>
      <x:c r="C8" s="540" t="str">
        <x:v>Emergency / Lost Mode</x:v>
      </x:c>
      <x:c r="D8" s="540" t="str">
        <x:v>Critical</x:v>
      </x:c>
      <x:c r="E8" s="540" t="str">
        <x:v>No</x:v>
      </x:c>
    </x:row>
    <x:row r="9">
      <x:c r="A9" s="540" t="str">
        <x:v>4</x:v>
      </x:c>
      <x:c r="B9" s="540" t="str">
        <x:v>Confirm Apple Wallet Suica setup notes for each traveler.</x:v>
      </x:c>
      <x:c r="C9" s="540" t="str">
        <x:v>Apple Wallet Suica</x:v>
      </x:c>
      <x:c r="D9" s="540" t="str">
        <x:v>Critical</x:v>
      </x:c>
      <x:c r="E9" s="540" t="str">
        <x:v>No</x:v>
      </x:c>
    </x:row>
    <x:row r="10">
      <x:c r="A10" s="540" t="str">
        <x:v>5</x:v>
      </x:c>
      <x:c r="B10" s="540" t="str">
        <x:v>Add Google Maps links for hotels, stations, restaurants, attractions, bathrooms, and meetup points.</x:v>
      </x:c>
      <x:c r="C10" s="540" t="str">
        <x:v>Maps</x:v>
      </x:c>
      <x:c r="D10" s="540" t="str">
        <x:v>High</x:v>
      </x:c>
      <x:c r="E10" s="540" t="str">
        <x:v>No</x:v>
      </x:c>
    </x:row>
    <x:row r="11">
      <x:c r="A11" s="540" t="str">
        <x:v>6</x:v>
      </x:c>
      <x:c r="B11" s="540" t="str">
        <x:v>Add restaurants with must order, area, price, reservation, and map links.</x:v>
      </x:c>
      <x:c r="C11" s="540" t="str">
        <x:v>Restaurants</x:v>
      </x:c>
      <x:c r="D11" s="540" t="str">
        <x:v>High</x:v>
      </x:c>
      <x:c r="E11" s="540" t="str">
        <x:v>No</x:v>
      </x:c>
    </x:row>
    <x:row r="12">
      <x:c r="A12" s="540" t="str">
        <x:v>7</x:v>
      </x:c>
      <x:c r="B12" s="540" t="str">
        <x:v>Test Money Hub and /fx after Cloudflare deployment.</x:v>
      </x:c>
      <x:c r="C12" s="540" t="str">
        <x:v>App / Money</x:v>
      </x:c>
      <x:c r="D12" s="540" t="str">
        <x:v>High</x:v>
      </x:c>
      <x:c r="E12" s="540" t="str">
        <x:v>No</x:v>
      </x:c>
    </x:row>
    <x:row r="13">
      <x:c r="A13" s="540" t="str">
        <x:v>8</x:v>
      </x:c>
      <x:c r="B13" s="540" t="str">
        <x:v>Install PWA on each family iPhone and run offline test.</x:v>
      </x:c>
      <x:c r="C13" s="540" t="str">
        <x:v>iPhones</x:v>
      </x:c>
      <x:c r="D13" s="540" t="str">
        <x:v>Critical</x:v>
      </x:c>
      <x:c r="E13" s="540" t="str">
        <x:v>No</x:v>
      </x:c>
    </x:row>
    <x:row r="14">
      <x:c r="A14" s="540" t="str">
        <x:v>9</x:v>
      </x:c>
      <x:c r="B14" s="540" t="str">
        <x:v>Have Hilda and Nick test their own sections without help.</x:v>
      </x:c>
      <x:c r="C14" s="540" t="str">
        <x:v>Family Testing</x:v>
      </x:c>
      <x:c r="D14" s="540" t="str">
        <x:v>Critical</x:v>
      </x:c>
      <x:c r="E14" s="540" t="str">
        <x:v>No</x:v>
      </x:c>
    </x:row>
    <x:row r="15">
      <x:c r="A15" s="540" t="str">
        <x:v>10</x:v>
      </x:c>
      <x:c r="B15" s="540" t="str">
        <x:v>Freeze major features once testing begins; content and bug fixes only.</x:v>
      </x:c>
      <x:c r="C15" s="540" t="str">
        <x:v>Release Process</x:v>
      </x:c>
      <x:c r="D15" s="540" t="str">
        <x:v>High</x:v>
      </x:c>
      <x:c r="E15" s="540" t="str">
        <x:v>No</x:v>
      </x:c>
    </x:row>
    <x:row r="16">
      <x:c r="A16" s="532"/>
      <x:c r="B16" s="532"/>
      <x:c r="C16" s="532"/>
      <x:c r="D16" s="532"/>
      <x:c r="E16" s="532"/>
    </x:row>
    <x:row r="17">
      <x:c r="A17" s="532"/>
      <x:c r="B17" s="532"/>
      <x:c r="C17" s="532"/>
      <x:c r="D17" s="532"/>
      <x:c r="E17" s="532"/>
    </x:row>
    <x:row r="18">
      <x:c r="A18" s="532"/>
      <x:c r="B18" s="532"/>
      <x:c r="C18" s="532"/>
      <x:c r="D18" s="532"/>
      <x:c r="E18" s="532"/>
    </x:row>
    <x:row r="19">
      <x:c r="A19" s="532"/>
      <x:c r="B19" s="532"/>
      <x:c r="C19" s="532"/>
      <x:c r="D19" s="532"/>
      <x:c r="E19" s="532"/>
    </x:row>
    <x:row r="20">
      <x:c r="A20" s="532"/>
      <x:c r="B20" s="532"/>
      <x:c r="C20" s="532"/>
      <x:c r="D20" s="532"/>
      <x:c r="E20" s="532"/>
    </x:row>
    <x:row r="21">
      <x:c r="A21" s="532"/>
      <x:c r="B21" s="532"/>
      <x:c r="C21" s="532"/>
      <x:c r="D21" s="532"/>
      <x:c r="E21" s="532"/>
    </x:row>
    <x:row r="22">
      <x:c r="A22" s="532"/>
      <x:c r="B22" s="532"/>
      <x:c r="C22" s="532"/>
      <x:c r="D22" s="532"/>
      <x:c r="E22" s="532"/>
    </x:row>
    <x:row r="23">
      <x:c r="A23" s="532"/>
      <x:c r="B23" s="532"/>
      <x:c r="C23" s="532"/>
      <x:c r="D23" s="532"/>
      <x:c r="E23" s="532"/>
    </x:row>
    <x:row r="24">
      <x:c r="A24" s="532"/>
      <x:c r="B24" s="532"/>
      <x:c r="C24" s="532"/>
      <x:c r="D24" s="532"/>
      <x:c r="E24" s="532"/>
    </x:row>
    <x:row r="25">
      <x:c r="A25" s="532"/>
      <x:c r="B25" s="532"/>
      <x:c r="C25" s="532"/>
      <x:c r="D25" s="532"/>
      <x:c r="E25" s="532"/>
    </x:row>
    <x:row r="26">
      <x:c r="A26" s="532"/>
      <x:c r="B26" s="532"/>
      <x:c r="C26" s="532"/>
      <x:c r="D26" s="532"/>
      <x:c r="E26" s="532"/>
    </x:row>
    <x:row r="27">
      <x:c r="A27" s="532"/>
      <x:c r="B27" s="532"/>
      <x:c r="C27" s="532"/>
      <x:c r="D27" s="532"/>
      <x:c r="E27" s="532"/>
    </x:row>
    <x:row r="28">
      <x:c r="A28" s="532"/>
      <x:c r="B28" s="532"/>
      <x:c r="C28" s="532"/>
      <x:c r="D28" s="532"/>
      <x:c r="E28" s="532"/>
    </x:row>
    <x:row r="29">
      <x:c r="A29" s="532"/>
      <x:c r="B29" s="532"/>
      <x:c r="C29" s="532"/>
      <x:c r="D29" s="532"/>
      <x:c r="E29" s="532"/>
    </x:row>
    <x:row r="30">
      <x:c r="A30" s="532"/>
      <x:c r="B30" s="532"/>
      <x:c r="C30" s="532"/>
      <x:c r="D30" s="532"/>
      <x:c r="E30" s="532"/>
    </x:row>
    <x:row r="31">
      <x:c r="A31" s="532"/>
      <x:c r="B31" s="532"/>
      <x:c r="C31" s="532"/>
      <x:c r="D31" s="532"/>
      <x:c r="E31" s="532"/>
    </x:row>
    <x:row r="32">
      <x:c r="A32" s="532"/>
      <x:c r="B32" s="532"/>
      <x:c r="C32" s="532"/>
      <x:c r="D32" s="532"/>
      <x:c r="E32" s="532"/>
    </x:row>
    <x:row r="33">
      <x:c r="A33" s="532"/>
      <x:c r="B33" s="532"/>
      <x:c r="C33" s="532"/>
      <x:c r="D33" s="532"/>
      <x:c r="E33" s="532"/>
    </x:row>
    <x:row r="34">
      <x:c r="A34" s="532"/>
      <x:c r="B34" s="532"/>
      <x:c r="C34" s="532"/>
      <x:c r="D34" s="532"/>
      <x:c r="E34" s="532"/>
    </x:row>
    <x:row r="35">
      <x:c r="A35" s="532"/>
      <x:c r="B35" s="532"/>
      <x:c r="C35" s="532"/>
      <x:c r="D35" s="532"/>
      <x:c r="E35" s="532"/>
    </x:row>
    <x:row r="36">
      <x:c r="A36" s="532"/>
      <x:c r="B36" s="532"/>
      <x:c r="C36" s="532"/>
      <x:c r="D36" s="532"/>
      <x:c r="E36" s="532"/>
    </x:row>
    <x:row r="37">
      <x:c r="A37" s="532"/>
      <x:c r="B37" s="532"/>
      <x:c r="C37" s="532"/>
      <x:c r="D37" s="532"/>
      <x:c r="E37" s="532"/>
    </x:row>
    <x:row r="38">
      <x:c r="A38" s="532"/>
      <x:c r="B38" s="532"/>
      <x:c r="C38" s="532"/>
      <x:c r="D38" s="532"/>
      <x:c r="E38" s="532"/>
    </x:row>
    <x:row r="39">
      <x:c r="A39" s="532"/>
      <x:c r="B39" s="532"/>
      <x:c r="C39" s="532"/>
      <x:c r="D39" s="532"/>
      <x:c r="E39" s="532"/>
    </x:row>
    <x:row r="40">
      <x:c r="A40" s="532"/>
      <x:c r="B40" s="532"/>
      <x:c r="C40" s="532"/>
      <x:c r="D40" s="532"/>
      <x:c r="E40" s="532"/>
    </x:row>
    <x:row r="41">
      <x:c r="A41" s="532"/>
      <x:c r="B41" s="532"/>
      <x:c r="C41" s="532"/>
      <x:c r="D41" s="532"/>
      <x:c r="E41" s="532"/>
    </x:row>
    <x:row r="42">
      <x:c r="A42" s="532"/>
      <x:c r="B42" s="532"/>
      <x:c r="C42" s="532"/>
      <x:c r="D42" s="532"/>
      <x:c r="E42" s="532"/>
    </x:row>
    <x:row r="43">
      <x:c r="A43" s="532"/>
      <x:c r="B43" s="532"/>
      <x:c r="C43" s="532"/>
      <x:c r="D43" s="532"/>
      <x:c r="E43" s="532"/>
    </x:row>
    <x:row r="44">
      <x:c r="A44" s="532"/>
      <x:c r="B44" s="532"/>
      <x:c r="C44" s="532"/>
      <x:c r="D44" s="532"/>
      <x:c r="E44" s="532"/>
    </x:row>
    <x:row r="45">
      <x:c r="A45" s="532"/>
      <x:c r="B45" s="532"/>
      <x:c r="C45" s="532"/>
      <x:c r="D45" s="532"/>
      <x:c r="E45" s="532"/>
    </x:row>
    <x:row r="46">
      <x:c r="A46" s="532"/>
      <x:c r="B46" s="532"/>
      <x:c r="C46" s="532"/>
      <x:c r="D46" s="532"/>
      <x:c r="E46" s="532"/>
    </x:row>
    <x:row r="47">
      <x:c r="A47" s="532"/>
      <x:c r="B47" s="532"/>
      <x:c r="C47" s="532"/>
      <x:c r="D47" s="532"/>
      <x:c r="E47" s="532"/>
    </x:row>
    <x:row r="48">
      <x:c r="A48" s="532"/>
      <x:c r="B48" s="532"/>
      <x:c r="C48" s="532"/>
      <x:c r="D48" s="532"/>
      <x:c r="E48" s="532"/>
    </x:row>
    <x:row r="49">
      <x:c r="A49" s="532"/>
      <x:c r="B49" s="532"/>
      <x:c r="C49" s="532"/>
      <x:c r="D49" s="532"/>
      <x:c r="E49" s="532"/>
    </x:row>
    <x:row r="50">
      <x:c r="A50" s="532"/>
      <x:c r="B50" s="532"/>
      <x:c r="C50" s="532"/>
      <x:c r="D50" s="532"/>
      <x:c r="E50" s="532"/>
    </x:row>
    <x:row r="51">
      <x:c r="A51" s="532"/>
      <x:c r="B51" s="532"/>
      <x:c r="C51" s="532"/>
      <x:c r="D51" s="532"/>
      <x:c r="E51" s="532"/>
    </x:row>
    <x:row r="52">
      <x:c r="A52" s="532"/>
      <x:c r="B52" s="532"/>
      <x:c r="C52" s="532"/>
      <x:c r="D52" s="532"/>
      <x:c r="E52" s="532"/>
    </x:row>
    <x:row r="53">
      <x:c r="A53" s="532"/>
      <x:c r="B53" s="532"/>
      <x:c r="C53" s="532"/>
      <x:c r="D53" s="532"/>
      <x:c r="E53" s="532"/>
    </x:row>
    <x:row r="54">
      <x:c r="A54" s="532"/>
      <x:c r="B54" s="532"/>
      <x:c r="C54" s="532"/>
      <x:c r="D54" s="532"/>
      <x:c r="E54" s="532"/>
    </x:row>
    <x:row r="55">
      <x:c r="A55" s="532"/>
      <x:c r="B55" s="532"/>
      <x:c r="C55" s="532"/>
      <x:c r="D55" s="532"/>
      <x:c r="E55" s="532"/>
    </x:row>
    <x:row r="56">
      <x:c r="A56" s="532"/>
      <x:c r="B56" s="532"/>
      <x:c r="C56" s="532"/>
      <x:c r="D56" s="532"/>
      <x:c r="E56" s="532"/>
    </x:row>
    <x:row r="57">
      <x:c r="A57" s="532"/>
      <x:c r="B57" s="532"/>
      <x:c r="C57" s="532"/>
      <x:c r="D57" s="532"/>
      <x:c r="E57" s="532"/>
    </x:row>
    <x:row r="58">
      <x:c r="A58" s="532"/>
      <x:c r="B58" s="532"/>
      <x:c r="C58" s="532"/>
      <x:c r="D58" s="532"/>
      <x:c r="E58" s="532"/>
    </x:row>
    <x:row r="59">
      <x:c r="A59" s="532"/>
      <x:c r="B59" s="532"/>
      <x:c r="C59" s="532"/>
      <x:c r="D59" s="532"/>
      <x:c r="E59" s="532"/>
    </x:row>
    <x:row r="60">
      <x:c r="A60" s="532"/>
      <x:c r="B60" s="532"/>
      <x:c r="C60" s="532"/>
      <x:c r="D60" s="532"/>
      <x:c r="E60" s="532"/>
    </x:row>
    <x:row r="61">
      <x:c r="A61" s="532"/>
      <x:c r="B61" s="532"/>
      <x:c r="C61" s="532"/>
      <x:c r="D61" s="532"/>
      <x:c r="E61" s="532"/>
    </x:row>
    <x:row r="62">
      <x:c r="A62" s="532"/>
      <x:c r="B62" s="532"/>
      <x:c r="C62" s="532"/>
      <x:c r="D62" s="532"/>
      <x:c r="E62" s="532"/>
    </x:row>
    <x:row r="63">
      <x:c r="A63" s="532"/>
      <x:c r="B63" s="532"/>
      <x:c r="C63" s="532"/>
      <x:c r="D63" s="532"/>
      <x:c r="E63" s="532"/>
    </x:row>
    <x:row r="64">
      <x:c r="A64" s="532"/>
      <x:c r="B64" s="532"/>
      <x:c r="C64" s="532"/>
      <x:c r="D64" s="532"/>
      <x:c r="E64" s="532"/>
    </x:row>
    <x:row r="65">
      <x:c r="A65" s="532"/>
      <x:c r="B65" s="532"/>
      <x:c r="C65" s="532"/>
      <x:c r="D65" s="532"/>
      <x:c r="E65" s="532"/>
    </x:row>
    <x:row r="66">
      <x:c r="A66" s="532"/>
      <x:c r="B66" s="532"/>
      <x:c r="C66" s="532"/>
      <x:c r="D66" s="532"/>
      <x:c r="E66" s="532"/>
    </x:row>
    <x:row r="67">
      <x:c r="A67" s="532"/>
      <x:c r="B67" s="532"/>
      <x:c r="C67" s="532"/>
      <x:c r="D67" s="532"/>
      <x:c r="E67" s="532"/>
    </x:row>
    <x:row r="68">
      <x:c r="A68" s="532"/>
      <x:c r="B68" s="532"/>
      <x:c r="C68" s="532"/>
      <x:c r="D68" s="532"/>
      <x:c r="E68" s="532"/>
    </x:row>
    <x:row r="69">
      <x:c r="A69" s="532"/>
      <x:c r="B69" s="532"/>
      <x:c r="C69" s="532"/>
      <x:c r="D69" s="532"/>
      <x:c r="E69" s="532"/>
    </x:row>
    <x:row r="70">
      <x:c r="A70" s="532"/>
      <x:c r="B70" s="532"/>
      <x:c r="C70" s="532"/>
      <x:c r="D70" s="532"/>
      <x:c r="E70" s="532"/>
    </x:row>
    <x:row r="71">
      <x:c r="A71" s="532"/>
      <x:c r="B71" s="532"/>
      <x:c r="C71" s="532"/>
      <x:c r="D71" s="532"/>
      <x:c r="E71" s="532"/>
    </x:row>
    <x:row r="72">
      <x:c r="A72" s="532"/>
      <x:c r="B72" s="532"/>
      <x:c r="C72" s="532"/>
      <x:c r="D72" s="532"/>
      <x:c r="E72" s="532"/>
    </x:row>
    <x:row r="73">
      <x:c r="A73" s="532"/>
      <x:c r="B73" s="532"/>
      <x:c r="C73" s="532"/>
      <x:c r="D73" s="532"/>
      <x:c r="E73" s="532"/>
    </x:row>
    <x:row r="74">
      <x:c r="A74" s="532"/>
      <x:c r="B74" s="532"/>
      <x:c r="C74" s="532"/>
      <x:c r="D74" s="532"/>
      <x:c r="E74" s="532"/>
    </x:row>
    <x:row r="75">
      <x:c r="A75" s="532"/>
      <x:c r="B75" s="532"/>
      <x:c r="C75" s="532"/>
      <x:c r="D75" s="532"/>
      <x:c r="E75" s="532"/>
    </x:row>
    <x:row r="76">
      <x:c r="A76" s="532"/>
      <x:c r="B76" s="532"/>
      <x:c r="C76" s="532"/>
      <x:c r="D76" s="532"/>
      <x:c r="E76" s="532"/>
    </x:row>
    <x:row r="77">
      <x:c r="A77" s="532"/>
      <x:c r="B77" s="532"/>
      <x:c r="C77" s="532"/>
      <x:c r="D77" s="532"/>
      <x:c r="E77" s="532"/>
    </x:row>
    <x:row r="78">
      <x:c r="A78" s="532"/>
      <x:c r="B78" s="532"/>
      <x:c r="C78" s="532"/>
      <x:c r="D78" s="532"/>
      <x:c r="E78" s="532"/>
    </x:row>
    <x:row r="79">
      <x:c r="A79" s="532"/>
      <x:c r="B79" s="532"/>
      <x:c r="C79" s="532"/>
      <x:c r="D79" s="532"/>
      <x:c r="E79" s="532"/>
    </x:row>
    <x:row r="80">
      <x:c r="A80" s="532"/>
      <x:c r="B80" s="532"/>
      <x:c r="C80" s="532"/>
      <x:c r="D80" s="532"/>
      <x:c r="E80" s="532"/>
    </x:row>
    <x:row r="81">
      <x:c r="A81" s="532"/>
      <x:c r="B81" s="532"/>
      <x:c r="C81" s="532"/>
      <x:c r="D81" s="532"/>
      <x:c r="E81" s="532"/>
    </x:row>
    <x:row r="82">
      <x:c r="A82" s="532"/>
      <x:c r="B82" s="532"/>
      <x:c r="C82" s="532"/>
      <x:c r="D82" s="532"/>
      <x:c r="E82" s="532"/>
    </x:row>
    <x:row r="83">
      <x:c r="A83" s="532"/>
      <x:c r="B83" s="532"/>
      <x:c r="C83" s="532"/>
      <x:c r="D83" s="532"/>
      <x:c r="E83" s="532"/>
    </x:row>
    <x:row r="84">
      <x:c r="A84" s="532"/>
      <x:c r="B84" s="532"/>
      <x:c r="C84" s="532"/>
      <x:c r="D84" s="532"/>
      <x:c r="E84" s="532"/>
    </x:row>
    <x:row r="85">
      <x:c r="A85" s="532"/>
      <x:c r="B85" s="532"/>
      <x:c r="C85" s="532"/>
      <x:c r="D85" s="532"/>
      <x:c r="E85" s="532"/>
    </x:row>
    <x:row r="86">
      <x:c r="A86" s="532"/>
      <x:c r="B86" s="532"/>
      <x:c r="C86" s="532"/>
      <x:c r="D86" s="532"/>
      <x:c r="E86" s="532"/>
    </x:row>
    <x:row r="87">
      <x:c r="A87" s="532"/>
      <x:c r="B87" s="532"/>
      <x:c r="C87" s="532"/>
      <x:c r="D87" s="532"/>
      <x:c r="E87" s="532"/>
    </x:row>
    <x:row r="88">
      <x:c r="A88" s="532"/>
      <x:c r="B88" s="532"/>
      <x:c r="C88" s="532"/>
      <x:c r="D88" s="532"/>
      <x:c r="E88" s="532"/>
    </x:row>
    <x:row r="89">
      <x:c r="A89" s="532"/>
      <x:c r="B89" s="532"/>
      <x:c r="C89" s="532"/>
      <x:c r="D89" s="532"/>
      <x:c r="E89" s="532"/>
    </x:row>
    <x:row r="90">
      <x:c r="A90" s="532"/>
      <x:c r="B90" s="532"/>
      <x:c r="C90" s="532"/>
      <x:c r="D90" s="532"/>
      <x:c r="E90" s="532"/>
    </x:row>
    <x:row r="91">
      <x:c r="A91" s="532"/>
      <x:c r="B91" s="532"/>
      <x:c r="C91" s="532"/>
      <x:c r="D91" s="532"/>
      <x:c r="E91" s="532"/>
    </x:row>
    <x:row r="92">
      <x:c r="A92" s="532"/>
      <x:c r="B92" s="532"/>
      <x:c r="C92" s="532"/>
      <x:c r="D92" s="532"/>
      <x:c r="E92" s="532"/>
    </x:row>
    <x:row r="93">
      <x:c r="A93" s="532"/>
      <x:c r="B93" s="532"/>
      <x:c r="C93" s="532"/>
      <x:c r="D93" s="532"/>
      <x:c r="E93" s="532"/>
    </x:row>
    <x:row r="94">
      <x:c r="A94" s="532"/>
      <x:c r="B94" s="532"/>
      <x:c r="C94" s="532"/>
      <x:c r="D94" s="532"/>
      <x:c r="E94" s="532"/>
    </x:row>
    <x:row r="95">
      <x:c r="A95" s="532"/>
      <x:c r="B95" s="532"/>
      <x:c r="C95" s="532"/>
      <x:c r="D95" s="532"/>
      <x:c r="E95" s="532"/>
    </x:row>
    <x:row r="96">
      <x:c r="A96" s="532"/>
      <x:c r="B96" s="532"/>
      <x:c r="C96" s="532"/>
      <x:c r="D96" s="532"/>
      <x:c r="E96" s="532"/>
    </x:row>
    <x:row r="97">
      <x:c r="A97" s="532"/>
      <x:c r="B97" s="532"/>
      <x:c r="C97" s="532"/>
      <x:c r="D97" s="532"/>
      <x:c r="E97" s="532"/>
    </x:row>
    <x:row r="98">
      <x:c r="A98" s="532"/>
      <x:c r="B98" s="532"/>
      <x:c r="C98" s="532"/>
      <x:c r="D98" s="532"/>
      <x:c r="E98" s="532"/>
    </x:row>
    <x:row r="99">
      <x:c r="A99" s="532"/>
      <x:c r="B99" s="532"/>
      <x:c r="C99" s="532"/>
      <x:c r="D99" s="532"/>
      <x:c r="E99" s="532"/>
    </x:row>
    <x:row r="100">
      <x:c r="A100" s="532"/>
      <x:c r="B100" s="532"/>
      <x:c r="C100" s="532"/>
      <x:c r="D100" s="532"/>
      <x:c r="E100" s="532"/>
    </x:row>
    <x:row r="101">
      <x:c r="A101" s="532"/>
      <x:c r="B101" s="532"/>
      <x:c r="C101" s="532"/>
      <x:c r="D101" s="532"/>
      <x:c r="E101" s="532"/>
    </x:row>
    <x:row r="102">
      <x:c r="A102" s="532"/>
      <x:c r="B102" s="532"/>
      <x:c r="C102" s="532"/>
      <x:c r="D102" s="532"/>
      <x:c r="E102" s="532"/>
    </x:row>
    <x:row r="103">
      <x:c r="A103" s="532"/>
      <x:c r="B103" s="532"/>
      <x:c r="C103" s="532"/>
      <x:c r="D103" s="532"/>
      <x:c r="E103" s="532"/>
    </x:row>
    <x:row r="104">
      <x:c r="A104" s="532"/>
      <x:c r="B104" s="532"/>
      <x:c r="C104" s="532"/>
      <x:c r="D104" s="532"/>
      <x:c r="E104" s="532"/>
    </x:row>
    <x:row r="105">
      <x:c r="A105" s="532"/>
      <x:c r="B105" s="532"/>
      <x:c r="C105" s="532"/>
      <x:c r="D105" s="532"/>
      <x:c r="E105" s="532"/>
    </x:row>
    <x:row r="106">
      <x:c r="A106" s="532"/>
      <x:c r="B106" s="532"/>
      <x:c r="C106" s="532"/>
      <x:c r="D106" s="532"/>
      <x:c r="E106" s="532"/>
    </x:row>
    <x:row r="107">
      <x:c r="A107" s="532"/>
      <x:c r="B107" s="532"/>
      <x:c r="C107" s="532"/>
      <x:c r="D107" s="532"/>
      <x:c r="E107" s="532"/>
    </x:row>
    <x:row r="108">
      <x:c r="A108" s="532"/>
      <x:c r="B108" s="532"/>
      <x:c r="C108" s="532"/>
      <x:c r="D108" s="532"/>
      <x:c r="E108" s="532"/>
    </x:row>
    <x:row r="109">
      <x:c r="A109" s="532"/>
      <x:c r="B109" s="532"/>
      <x:c r="C109" s="532"/>
      <x:c r="D109" s="532"/>
      <x:c r="E109" s="532"/>
    </x:row>
    <x:row r="110">
      <x:c r="A110" s="532"/>
      <x:c r="B110" s="532"/>
      <x:c r="C110" s="532"/>
      <x:c r="D110" s="532"/>
      <x:c r="E110" s="532"/>
    </x:row>
    <x:row r="111">
      <x:c r="A111" s="532"/>
      <x:c r="B111" s="532"/>
      <x:c r="C111" s="532"/>
      <x:c r="D111" s="532"/>
      <x:c r="E111" s="532"/>
    </x:row>
    <x:row r="112">
      <x:c r="A112" s="532"/>
      <x:c r="B112" s="532"/>
      <x:c r="C112" s="532"/>
      <x:c r="D112" s="532"/>
      <x:c r="E112" s="532"/>
    </x:row>
    <x:row r="113">
      <x:c r="A113" s="532"/>
      <x:c r="B113" s="532"/>
      <x:c r="C113" s="532"/>
      <x:c r="D113" s="532"/>
      <x:c r="E113" s="532"/>
    </x:row>
    <x:row r="114">
      <x:c r="A114" s="532"/>
      <x:c r="B114" s="532"/>
      <x:c r="C114" s="532"/>
      <x:c r="D114" s="532"/>
      <x:c r="E114" s="532"/>
    </x:row>
    <x:row r="115">
      <x:c r="A115" s="532"/>
      <x:c r="B115" s="532"/>
      <x:c r="C115" s="532"/>
      <x:c r="D115" s="532"/>
      <x:c r="E115" s="532"/>
    </x:row>
    <x:row r="116">
      <x:c r="A116" s="532"/>
      <x:c r="B116" s="532"/>
      <x:c r="C116" s="532"/>
      <x:c r="D116" s="532"/>
      <x:c r="E116" s="532"/>
    </x:row>
    <x:row r="117">
      <x:c r="A117" s="532"/>
      <x:c r="B117" s="532"/>
      <x:c r="C117" s="532"/>
      <x:c r="D117" s="532"/>
      <x:c r="E117" s="532"/>
    </x:row>
    <x:row r="118">
      <x:c r="A118" s="532"/>
      <x:c r="B118" s="532"/>
      <x:c r="C118" s="532"/>
      <x:c r="D118" s="532"/>
      <x:c r="E118" s="532"/>
    </x:row>
    <x:row r="119">
      <x:c r="A119" s="532"/>
      <x:c r="B119" s="532"/>
      <x:c r="C119" s="532"/>
      <x:c r="D119" s="532"/>
      <x:c r="E119" s="532"/>
    </x:row>
    <x:row r="120">
      <x:c r="A120" s="532"/>
      <x:c r="B120" s="532"/>
      <x:c r="C120" s="532"/>
      <x:c r="D120" s="532"/>
      <x:c r="E120" s="532"/>
    </x:row>
    <x:row r="121">
      <x:c r="A121" s="532"/>
      <x:c r="B121" s="532"/>
      <x:c r="C121" s="532"/>
      <x:c r="D121" s="532"/>
      <x:c r="E121" s="532"/>
    </x:row>
    <x:row r="122">
      <x:c r="A122" s="532"/>
      <x:c r="B122" s="532"/>
      <x:c r="C122" s="532"/>
      <x:c r="D122" s="532"/>
      <x:c r="E122" s="532"/>
    </x:row>
    <x:row r="123">
      <x:c r="A123" s="532"/>
      <x:c r="B123" s="532"/>
      <x:c r="C123" s="532"/>
      <x:c r="D123" s="532"/>
      <x:c r="E123" s="532"/>
    </x:row>
    <x:row r="124">
      <x:c r="A124" s="532"/>
      <x:c r="B124" s="532"/>
      <x:c r="C124" s="532"/>
      <x:c r="D124" s="532"/>
      <x:c r="E124" s="532"/>
    </x:row>
    <x:row r="125">
      <x:c r="A125" s="532"/>
      <x:c r="B125" s="532"/>
      <x:c r="C125" s="532"/>
      <x:c r="D125" s="532"/>
      <x:c r="E125" s="532"/>
    </x:row>
    <x:row r="126">
      <x:c r="A126" s="532"/>
      <x:c r="B126" s="532"/>
      <x:c r="C126" s="532"/>
      <x:c r="D126" s="532"/>
      <x:c r="E126" s="532"/>
    </x:row>
    <x:row r="127">
      <x:c r="A127" s="532"/>
      <x:c r="B127" s="532"/>
      <x:c r="C127" s="532"/>
      <x:c r="D127" s="532"/>
      <x:c r="E127" s="532"/>
    </x:row>
    <x:row r="128">
      <x:c r="A128" s="532"/>
      <x:c r="B128" s="532"/>
      <x:c r="C128" s="532"/>
      <x:c r="D128" s="532"/>
      <x:c r="E128" s="532"/>
    </x:row>
    <x:row r="129">
      <x:c r="A129" s="532"/>
      <x:c r="B129" s="532"/>
      <x:c r="C129" s="532"/>
      <x:c r="D129" s="532"/>
      <x:c r="E129" s="532"/>
    </x:row>
    <x:row r="130">
      <x:c r="A130" s="532"/>
      <x:c r="B130" s="532"/>
      <x:c r="C130" s="532"/>
      <x:c r="D130" s="532"/>
      <x:c r="E130" s="532"/>
    </x:row>
    <x:row r="131">
      <x:c r="A131" s="532"/>
      <x:c r="B131" s="532"/>
      <x:c r="C131" s="532"/>
      <x:c r="D131" s="532"/>
      <x:c r="E131" s="532"/>
    </x:row>
    <x:row r="132">
      <x:c r="A132" s="532"/>
      <x:c r="B132" s="532"/>
      <x:c r="C132" s="532"/>
      <x:c r="D132" s="532"/>
      <x:c r="E132" s="532"/>
    </x:row>
    <x:row r="133">
      <x:c r="A133" s="532"/>
      <x:c r="B133" s="532"/>
      <x:c r="C133" s="532"/>
      <x:c r="D133" s="532"/>
      <x:c r="E133" s="532"/>
    </x:row>
    <x:row r="134">
      <x:c r="A134" s="532"/>
      <x:c r="B134" s="532"/>
      <x:c r="C134" s="532"/>
      <x:c r="D134" s="532"/>
      <x:c r="E134" s="532"/>
    </x:row>
    <x:row r="135">
      <x:c r="A135" s="532"/>
      <x:c r="B135" s="532"/>
      <x:c r="C135" s="532"/>
      <x:c r="D135" s="532"/>
      <x:c r="E135" s="532"/>
    </x:row>
    <x:row r="136">
      <x:c r="A136" s="532"/>
      <x:c r="B136" s="532"/>
      <x:c r="C136" s="532"/>
      <x:c r="D136" s="532"/>
      <x:c r="E136" s="532"/>
    </x:row>
    <x:row r="137">
      <x:c r="A137" s="532"/>
      <x:c r="B137" s="532"/>
      <x:c r="C137" s="532"/>
      <x:c r="D137" s="532"/>
      <x:c r="E137" s="532"/>
    </x:row>
    <x:row r="138">
      <x:c r="A138" s="532"/>
      <x:c r="B138" s="532"/>
      <x:c r="C138" s="532"/>
      <x:c r="D138" s="532"/>
      <x:c r="E138" s="532"/>
    </x:row>
    <x:row r="139">
      <x:c r="A139" s="532"/>
      <x:c r="B139" s="532"/>
      <x:c r="C139" s="532"/>
      <x:c r="D139" s="532"/>
      <x:c r="E139" s="532"/>
    </x:row>
    <x:row r="140">
      <x:c r="A140" s="532"/>
      <x:c r="B140" s="532"/>
      <x:c r="C140" s="532"/>
      <x:c r="D140" s="532"/>
      <x:c r="E140" s="532"/>
    </x:row>
    <x:row r="141">
      <x:c r="A141" s="532"/>
      <x:c r="B141" s="532"/>
      <x:c r="C141" s="532"/>
      <x:c r="D141" s="532"/>
      <x:c r="E141" s="532"/>
    </x:row>
    <x:row r="142">
      <x:c r="A142" s="532"/>
      <x:c r="B142" s="532"/>
      <x:c r="C142" s="532"/>
      <x:c r="D142" s="532"/>
      <x:c r="E142" s="532"/>
    </x:row>
    <x:row r="143">
      <x:c r="A143" s="532"/>
      <x:c r="B143" s="532"/>
      <x:c r="C143" s="532"/>
      <x:c r="D143" s="532"/>
      <x:c r="E143" s="532"/>
    </x:row>
    <x:row r="144">
      <x:c r="A144" s="532"/>
      <x:c r="B144" s="532"/>
      <x:c r="C144" s="532"/>
      <x:c r="D144" s="532"/>
      <x:c r="E144" s="532"/>
    </x:row>
    <x:row r="145">
      <x:c r="A145" s="532"/>
      <x:c r="B145" s="532"/>
      <x:c r="C145" s="532"/>
      <x:c r="D145" s="532"/>
      <x:c r="E145" s="532"/>
    </x:row>
    <x:row r="146">
      <x:c r="A146" s="532"/>
      <x:c r="B146" s="532"/>
      <x:c r="C146" s="532"/>
      <x:c r="D146" s="532"/>
      <x:c r="E146" s="532"/>
    </x:row>
    <x:row r="147">
      <x:c r="A147" s="532"/>
      <x:c r="B147" s="532"/>
      <x:c r="C147" s="532"/>
      <x:c r="D147" s="532"/>
      <x:c r="E147" s="532"/>
    </x:row>
    <x:row r="148">
      <x:c r="A148" s="532"/>
      <x:c r="B148" s="532"/>
      <x:c r="C148" s="532"/>
      <x:c r="D148" s="532"/>
      <x:c r="E148" s="532"/>
    </x:row>
    <x:row r="149">
      <x:c r="A149" s="532"/>
      <x:c r="B149" s="532"/>
      <x:c r="C149" s="532"/>
      <x:c r="D149" s="532"/>
      <x:c r="E149" s="532"/>
    </x:row>
    <x:row r="150">
      <x:c r="A150" s="532"/>
      <x:c r="B150" s="532"/>
      <x:c r="C150" s="532"/>
      <x:c r="D150" s="532"/>
      <x:c r="E150" s="532"/>
    </x:row>
    <x:row r="151">
      <x:c r="A151" s="532"/>
      <x:c r="B151" s="532"/>
      <x:c r="C151" s="532"/>
      <x:c r="D151" s="532"/>
      <x:c r="E151" s="532"/>
    </x:row>
    <x:row r="152">
      <x:c r="A152" s="532"/>
      <x:c r="B152" s="532"/>
      <x:c r="C152" s="532"/>
      <x:c r="D152" s="532"/>
      <x:c r="E152" s="532"/>
    </x:row>
    <x:row r="153">
      <x:c r="A153" s="532"/>
      <x:c r="B153" s="532"/>
      <x:c r="C153" s="532"/>
      <x:c r="D153" s="532"/>
      <x:c r="E153" s="532"/>
    </x:row>
    <x:row r="154">
      <x:c r="A154" s="532"/>
      <x:c r="B154" s="532"/>
      <x:c r="C154" s="532"/>
      <x:c r="D154" s="532"/>
      <x:c r="E154" s="532"/>
    </x:row>
    <x:row r="155">
      <x:c r="A155" s="532"/>
      <x:c r="B155" s="532"/>
      <x:c r="C155" s="532"/>
      <x:c r="D155" s="532"/>
      <x:c r="E155" s="532"/>
    </x:row>
    <x:row r="156">
      <x:c r="A156" s="532"/>
      <x:c r="B156" s="532"/>
      <x:c r="C156" s="532"/>
      <x:c r="D156" s="532"/>
      <x:c r="E156" s="532"/>
    </x:row>
    <x:row r="157">
      <x:c r="A157" s="532"/>
      <x:c r="B157" s="532"/>
      <x:c r="C157" s="532"/>
      <x:c r="D157" s="532"/>
      <x:c r="E157" s="532"/>
    </x:row>
    <x:row r="158">
      <x:c r="A158" s="532"/>
      <x:c r="B158" s="532"/>
      <x:c r="C158" s="532"/>
      <x:c r="D158" s="532"/>
      <x:c r="E158" s="532"/>
    </x:row>
    <x:row r="159">
      <x:c r="A159" s="532"/>
      <x:c r="B159" s="532"/>
      <x:c r="C159" s="532"/>
      <x:c r="D159" s="532"/>
      <x:c r="E159" s="532"/>
    </x:row>
    <x:row r="160">
      <x:c r="A160" s="532"/>
      <x:c r="B160" s="532"/>
      <x:c r="C160" s="532"/>
      <x:c r="D160" s="532"/>
      <x:c r="E160" s="532"/>
    </x:row>
    <x:row r="161">
      <x:c r="A161" s="532"/>
      <x:c r="B161" s="532"/>
      <x:c r="C161" s="532"/>
      <x:c r="D161" s="532"/>
      <x:c r="E161" s="532"/>
    </x:row>
    <x:row r="162">
      <x:c r="A162" s="532"/>
      <x:c r="B162" s="532"/>
      <x:c r="C162" s="532"/>
      <x:c r="D162" s="532"/>
      <x:c r="E162" s="532"/>
    </x:row>
    <x:row r="163">
      <x:c r="A163" s="532"/>
      <x:c r="B163" s="532"/>
      <x:c r="C163" s="532"/>
      <x:c r="D163" s="532"/>
      <x:c r="E163" s="532"/>
    </x:row>
    <x:row r="164">
      <x:c r="A164" s="532"/>
      <x:c r="B164" s="532"/>
      <x:c r="C164" s="532"/>
      <x:c r="D164" s="532"/>
      <x:c r="E164" s="532"/>
    </x:row>
    <x:row r="165">
      <x:c r="A165" s="532"/>
      <x:c r="B165" s="532"/>
      <x:c r="C165" s="532"/>
      <x:c r="D165" s="532"/>
      <x:c r="E165" s="532"/>
    </x:row>
    <x:row r="166">
      <x:c r="A166" s="532"/>
      <x:c r="B166" s="532"/>
      <x:c r="C166" s="532"/>
      <x:c r="D166" s="532"/>
      <x:c r="E166" s="532"/>
    </x:row>
    <x:row r="167">
      <x:c r="A167" s="532"/>
      <x:c r="B167" s="532"/>
      <x:c r="C167" s="532"/>
      <x:c r="D167" s="532"/>
      <x:c r="E167" s="532"/>
    </x:row>
    <x:row r="168">
      <x:c r="A168" s="532"/>
      <x:c r="B168" s="532"/>
      <x:c r="C168" s="532"/>
      <x:c r="D168" s="532"/>
      <x:c r="E168" s="532"/>
    </x:row>
    <x:row r="169">
      <x:c r="A169" s="532"/>
      <x:c r="B169" s="532"/>
      <x:c r="C169" s="532"/>
      <x:c r="D169" s="532"/>
      <x:c r="E169" s="532"/>
    </x:row>
    <x:row r="170">
      <x:c r="A170" s="532"/>
      <x:c r="B170" s="532"/>
      <x:c r="C170" s="532"/>
      <x:c r="D170" s="532"/>
      <x:c r="E170" s="532"/>
    </x:row>
    <x:row r="171">
      <x:c r="A171" s="532"/>
      <x:c r="B171" s="532"/>
      <x:c r="C171" s="532"/>
      <x:c r="D171" s="532"/>
      <x:c r="E171" s="532"/>
    </x:row>
    <x:row r="172">
      <x:c r="A172" s="532"/>
      <x:c r="B172" s="532"/>
      <x:c r="C172" s="532"/>
      <x:c r="D172" s="532"/>
      <x:c r="E172" s="532"/>
    </x:row>
    <x:row r="173">
      <x:c r="A173" s="532"/>
      <x:c r="B173" s="532"/>
      <x:c r="C173" s="532"/>
      <x:c r="D173" s="532"/>
      <x:c r="E173" s="532"/>
    </x:row>
    <x:row r="174">
      <x:c r="A174" s="532"/>
      <x:c r="B174" s="532"/>
      <x:c r="C174" s="532"/>
      <x:c r="D174" s="532"/>
      <x:c r="E174" s="532"/>
    </x:row>
    <x:row r="175">
      <x:c r="A175" s="532"/>
      <x:c r="B175" s="532"/>
      <x:c r="C175" s="532"/>
      <x:c r="D175" s="532"/>
      <x:c r="E175" s="532"/>
    </x:row>
    <x:row r="176">
      <x:c r="A176" s="532"/>
      <x:c r="B176" s="532"/>
      <x:c r="C176" s="532"/>
      <x:c r="D176" s="532"/>
      <x:c r="E176" s="532"/>
    </x:row>
    <x:row r="177">
      <x:c r="A177" s="532"/>
      <x:c r="B177" s="532"/>
      <x:c r="C177" s="532"/>
      <x:c r="D177" s="532"/>
      <x:c r="E177" s="532"/>
    </x:row>
    <x:row r="178">
      <x:c r="A178" s="532"/>
      <x:c r="B178" s="532"/>
      <x:c r="C178" s="532"/>
      <x:c r="D178" s="532"/>
      <x:c r="E178" s="532"/>
    </x:row>
    <x:row r="179">
      <x:c r="A179" s="532"/>
      <x:c r="B179" s="532"/>
      <x:c r="C179" s="532"/>
      <x:c r="D179" s="532"/>
      <x:c r="E179" s="532"/>
    </x:row>
    <x:row r="180">
      <x:c r="A180" s="532"/>
      <x:c r="B180" s="532"/>
      <x:c r="C180" s="532"/>
      <x:c r="D180" s="532"/>
      <x:c r="E180" s="532"/>
    </x:row>
    <x:row r="181">
      <x:c r="A181" s="532"/>
      <x:c r="B181" s="532"/>
      <x:c r="C181" s="532"/>
      <x:c r="D181" s="532"/>
      <x:c r="E181" s="532"/>
    </x:row>
    <x:row r="182">
      <x:c r="A182" s="532"/>
      <x:c r="B182" s="532"/>
      <x:c r="C182" s="532"/>
      <x:c r="D182" s="532"/>
      <x:c r="E182" s="532"/>
    </x:row>
    <x:row r="183">
      <x:c r="A183" s="532"/>
      <x:c r="B183" s="532"/>
      <x:c r="C183" s="532"/>
      <x:c r="D183" s="532"/>
      <x:c r="E183" s="532"/>
    </x:row>
    <x:row r="184">
      <x:c r="A184" s="532"/>
      <x:c r="B184" s="532"/>
      <x:c r="C184" s="532"/>
      <x:c r="D184" s="532"/>
      <x:c r="E184" s="532"/>
    </x:row>
    <x:row r="185">
      <x:c r="A185" s="532"/>
      <x:c r="B185" s="532"/>
      <x:c r="C185" s="532"/>
      <x:c r="D185" s="532"/>
      <x:c r="E185" s="532"/>
    </x:row>
    <x:row r="186">
      <x:c r="A186" s="532"/>
      <x:c r="B186" s="532"/>
      <x:c r="C186" s="532"/>
      <x:c r="D186" s="532"/>
      <x:c r="E186" s="532"/>
    </x:row>
    <x:row r="187">
      <x:c r="A187" s="532"/>
      <x:c r="B187" s="532"/>
      <x:c r="C187" s="532"/>
      <x:c r="D187" s="532"/>
      <x:c r="E187" s="532"/>
    </x:row>
    <x:row r="188">
      <x:c r="A188" s="532"/>
      <x:c r="B188" s="532"/>
      <x:c r="C188" s="532"/>
      <x:c r="D188" s="532"/>
      <x:c r="E188" s="532"/>
    </x:row>
    <x:row r="189">
      <x:c r="A189" s="532"/>
      <x:c r="B189" s="532"/>
      <x:c r="C189" s="532"/>
      <x:c r="D189" s="532"/>
      <x:c r="E189" s="532"/>
    </x:row>
    <x:row r="190">
      <x:c r="A190" s="532"/>
      <x:c r="B190" s="532"/>
      <x:c r="C190" s="532"/>
      <x:c r="D190" s="532"/>
      <x:c r="E190" s="532"/>
    </x:row>
    <x:row r="191">
      <x:c r="A191" s="532"/>
      <x:c r="B191" s="532"/>
      <x:c r="C191" s="532"/>
      <x:c r="D191" s="532"/>
      <x:c r="E191" s="532"/>
    </x:row>
    <x:row r="192">
      <x:c r="A192" s="532"/>
      <x:c r="B192" s="532"/>
      <x:c r="C192" s="532"/>
      <x:c r="D192" s="532"/>
      <x:c r="E192" s="532"/>
    </x:row>
    <x:row r="193">
      <x:c r="A193" s="532"/>
      <x:c r="B193" s="532"/>
      <x:c r="C193" s="532"/>
      <x:c r="D193" s="532"/>
      <x:c r="E193" s="532"/>
    </x:row>
    <x:row r="194">
      <x:c r="A194" s="532"/>
      <x:c r="B194" s="532"/>
      <x:c r="C194" s="532"/>
      <x:c r="D194" s="532"/>
      <x:c r="E194" s="532"/>
    </x:row>
    <x:row r="195">
      <x:c r="A195" s="532"/>
      <x:c r="B195" s="532"/>
      <x:c r="C195" s="532"/>
      <x:c r="D195" s="532"/>
      <x:c r="E195" s="532"/>
    </x:row>
    <x:row r="196">
      <x:c r="A196" s="532"/>
      <x:c r="B196" s="532"/>
      <x:c r="C196" s="532"/>
      <x:c r="D196" s="532"/>
      <x:c r="E196" s="532"/>
    </x:row>
    <x:row r="197">
      <x:c r="A197" s="532"/>
      <x:c r="B197" s="532"/>
      <x:c r="C197" s="532"/>
      <x:c r="D197" s="532"/>
      <x:c r="E197" s="532"/>
    </x:row>
    <x:row r="198">
      <x:c r="A198" s="532"/>
      <x:c r="B198" s="532"/>
      <x:c r="C198" s="532"/>
      <x:c r="D198" s="532"/>
      <x:c r="E198" s="532"/>
    </x:row>
    <x:row r="199">
      <x:c r="A199" s="532"/>
      <x:c r="B199" s="532"/>
      <x:c r="C199" s="532"/>
      <x:c r="D199" s="532"/>
      <x:c r="E199" s="532"/>
    </x:row>
    <x:row r="200">
      <x:c r="A200" s="532"/>
      <x:c r="B200" s="532"/>
      <x:c r="C200" s="532"/>
      <x:c r="D200" s="532"/>
      <x:c r="E200" s="532"/>
    </x:row>
    <x:row r="201">
      <x:c r="A201" s="532"/>
      <x:c r="B201" s="532"/>
      <x:c r="C201" s="532"/>
      <x:c r="D201" s="532"/>
      <x:c r="E201" s="532"/>
    </x:row>
    <x:row r="202">
      <x:c r="A202" s="532"/>
      <x:c r="B202" s="532"/>
      <x:c r="C202" s="532"/>
      <x:c r="D202" s="532"/>
      <x:c r="E202" s="532"/>
    </x:row>
    <x:row r="203">
      <x:c r="A203" s="532"/>
      <x:c r="B203" s="532"/>
      <x:c r="C203" s="532"/>
      <x:c r="D203" s="532"/>
      <x:c r="E203" s="532"/>
    </x:row>
    <x:row r="204">
      <x:c r="A204" s="532"/>
      <x:c r="B204" s="532"/>
      <x:c r="C204" s="532"/>
      <x:c r="D204" s="532"/>
      <x:c r="E204" s="532"/>
    </x:row>
    <x:row r="205">
      <x:c r="A205" s="532"/>
      <x:c r="B205" s="532"/>
      <x:c r="C205" s="532"/>
      <x:c r="D205" s="532"/>
      <x:c r="E205" s="532"/>
    </x:row>
    <x:row r="206">
      <x:c r="A206" s="532"/>
      <x:c r="B206" s="532"/>
      <x:c r="C206" s="532"/>
      <x:c r="D206" s="532"/>
      <x:c r="E206" s="532"/>
    </x:row>
    <x:row r="207">
      <x:c r="A207" s="532"/>
      <x:c r="B207" s="532"/>
      <x:c r="C207" s="532"/>
      <x:c r="D207" s="532"/>
      <x:c r="E207" s="532"/>
    </x:row>
    <x:row r="208">
      <x:c r="A208" s="532"/>
      <x:c r="B208" s="532"/>
      <x:c r="C208" s="532"/>
      <x:c r="D208" s="532"/>
      <x:c r="E208" s="532"/>
    </x:row>
    <x:row r="209">
      <x:c r="A209" s="532"/>
      <x:c r="B209" s="532"/>
      <x:c r="C209" s="532"/>
      <x:c r="D209" s="532"/>
      <x:c r="E209" s="532"/>
    </x:row>
    <x:row r="210">
      <x:c r="A210" s="532"/>
      <x:c r="B210" s="532"/>
      <x:c r="C210" s="532"/>
      <x:c r="D210" s="532"/>
      <x:c r="E210" s="532"/>
    </x:row>
    <x:row r="211">
      <x:c r="A211" s="532"/>
      <x:c r="B211" s="532"/>
      <x:c r="C211" s="532"/>
      <x:c r="D211" s="532"/>
      <x:c r="E211" s="532"/>
    </x:row>
    <x:row r="212">
      <x:c r="A212" s="532"/>
      <x:c r="B212" s="532"/>
      <x:c r="C212" s="532"/>
      <x:c r="D212" s="532"/>
      <x:c r="E212" s="532"/>
    </x:row>
    <x:row r="213">
      <x:c r="A213" s="532"/>
      <x:c r="B213" s="532"/>
      <x:c r="C213" s="532"/>
      <x:c r="D213" s="532"/>
      <x:c r="E213" s="532"/>
    </x:row>
    <x:row r="214">
      <x:c r="A214" s="532"/>
      <x:c r="B214" s="532"/>
      <x:c r="C214" s="532"/>
      <x:c r="D214" s="532"/>
      <x:c r="E214" s="532"/>
    </x:row>
    <x:row r="215">
      <x:c r="A215" s="532"/>
      <x:c r="B215" s="532"/>
      <x:c r="C215" s="532"/>
      <x:c r="D215" s="532"/>
      <x:c r="E215" s="532"/>
    </x:row>
    <x:row r="216">
      <x:c r="A216" s="532"/>
      <x:c r="B216" s="532"/>
      <x:c r="C216" s="532"/>
      <x:c r="D216" s="532"/>
      <x:c r="E216" s="532"/>
    </x:row>
    <x:row r="217">
      <x:c r="A217" s="532"/>
      <x:c r="B217" s="532"/>
      <x:c r="C217" s="532"/>
      <x:c r="D217" s="532"/>
      <x:c r="E217" s="532"/>
    </x:row>
    <x:row r="218">
      <x:c r="A218" s="532"/>
      <x:c r="B218" s="532"/>
      <x:c r="C218" s="532"/>
      <x:c r="D218" s="532"/>
      <x:c r="E218" s="532"/>
    </x:row>
    <x:row r="219">
      <x:c r="A219" s="532"/>
      <x:c r="B219" s="532"/>
      <x:c r="C219" s="532"/>
      <x:c r="D219" s="532"/>
      <x:c r="E219" s="532"/>
    </x:row>
    <x:row r="220">
      <x:c r="A220" s="532"/>
      <x:c r="B220" s="532"/>
      <x:c r="C220" s="532"/>
      <x:c r="D220" s="532"/>
      <x:c r="E220" s="532"/>
    </x:row>
  </x:sheetData>
  <x:mergeCells>
    <x:mergeCell ref="A3:E3"/>
  </x:mergeCells>
  <x:dataValidations count="2">
    <x:dataValidation type="list" sqref="D6:D80">
      <x:formula1>"Critical,High,Medium,Low"</x:formula1>
    </x:dataValidation>
    <x:dataValidation type="list" sqref="E6:E80">
      <x:formula1>"No,In Progress,Yes"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2" hidden="0" customWidth="1"/>
    <x:col min="4" max="4" width="16" hidden="0" customWidth="1"/>
    <x:col min="5" max="5" width="18" hidden="0" customWidth="1"/>
  </x:cols>
  <x:sheetData>
    <x:row r="1">
      <x:c r="A1" s="535" t="str">
        <x:v>🔍 Data Quality Checks</x:v>
      </x:c>
      <x:c r="B1" s="535"/>
      <x:c r="C1" s="535"/>
      <x:c r="D1" s="535"/>
      <x:c r="E1" s="535"/>
    </x:row>
    <x:row r="2">
      <x:c r="A2" s="535"/>
      <x:c r="B2" s="535"/>
      <x:c r="C2" s="535"/>
      <x:c r="D2" s="535"/>
      <x:c r="E2" s="535"/>
    </x:row>
    <x:row r="3">
      <x:c r="A3" s="536" t="str">
        <x:v>Use this before family testing. If critical checks fail, fix content or app behavior before adding anything new.</x:v>
      </x:c>
      <x:c r="B3" s="536"/>
      <x:c r="C3" s="536"/>
      <x:c r="D3" s="536"/>
      <x:c r="E3" s="536"/>
    </x:row>
    <x:row r="4">
      <x:c r="A4" s="532"/>
      <x:c r="B4" s="532"/>
      <x:c r="C4" s="532"/>
      <x:c r="D4" s="532"/>
      <x:c r="E4" s="532"/>
    </x:row>
    <x:row r="5">
      <x:c r="A5" s="539" t="str">
        <x:v>Check</x:v>
      </x:c>
      <x:c r="B5" s="539" t="str">
        <x:v>Why It Matters</x:v>
      </x:c>
      <x:c r="C5" s="539" t="str">
        <x:v>How To Verify</x:v>
      </x:c>
      <x:c r="D5" s="539" t="str">
        <x:v>Priority</x:v>
      </x:c>
      <x:c r="E5" s="539" t="str">
        <x:v>Status</x:v>
      </x:c>
    </x:row>
    <x:row r="6">
      <x:c r="A6" s="540" t="str">
        <x:v>Hotels have address + phone</x:v>
      </x:c>
      <x:c r="B6" s="540" t="str">
        <x:v>Needed for taxi/Lost Mode/Hilda</x:v>
      </x:c>
      <x:c r="C6" s="540" t="str">
        <x:v>Open Hotels/Maps and verify every hotel row</x:v>
      </x:c>
      <x:c r="D6" s="540" t="str">
        <x:v>Critical</x:v>
      </x:c>
      <x:c r="E6" s="540" t="str">
        <x:v>Not Started</x:v>
      </x:c>
    </x:row>
    <x:row r="7">
      <x:c r="A7" s="540" t="str">
        <x:v>Maps links are real</x:v>
      </x:c>
      <x:c r="B7" s="540" t="str">
        <x:v>One-tap navigation depends on this</x:v>
      </x:c>
      <x:c r="C7" s="540" t="str">
        <x:v>Click each map link in Google Sheets before trip</x:v>
      </x:c>
      <x:c r="D7" s="540" t="str">
        <x:v>High</x:v>
      </x:c>
      <x:c r="E7" s="540" t="str">
        <x:v>Not Started</x:v>
      </x:c>
    </x:row>
    <x:row r="8">
      <x:c r="A8" s="540" t="str">
        <x:v>Restaurants have must-order notes</x:v>
      </x:c>
      <x:c r="B8" s="540" t="str">
        <x:v>Makes Food page useful in real life</x:v>
      </x:c>
      <x:c r="C8" s="540" t="str">
        <x:v>Review restaurant rows</x:v>
      </x:c>
      <x:c r="D8" s="540" t="str">
        <x:v>High</x:v>
      </x:c>
      <x:c r="E8" s="540" t="str">
        <x:v>Not Started</x:v>
      </x:c>
    </x:row>
    <x:row r="9">
      <x:c r="A9" s="540" t="str">
        <x:v>Emergency cards are accurate</x:v>
      </x:c>
      <x:c r="B9" s="540" t="str">
        <x:v>Safety critical</x:v>
      </x:c>
      <x:c r="C9" s="540" t="str">
        <x:v>Review SOS/Lost/Medical sheets</x:v>
      </x:c>
      <x:c r="D9" s="540" t="str">
        <x:v>Critical</x:v>
      </x:c>
      <x:c r="E9" s="540" t="str">
        <x:v>Not Started</x:v>
      </x:c>
    </x:row>
    <x:row r="10">
      <x:c r="A10" s="540" t="str">
        <x:v>Suica instructions match plan</x:v>
      </x:c>
      <x:c r="B10" s="540" t="str">
        <x:v>Everyone using Apple Wallet Suica</x:v>
      </x:c>
      <x:c r="C10" s="540" t="str">
        <x:v>Open Suica hub and compare to actual phone setup</x:v>
      </x:c>
      <x:c r="D10" s="540" t="str">
        <x:v>Critical</x:v>
      </x:c>
      <x:c r="E10" s="540" t="str">
        <x:v>Not Started</x:v>
      </x:c>
    </x:row>
    <x:row r="11">
      <x:c r="A11" s="540" t="str">
        <x:v>Offline test passes</x:v>
      </x:c>
      <x:c r="B11" s="540" t="str">
        <x:v>App must work without service</x:v>
      </x:c>
      <x:c r="C11" s="540" t="str">
        <x:v>Run Airplane Mode test</x:v>
      </x:c>
      <x:c r="D11" s="540" t="str">
        <x:v>Critical</x:v>
      </x:c>
      <x:c r="E11" s="540" t="str">
        <x:v>Not Started</x:v>
      </x:c>
    </x:row>
    <x:row r="12">
      <x:c r="A12" s="540" t="str">
        <x:v>Money Hub /fx works</x:v>
      </x:c>
      <x:c r="B12" s="540" t="str">
        <x:v>Yen converter is daily-use feature</x:v>
      </x:c>
      <x:c r="C12" s="540" t="str">
        <x:v>Open /fx and Money tab</x:v>
      </x:c>
      <x:c r="D12" s="540" t="str">
        <x:v>High</x:v>
      </x:c>
      <x:c r="E12" s="540" t="str">
        <x:v>Not Started</x:v>
      </x:c>
    </x:row>
    <x:row r="13">
      <x:c r="A13" s="540" t="str">
        <x:v>Hilda can navigate unaided</x:v>
      </x:c>
      <x:c r="B13" s="540" t="str">
        <x:v>Primary family usability test</x:v>
      </x:c>
      <x:c r="C13" s="540" t="str">
        <x:v>Watch her find Today/SOS/Lost/Hotel</x:v>
      </x:c>
      <x:c r="D13" s="540" t="str">
        <x:v>Critical</x:v>
      </x:c>
      <x:c r="E13" s="540" t="str">
        <x:v>Not Started</x:v>
      </x:c>
    </x:row>
    <x:row r="14">
      <x:c r="A14" s="532"/>
      <x:c r="B14" s="532"/>
      <x:c r="C14" s="532"/>
      <x:c r="D14" s="532"/>
      <x:c r="E14" s="532"/>
    </x:row>
    <x:row r="15">
      <x:c r="A15" s="532"/>
      <x:c r="B15" s="532"/>
      <x:c r="C15" s="532"/>
      <x:c r="D15" s="532"/>
      <x:c r="E15" s="532"/>
    </x:row>
    <x:row r="16">
      <x:c r="A16" s="532"/>
      <x:c r="B16" s="532"/>
      <x:c r="C16" s="532"/>
      <x:c r="D16" s="532"/>
      <x:c r="E16" s="532"/>
    </x:row>
    <x:row r="17">
      <x:c r="A17" s="532"/>
      <x:c r="B17" s="532"/>
      <x:c r="C17" s="532"/>
      <x:c r="D17" s="532"/>
      <x:c r="E17" s="532"/>
    </x:row>
    <x:row r="18">
      <x:c r="A18" s="532"/>
      <x:c r="B18" s="532"/>
      <x:c r="C18" s="532"/>
      <x:c r="D18" s="532"/>
      <x:c r="E18" s="532"/>
    </x:row>
    <x:row r="19">
      <x:c r="A19" s="532"/>
      <x:c r="B19" s="532"/>
      <x:c r="C19" s="532"/>
      <x:c r="D19" s="532"/>
      <x:c r="E19" s="532"/>
    </x:row>
    <x:row r="20">
      <x:c r="A20" s="532"/>
      <x:c r="B20" s="532"/>
      <x:c r="C20" s="532"/>
      <x:c r="D20" s="532"/>
      <x:c r="E20" s="532"/>
    </x:row>
    <x:row r="21">
      <x:c r="A21" s="532"/>
      <x:c r="B21" s="532"/>
      <x:c r="C21" s="532"/>
      <x:c r="D21" s="532"/>
      <x:c r="E21" s="532"/>
    </x:row>
    <x:row r="22">
      <x:c r="A22" s="532"/>
      <x:c r="B22" s="532"/>
      <x:c r="C22" s="532"/>
      <x:c r="D22" s="532"/>
      <x:c r="E22" s="532"/>
    </x:row>
    <x:row r="23">
      <x:c r="A23" s="532"/>
      <x:c r="B23" s="532"/>
      <x:c r="C23" s="532"/>
      <x:c r="D23" s="532"/>
      <x:c r="E23" s="532"/>
    </x:row>
    <x:row r="24">
      <x:c r="A24" s="532"/>
      <x:c r="B24" s="532"/>
      <x:c r="C24" s="532"/>
      <x:c r="D24" s="532"/>
      <x:c r="E24" s="532"/>
    </x:row>
    <x:row r="25">
      <x:c r="A25" s="532"/>
      <x:c r="B25" s="532"/>
      <x:c r="C25" s="532"/>
      <x:c r="D25" s="532"/>
      <x:c r="E25" s="532"/>
    </x:row>
    <x:row r="26">
      <x:c r="A26" s="532"/>
      <x:c r="B26" s="532"/>
      <x:c r="C26" s="532"/>
      <x:c r="D26" s="532"/>
      <x:c r="E26" s="532"/>
    </x:row>
    <x:row r="27">
      <x:c r="A27" s="532"/>
      <x:c r="B27" s="532"/>
      <x:c r="C27" s="532"/>
      <x:c r="D27" s="532"/>
      <x:c r="E27" s="532"/>
    </x:row>
    <x:row r="28">
      <x:c r="A28" s="532"/>
      <x:c r="B28" s="532"/>
      <x:c r="C28" s="532"/>
      <x:c r="D28" s="532"/>
      <x:c r="E28" s="532"/>
    </x:row>
    <x:row r="29">
      <x:c r="A29" s="532"/>
      <x:c r="B29" s="532"/>
      <x:c r="C29" s="532"/>
      <x:c r="D29" s="532"/>
      <x:c r="E29" s="532"/>
    </x:row>
    <x:row r="30">
      <x:c r="A30" s="532"/>
      <x:c r="B30" s="532"/>
      <x:c r="C30" s="532"/>
      <x:c r="D30" s="532"/>
      <x:c r="E30" s="532"/>
    </x:row>
    <x:row r="31">
      <x:c r="A31" s="532"/>
      <x:c r="B31" s="532"/>
      <x:c r="C31" s="532"/>
      <x:c r="D31" s="532"/>
      <x:c r="E31" s="532"/>
    </x:row>
    <x:row r="32">
      <x:c r="A32" s="532"/>
      <x:c r="B32" s="532"/>
      <x:c r="C32" s="532"/>
      <x:c r="D32" s="532"/>
      <x:c r="E32" s="532"/>
    </x:row>
    <x:row r="33">
      <x:c r="A33" s="532"/>
      <x:c r="B33" s="532"/>
      <x:c r="C33" s="532"/>
      <x:c r="D33" s="532"/>
      <x:c r="E33" s="532"/>
    </x:row>
    <x:row r="34">
      <x:c r="A34" s="532"/>
      <x:c r="B34" s="532"/>
      <x:c r="C34" s="532"/>
      <x:c r="D34" s="532"/>
      <x:c r="E34" s="532"/>
    </x:row>
    <x:row r="35">
      <x:c r="A35" s="532"/>
      <x:c r="B35" s="532"/>
      <x:c r="C35" s="532"/>
      <x:c r="D35" s="532"/>
      <x:c r="E35" s="532"/>
    </x:row>
    <x:row r="36">
      <x:c r="A36" s="532"/>
      <x:c r="B36" s="532"/>
      <x:c r="C36" s="532"/>
      <x:c r="D36" s="532"/>
      <x:c r="E36" s="532"/>
    </x:row>
    <x:row r="37">
      <x:c r="A37" s="532"/>
      <x:c r="B37" s="532"/>
      <x:c r="C37" s="532"/>
      <x:c r="D37" s="532"/>
      <x:c r="E37" s="532"/>
    </x:row>
    <x:row r="38">
      <x:c r="A38" s="532"/>
      <x:c r="B38" s="532"/>
      <x:c r="C38" s="532"/>
      <x:c r="D38" s="532"/>
      <x:c r="E38" s="532"/>
    </x:row>
    <x:row r="39">
      <x:c r="A39" s="532"/>
      <x:c r="B39" s="532"/>
      <x:c r="C39" s="532"/>
      <x:c r="D39" s="532"/>
      <x:c r="E39" s="532"/>
    </x:row>
    <x:row r="40">
      <x:c r="A40" s="532"/>
      <x:c r="B40" s="532"/>
      <x:c r="C40" s="532"/>
      <x:c r="D40" s="532"/>
      <x:c r="E40" s="532"/>
    </x:row>
    <x:row r="41">
      <x:c r="A41" s="532"/>
      <x:c r="B41" s="532"/>
      <x:c r="C41" s="532"/>
      <x:c r="D41" s="532"/>
      <x:c r="E41" s="532"/>
    </x:row>
    <x:row r="42">
      <x:c r="A42" s="532"/>
      <x:c r="B42" s="532"/>
      <x:c r="C42" s="532"/>
      <x:c r="D42" s="532"/>
      <x:c r="E42" s="532"/>
    </x:row>
    <x:row r="43">
      <x:c r="A43" s="532"/>
      <x:c r="B43" s="532"/>
      <x:c r="C43" s="532"/>
      <x:c r="D43" s="532"/>
      <x:c r="E43" s="532"/>
    </x:row>
    <x:row r="44">
      <x:c r="A44" s="532"/>
      <x:c r="B44" s="532"/>
      <x:c r="C44" s="532"/>
      <x:c r="D44" s="532"/>
      <x:c r="E44" s="532"/>
    </x:row>
    <x:row r="45">
      <x:c r="A45" s="532"/>
      <x:c r="B45" s="532"/>
      <x:c r="C45" s="532"/>
      <x:c r="D45" s="532"/>
      <x:c r="E45" s="532"/>
    </x:row>
    <x:row r="46">
      <x:c r="A46" s="532"/>
      <x:c r="B46" s="532"/>
      <x:c r="C46" s="532"/>
      <x:c r="D46" s="532"/>
      <x:c r="E46" s="532"/>
    </x:row>
    <x:row r="47">
      <x:c r="A47" s="532"/>
      <x:c r="B47" s="532"/>
      <x:c r="C47" s="532"/>
      <x:c r="D47" s="532"/>
      <x:c r="E47" s="532"/>
    </x:row>
    <x:row r="48">
      <x:c r="A48" s="532"/>
      <x:c r="B48" s="532"/>
      <x:c r="C48" s="532"/>
      <x:c r="D48" s="532"/>
      <x:c r="E48" s="532"/>
    </x:row>
    <x:row r="49">
      <x:c r="A49" s="532"/>
      <x:c r="B49" s="532"/>
      <x:c r="C49" s="532"/>
      <x:c r="D49" s="532"/>
      <x:c r="E49" s="532"/>
    </x:row>
    <x:row r="50">
      <x:c r="A50" s="532"/>
      <x:c r="B50" s="532"/>
      <x:c r="C50" s="532"/>
      <x:c r="D50" s="532"/>
      <x:c r="E50" s="532"/>
    </x:row>
    <x:row r="51">
      <x:c r="A51" s="532"/>
      <x:c r="B51" s="532"/>
      <x:c r="C51" s="532"/>
      <x:c r="D51" s="532"/>
      <x:c r="E51" s="532"/>
    </x:row>
    <x:row r="52">
      <x:c r="A52" s="532"/>
      <x:c r="B52" s="532"/>
      <x:c r="C52" s="532"/>
      <x:c r="D52" s="532"/>
      <x:c r="E52" s="532"/>
    </x:row>
    <x:row r="53">
      <x:c r="A53" s="532"/>
      <x:c r="B53" s="532"/>
      <x:c r="C53" s="532"/>
      <x:c r="D53" s="532"/>
      <x:c r="E53" s="532"/>
    </x:row>
    <x:row r="54">
      <x:c r="A54" s="532"/>
      <x:c r="B54" s="532"/>
      <x:c r="C54" s="532"/>
      <x:c r="D54" s="532"/>
      <x:c r="E54" s="532"/>
    </x:row>
    <x:row r="55">
      <x:c r="A55" s="532"/>
      <x:c r="B55" s="532"/>
      <x:c r="C55" s="532"/>
      <x:c r="D55" s="532"/>
      <x:c r="E55" s="532"/>
    </x:row>
    <x:row r="56">
      <x:c r="A56" s="532"/>
      <x:c r="B56" s="532"/>
      <x:c r="C56" s="532"/>
      <x:c r="D56" s="532"/>
      <x:c r="E56" s="532"/>
    </x:row>
    <x:row r="57">
      <x:c r="A57" s="532"/>
      <x:c r="B57" s="532"/>
      <x:c r="C57" s="532"/>
      <x:c r="D57" s="532"/>
      <x:c r="E57" s="532"/>
    </x:row>
    <x:row r="58">
      <x:c r="A58" s="532"/>
      <x:c r="B58" s="532"/>
      <x:c r="C58" s="532"/>
      <x:c r="D58" s="532"/>
      <x:c r="E58" s="532"/>
    </x:row>
    <x:row r="59">
      <x:c r="A59" s="532"/>
      <x:c r="B59" s="532"/>
      <x:c r="C59" s="532"/>
      <x:c r="D59" s="532"/>
      <x:c r="E59" s="532"/>
    </x:row>
    <x:row r="60">
      <x:c r="A60" s="532"/>
      <x:c r="B60" s="532"/>
      <x:c r="C60" s="532"/>
      <x:c r="D60" s="532"/>
      <x:c r="E60" s="532"/>
    </x:row>
    <x:row r="61">
      <x:c r="A61" s="532"/>
      <x:c r="B61" s="532"/>
      <x:c r="C61" s="532"/>
      <x:c r="D61" s="532"/>
      <x:c r="E61" s="532"/>
    </x:row>
    <x:row r="62">
      <x:c r="A62" s="532"/>
      <x:c r="B62" s="532"/>
      <x:c r="C62" s="532"/>
      <x:c r="D62" s="532"/>
      <x:c r="E62" s="532"/>
    </x:row>
    <x:row r="63">
      <x:c r="A63" s="532"/>
      <x:c r="B63" s="532"/>
      <x:c r="C63" s="532"/>
      <x:c r="D63" s="532"/>
      <x:c r="E63" s="532"/>
    </x:row>
    <x:row r="64">
      <x:c r="A64" s="532"/>
      <x:c r="B64" s="532"/>
      <x:c r="C64" s="532"/>
      <x:c r="D64" s="532"/>
      <x:c r="E64" s="532"/>
    </x:row>
    <x:row r="65">
      <x:c r="A65" s="532"/>
      <x:c r="B65" s="532"/>
      <x:c r="C65" s="532"/>
      <x:c r="D65" s="532"/>
      <x:c r="E65" s="532"/>
    </x:row>
    <x:row r="66">
      <x:c r="A66" s="532"/>
      <x:c r="B66" s="532"/>
      <x:c r="C66" s="532"/>
      <x:c r="D66" s="532"/>
      <x:c r="E66" s="532"/>
    </x:row>
    <x:row r="67">
      <x:c r="A67" s="532"/>
      <x:c r="B67" s="532"/>
      <x:c r="C67" s="532"/>
      <x:c r="D67" s="532"/>
      <x:c r="E67" s="532"/>
    </x:row>
    <x:row r="68">
      <x:c r="A68" s="532"/>
      <x:c r="B68" s="532"/>
      <x:c r="C68" s="532"/>
      <x:c r="D68" s="532"/>
      <x:c r="E68" s="532"/>
    </x:row>
    <x:row r="69">
      <x:c r="A69" s="532"/>
      <x:c r="B69" s="532"/>
      <x:c r="C69" s="532"/>
      <x:c r="D69" s="532"/>
      <x:c r="E69" s="532"/>
    </x:row>
    <x:row r="70">
      <x:c r="A70" s="532"/>
      <x:c r="B70" s="532"/>
      <x:c r="C70" s="532"/>
      <x:c r="D70" s="532"/>
      <x:c r="E70" s="532"/>
    </x:row>
    <x:row r="71">
      <x:c r="A71" s="532"/>
      <x:c r="B71" s="532"/>
      <x:c r="C71" s="532"/>
      <x:c r="D71" s="532"/>
      <x:c r="E71" s="532"/>
    </x:row>
    <x:row r="72">
      <x:c r="A72" s="532"/>
      <x:c r="B72" s="532"/>
      <x:c r="C72" s="532"/>
      <x:c r="D72" s="532"/>
      <x:c r="E72" s="532"/>
    </x:row>
    <x:row r="73">
      <x:c r="A73" s="532"/>
      <x:c r="B73" s="532"/>
      <x:c r="C73" s="532"/>
      <x:c r="D73" s="532"/>
      <x:c r="E73" s="532"/>
    </x:row>
    <x:row r="74">
      <x:c r="A74" s="532"/>
      <x:c r="B74" s="532"/>
      <x:c r="C74" s="532"/>
      <x:c r="D74" s="532"/>
      <x:c r="E74" s="532"/>
    </x:row>
    <x:row r="75">
      <x:c r="A75" s="532"/>
      <x:c r="B75" s="532"/>
      <x:c r="C75" s="532"/>
      <x:c r="D75" s="532"/>
      <x:c r="E75" s="532"/>
    </x:row>
    <x:row r="76">
      <x:c r="A76" s="532"/>
      <x:c r="B76" s="532"/>
      <x:c r="C76" s="532"/>
      <x:c r="D76" s="532"/>
      <x:c r="E76" s="532"/>
    </x:row>
    <x:row r="77">
      <x:c r="A77" s="532"/>
      <x:c r="B77" s="532"/>
      <x:c r="C77" s="532"/>
      <x:c r="D77" s="532"/>
      <x:c r="E77" s="532"/>
    </x:row>
    <x:row r="78">
      <x:c r="A78" s="532"/>
      <x:c r="B78" s="532"/>
      <x:c r="C78" s="532"/>
      <x:c r="D78" s="532"/>
      <x:c r="E78" s="532"/>
    </x:row>
    <x:row r="79">
      <x:c r="A79" s="532"/>
      <x:c r="B79" s="532"/>
      <x:c r="C79" s="532"/>
      <x:c r="D79" s="532"/>
      <x:c r="E79" s="532"/>
    </x:row>
    <x:row r="80">
      <x:c r="A80" s="532"/>
      <x:c r="B80" s="532"/>
      <x:c r="C80" s="532"/>
      <x:c r="D80" s="532"/>
      <x:c r="E80" s="532"/>
    </x:row>
    <x:row r="81">
      <x:c r="A81" s="532"/>
      <x:c r="B81" s="532"/>
      <x:c r="C81" s="532"/>
      <x:c r="D81" s="532"/>
      <x:c r="E81" s="532"/>
    </x:row>
    <x:row r="82">
      <x:c r="A82" s="532"/>
      <x:c r="B82" s="532"/>
      <x:c r="C82" s="532"/>
      <x:c r="D82" s="532"/>
      <x:c r="E82" s="532"/>
    </x:row>
    <x:row r="83">
      <x:c r="A83" s="532"/>
      <x:c r="B83" s="532"/>
      <x:c r="C83" s="532"/>
      <x:c r="D83" s="532"/>
      <x:c r="E83" s="532"/>
    </x:row>
    <x:row r="84">
      <x:c r="A84" s="532"/>
      <x:c r="B84" s="532"/>
      <x:c r="C84" s="532"/>
      <x:c r="D84" s="532"/>
      <x:c r="E84" s="532"/>
    </x:row>
    <x:row r="85">
      <x:c r="A85" s="532"/>
      <x:c r="B85" s="532"/>
      <x:c r="C85" s="532"/>
      <x:c r="D85" s="532"/>
      <x:c r="E85" s="532"/>
    </x:row>
    <x:row r="86">
      <x:c r="A86" s="532"/>
      <x:c r="B86" s="532"/>
      <x:c r="C86" s="532"/>
      <x:c r="D86" s="532"/>
      <x:c r="E86" s="532"/>
    </x:row>
    <x:row r="87">
      <x:c r="A87" s="532"/>
      <x:c r="B87" s="532"/>
      <x:c r="C87" s="532"/>
      <x:c r="D87" s="532"/>
      <x:c r="E87" s="532"/>
    </x:row>
    <x:row r="88">
      <x:c r="A88" s="532"/>
      <x:c r="B88" s="532"/>
      <x:c r="C88" s="532"/>
      <x:c r="D88" s="532"/>
      <x:c r="E88" s="532"/>
    </x:row>
    <x:row r="89">
      <x:c r="A89" s="532"/>
      <x:c r="B89" s="532"/>
      <x:c r="C89" s="532"/>
      <x:c r="D89" s="532"/>
      <x:c r="E89" s="532"/>
    </x:row>
    <x:row r="90">
      <x:c r="A90" s="532"/>
      <x:c r="B90" s="532"/>
      <x:c r="C90" s="532"/>
      <x:c r="D90" s="532"/>
      <x:c r="E90" s="532"/>
    </x:row>
    <x:row r="91">
      <x:c r="A91" s="532"/>
      <x:c r="B91" s="532"/>
      <x:c r="C91" s="532"/>
      <x:c r="D91" s="532"/>
      <x:c r="E91" s="532"/>
    </x:row>
    <x:row r="92">
      <x:c r="A92" s="532"/>
      <x:c r="B92" s="532"/>
      <x:c r="C92" s="532"/>
      <x:c r="D92" s="532"/>
      <x:c r="E92" s="532"/>
    </x:row>
    <x:row r="93">
      <x:c r="A93" s="532"/>
      <x:c r="B93" s="532"/>
      <x:c r="C93" s="532"/>
      <x:c r="D93" s="532"/>
      <x:c r="E93" s="532"/>
    </x:row>
    <x:row r="94">
      <x:c r="A94" s="532"/>
      <x:c r="B94" s="532"/>
      <x:c r="C94" s="532"/>
      <x:c r="D94" s="532"/>
      <x:c r="E94" s="532"/>
    </x:row>
    <x:row r="95">
      <x:c r="A95" s="532"/>
      <x:c r="B95" s="532"/>
      <x:c r="C95" s="532"/>
      <x:c r="D95" s="532"/>
      <x:c r="E95" s="532"/>
    </x:row>
    <x:row r="96">
      <x:c r="A96" s="532"/>
      <x:c r="B96" s="532"/>
      <x:c r="C96" s="532"/>
      <x:c r="D96" s="532"/>
      <x:c r="E96" s="532"/>
    </x:row>
    <x:row r="97">
      <x:c r="A97" s="532"/>
      <x:c r="B97" s="532"/>
      <x:c r="C97" s="532"/>
      <x:c r="D97" s="532"/>
      <x:c r="E97" s="532"/>
    </x:row>
    <x:row r="98">
      <x:c r="A98" s="532"/>
      <x:c r="B98" s="532"/>
      <x:c r="C98" s="532"/>
      <x:c r="D98" s="532"/>
      <x:c r="E98" s="532"/>
    </x:row>
    <x:row r="99">
      <x:c r="A99" s="532"/>
      <x:c r="B99" s="532"/>
      <x:c r="C99" s="532"/>
      <x:c r="D99" s="532"/>
      <x:c r="E99" s="532"/>
    </x:row>
    <x:row r="100">
      <x:c r="A100" s="532"/>
      <x:c r="B100" s="532"/>
      <x:c r="C100" s="532"/>
      <x:c r="D100" s="532"/>
      <x:c r="E100" s="532"/>
    </x:row>
    <x:row r="101">
      <x:c r="A101" s="532"/>
      <x:c r="B101" s="532"/>
      <x:c r="C101" s="532"/>
      <x:c r="D101" s="532"/>
      <x:c r="E101" s="532"/>
    </x:row>
    <x:row r="102">
      <x:c r="A102" s="532"/>
      <x:c r="B102" s="532"/>
      <x:c r="C102" s="532"/>
      <x:c r="D102" s="532"/>
      <x:c r="E102" s="532"/>
    </x:row>
    <x:row r="103">
      <x:c r="A103" s="532"/>
      <x:c r="B103" s="532"/>
      <x:c r="C103" s="532"/>
      <x:c r="D103" s="532"/>
      <x:c r="E103" s="532"/>
    </x:row>
    <x:row r="104">
      <x:c r="A104" s="532"/>
      <x:c r="B104" s="532"/>
      <x:c r="C104" s="532"/>
      <x:c r="D104" s="532"/>
      <x:c r="E104" s="532"/>
    </x:row>
    <x:row r="105">
      <x:c r="A105" s="532"/>
      <x:c r="B105" s="532"/>
      <x:c r="C105" s="532"/>
      <x:c r="D105" s="532"/>
      <x:c r="E105" s="532"/>
    </x:row>
    <x:row r="106">
      <x:c r="A106" s="532"/>
      <x:c r="B106" s="532"/>
      <x:c r="C106" s="532"/>
      <x:c r="D106" s="532"/>
      <x:c r="E106" s="532"/>
    </x:row>
    <x:row r="107">
      <x:c r="A107" s="532"/>
      <x:c r="B107" s="532"/>
      <x:c r="C107" s="532"/>
      <x:c r="D107" s="532"/>
      <x:c r="E107" s="532"/>
    </x:row>
    <x:row r="108">
      <x:c r="A108" s="532"/>
      <x:c r="B108" s="532"/>
      <x:c r="C108" s="532"/>
      <x:c r="D108" s="532"/>
      <x:c r="E108" s="532"/>
    </x:row>
    <x:row r="109">
      <x:c r="A109" s="532"/>
      <x:c r="B109" s="532"/>
      <x:c r="C109" s="532"/>
      <x:c r="D109" s="532"/>
      <x:c r="E109" s="532"/>
    </x:row>
    <x:row r="110">
      <x:c r="A110" s="532"/>
      <x:c r="B110" s="532"/>
      <x:c r="C110" s="532"/>
      <x:c r="D110" s="532"/>
      <x:c r="E110" s="532"/>
    </x:row>
    <x:row r="111">
      <x:c r="A111" s="532"/>
      <x:c r="B111" s="532"/>
      <x:c r="C111" s="532"/>
      <x:c r="D111" s="532"/>
      <x:c r="E111" s="532"/>
    </x:row>
    <x:row r="112">
      <x:c r="A112" s="532"/>
      <x:c r="B112" s="532"/>
      <x:c r="C112" s="532"/>
      <x:c r="D112" s="532"/>
      <x:c r="E112" s="532"/>
    </x:row>
    <x:row r="113">
      <x:c r="A113" s="532"/>
      <x:c r="B113" s="532"/>
      <x:c r="C113" s="532"/>
      <x:c r="D113" s="532"/>
      <x:c r="E113" s="532"/>
    </x:row>
    <x:row r="114">
      <x:c r="A114" s="532"/>
      <x:c r="B114" s="532"/>
      <x:c r="C114" s="532"/>
      <x:c r="D114" s="532"/>
      <x:c r="E114" s="532"/>
    </x:row>
    <x:row r="115">
      <x:c r="A115" s="532"/>
      <x:c r="B115" s="532"/>
      <x:c r="C115" s="532"/>
      <x:c r="D115" s="532"/>
      <x:c r="E115" s="532"/>
    </x:row>
    <x:row r="116">
      <x:c r="A116" s="532"/>
      <x:c r="B116" s="532"/>
      <x:c r="C116" s="532"/>
      <x:c r="D116" s="532"/>
      <x:c r="E116" s="532"/>
    </x:row>
    <x:row r="117">
      <x:c r="A117" s="532"/>
      <x:c r="B117" s="532"/>
      <x:c r="C117" s="532"/>
      <x:c r="D117" s="532"/>
      <x:c r="E117" s="532"/>
    </x:row>
    <x:row r="118">
      <x:c r="A118" s="532"/>
      <x:c r="B118" s="532"/>
      <x:c r="C118" s="532"/>
      <x:c r="D118" s="532"/>
      <x:c r="E118" s="532"/>
    </x:row>
    <x:row r="119">
      <x:c r="A119" s="532"/>
      <x:c r="B119" s="532"/>
      <x:c r="C119" s="532"/>
      <x:c r="D119" s="532"/>
      <x:c r="E119" s="532"/>
    </x:row>
    <x:row r="120">
      <x:c r="A120" s="532"/>
      <x:c r="B120" s="532"/>
      <x:c r="C120" s="532"/>
      <x:c r="D120" s="532"/>
      <x:c r="E120" s="532"/>
    </x:row>
    <x:row r="121">
      <x:c r="A121" s="532"/>
      <x:c r="B121" s="532"/>
      <x:c r="C121" s="532"/>
      <x:c r="D121" s="532"/>
      <x:c r="E121" s="532"/>
    </x:row>
    <x:row r="122">
      <x:c r="A122" s="532"/>
      <x:c r="B122" s="532"/>
      <x:c r="C122" s="532"/>
      <x:c r="D122" s="532"/>
      <x:c r="E122" s="532"/>
    </x:row>
    <x:row r="123">
      <x:c r="A123" s="532"/>
      <x:c r="B123" s="532"/>
      <x:c r="C123" s="532"/>
      <x:c r="D123" s="532"/>
      <x:c r="E123" s="532"/>
    </x:row>
    <x:row r="124">
      <x:c r="A124" s="532"/>
      <x:c r="B124" s="532"/>
      <x:c r="C124" s="532"/>
      <x:c r="D124" s="532"/>
      <x:c r="E124" s="532"/>
    </x:row>
    <x:row r="125">
      <x:c r="A125" s="532"/>
      <x:c r="B125" s="532"/>
      <x:c r="C125" s="532"/>
      <x:c r="D125" s="532"/>
      <x:c r="E125" s="532"/>
    </x:row>
    <x:row r="126">
      <x:c r="A126" s="532"/>
      <x:c r="B126" s="532"/>
      <x:c r="C126" s="532"/>
      <x:c r="D126" s="532"/>
      <x:c r="E126" s="532"/>
    </x:row>
    <x:row r="127">
      <x:c r="A127" s="532"/>
      <x:c r="B127" s="532"/>
      <x:c r="C127" s="532"/>
      <x:c r="D127" s="532"/>
      <x:c r="E127" s="532"/>
    </x:row>
    <x:row r="128">
      <x:c r="A128" s="532"/>
      <x:c r="B128" s="532"/>
      <x:c r="C128" s="532"/>
      <x:c r="D128" s="532"/>
      <x:c r="E128" s="532"/>
    </x:row>
    <x:row r="129">
      <x:c r="A129" s="532"/>
      <x:c r="B129" s="532"/>
      <x:c r="C129" s="532"/>
      <x:c r="D129" s="532"/>
      <x:c r="E129" s="532"/>
    </x:row>
    <x:row r="130">
      <x:c r="A130" s="532"/>
      <x:c r="B130" s="532"/>
      <x:c r="C130" s="532"/>
      <x:c r="D130" s="532"/>
      <x:c r="E130" s="532"/>
    </x:row>
    <x:row r="131">
      <x:c r="A131" s="532"/>
      <x:c r="B131" s="532"/>
      <x:c r="C131" s="532"/>
      <x:c r="D131" s="532"/>
      <x:c r="E131" s="532"/>
    </x:row>
    <x:row r="132">
      <x:c r="A132" s="532"/>
      <x:c r="B132" s="532"/>
      <x:c r="C132" s="532"/>
      <x:c r="D132" s="532"/>
      <x:c r="E132" s="532"/>
    </x:row>
    <x:row r="133">
      <x:c r="A133" s="532"/>
      <x:c r="B133" s="532"/>
      <x:c r="C133" s="532"/>
      <x:c r="D133" s="532"/>
      <x:c r="E133" s="532"/>
    </x:row>
    <x:row r="134">
      <x:c r="A134" s="532"/>
      <x:c r="B134" s="532"/>
      <x:c r="C134" s="532"/>
      <x:c r="D134" s="532"/>
      <x:c r="E134" s="532"/>
    </x:row>
    <x:row r="135">
      <x:c r="A135" s="532"/>
      <x:c r="B135" s="532"/>
      <x:c r="C135" s="532"/>
      <x:c r="D135" s="532"/>
      <x:c r="E135" s="532"/>
    </x:row>
    <x:row r="136">
      <x:c r="A136" s="532"/>
      <x:c r="B136" s="532"/>
      <x:c r="C136" s="532"/>
      <x:c r="D136" s="532"/>
      <x:c r="E136" s="532"/>
    </x:row>
    <x:row r="137">
      <x:c r="A137" s="532"/>
      <x:c r="B137" s="532"/>
      <x:c r="C137" s="532"/>
      <x:c r="D137" s="532"/>
      <x:c r="E137" s="532"/>
    </x:row>
    <x:row r="138">
      <x:c r="A138" s="532"/>
      <x:c r="B138" s="532"/>
      <x:c r="C138" s="532"/>
      <x:c r="D138" s="532"/>
      <x:c r="E138" s="532"/>
    </x:row>
    <x:row r="139">
      <x:c r="A139" s="532"/>
      <x:c r="B139" s="532"/>
      <x:c r="C139" s="532"/>
      <x:c r="D139" s="532"/>
      <x:c r="E139" s="532"/>
    </x:row>
    <x:row r="140">
      <x:c r="A140" s="532"/>
      <x:c r="B140" s="532"/>
      <x:c r="C140" s="532"/>
      <x:c r="D140" s="532"/>
      <x:c r="E140" s="532"/>
    </x:row>
    <x:row r="141">
      <x:c r="A141" s="532"/>
      <x:c r="B141" s="532"/>
      <x:c r="C141" s="532"/>
      <x:c r="D141" s="532"/>
      <x:c r="E141" s="532"/>
    </x:row>
    <x:row r="142">
      <x:c r="A142" s="532"/>
      <x:c r="B142" s="532"/>
      <x:c r="C142" s="532"/>
      <x:c r="D142" s="532"/>
      <x:c r="E142" s="532"/>
    </x:row>
    <x:row r="143">
      <x:c r="A143" s="532"/>
      <x:c r="B143" s="532"/>
      <x:c r="C143" s="532"/>
      <x:c r="D143" s="532"/>
      <x:c r="E143" s="532"/>
    </x:row>
    <x:row r="144">
      <x:c r="A144" s="532"/>
      <x:c r="B144" s="532"/>
      <x:c r="C144" s="532"/>
      <x:c r="D144" s="532"/>
      <x:c r="E144" s="532"/>
    </x:row>
    <x:row r="145">
      <x:c r="A145" s="532"/>
      <x:c r="B145" s="532"/>
      <x:c r="C145" s="532"/>
      <x:c r="D145" s="532"/>
      <x:c r="E145" s="532"/>
    </x:row>
    <x:row r="146">
      <x:c r="A146" s="532"/>
      <x:c r="B146" s="532"/>
      <x:c r="C146" s="532"/>
      <x:c r="D146" s="532"/>
      <x:c r="E146" s="532"/>
    </x:row>
    <x:row r="147">
      <x:c r="A147" s="532"/>
      <x:c r="B147" s="532"/>
      <x:c r="C147" s="532"/>
      <x:c r="D147" s="532"/>
      <x:c r="E147" s="532"/>
    </x:row>
    <x:row r="148">
      <x:c r="A148" s="532"/>
      <x:c r="B148" s="532"/>
      <x:c r="C148" s="532"/>
      <x:c r="D148" s="532"/>
      <x:c r="E148" s="532"/>
    </x:row>
    <x:row r="149">
      <x:c r="A149" s="532"/>
      <x:c r="B149" s="532"/>
      <x:c r="C149" s="532"/>
      <x:c r="D149" s="532"/>
      <x:c r="E149" s="532"/>
    </x:row>
    <x:row r="150">
      <x:c r="A150" s="532"/>
      <x:c r="B150" s="532"/>
      <x:c r="C150" s="532"/>
      <x:c r="D150" s="532"/>
      <x:c r="E150" s="532"/>
    </x:row>
    <x:row r="151">
      <x:c r="A151" s="532"/>
      <x:c r="B151" s="532"/>
      <x:c r="C151" s="532"/>
      <x:c r="D151" s="532"/>
      <x:c r="E151" s="532"/>
    </x:row>
    <x:row r="152">
      <x:c r="A152" s="532"/>
      <x:c r="B152" s="532"/>
      <x:c r="C152" s="532"/>
      <x:c r="D152" s="532"/>
      <x:c r="E152" s="532"/>
    </x:row>
    <x:row r="153">
      <x:c r="A153" s="532"/>
      <x:c r="B153" s="532"/>
      <x:c r="C153" s="532"/>
      <x:c r="D153" s="532"/>
      <x:c r="E153" s="532"/>
    </x:row>
    <x:row r="154">
      <x:c r="A154" s="532"/>
      <x:c r="B154" s="532"/>
      <x:c r="C154" s="532"/>
      <x:c r="D154" s="532"/>
      <x:c r="E154" s="532"/>
    </x:row>
    <x:row r="155">
      <x:c r="A155" s="532"/>
      <x:c r="B155" s="532"/>
      <x:c r="C155" s="532"/>
      <x:c r="D155" s="532"/>
      <x:c r="E155" s="532"/>
    </x:row>
    <x:row r="156">
      <x:c r="A156" s="532"/>
      <x:c r="B156" s="532"/>
      <x:c r="C156" s="532"/>
      <x:c r="D156" s="532"/>
      <x:c r="E156" s="532"/>
    </x:row>
    <x:row r="157">
      <x:c r="A157" s="532"/>
      <x:c r="B157" s="532"/>
      <x:c r="C157" s="532"/>
      <x:c r="D157" s="532"/>
      <x:c r="E157" s="532"/>
    </x:row>
    <x:row r="158">
      <x:c r="A158" s="532"/>
      <x:c r="B158" s="532"/>
      <x:c r="C158" s="532"/>
      <x:c r="D158" s="532"/>
      <x:c r="E158" s="532"/>
    </x:row>
    <x:row r="159">
      <x:c r="A159" s="532"/>
      <x:c r="B159" s="532"/>
      <x:c r="C159" s="532"/>
      <x:c r="D159" s="532"/>
      <x:c r="E159" s="532"/>
    </x:row>
    <x:row r="160">
      <x:c r="A160" s="532"/>
      <x:c r="B160" s="532"/>
      <x:c r="C160" s="532"/>
      <x:c r="D160" s="532"/>
      <x:c r="E160" s="532"/>
    </x:row>
    <x:row r="161">
      <x:c r="A161" s="532"/>
      <x:c r="B161" s="532"/>
      <x:c r="C161" s="532"/>
      <x:c r="D161" s="532"/>
      <x:c r="E161" s="532"/>
    </x:row>
    <x:row r="162">
      <x:c r="A162" s="532"/>
      <x:c r="B162" s="532"/>
      <x:c r="C162" s="532"/>
      <x:c r="D162" s="532"/>
      <x:c r="E162" s="532"/>
    </x:row>
    <x:row r="163">
      <x:c r="A163" s="532"/>
      <x:c r="B163" s="532"/>
      <x:c r="C163" s="532"/>
      <x:c r="D163" s="532"/>
      <x:c r="E163" s="532"/>
    </x:row>
    <x:row r="164">
      <x:c r="A164" s="532"/>
      <x:c r="B164" s="532"/>
      <x:c r="C164" s="532"/>
      <x:c r="D164" s="532"/>
      <x:c r="E164" s="532"/>
    </x:row>
    <x:row r="165">
      <x:c r="A165" s="532"/>
      <x:c r="B165" s="532"/>
      <x:c r="C165" s="532"/>
      <x:c r="D165" s="532"/>
      <x:c r="E165" s="532"/>
    </x:row>
    <x:row r="166">
      <x:c r="A166" s="532"/>
      <x:c r="B166" s="532"/>
      <x:c r="C166" s="532"/>
      <x:c r="D166" s="532"/>
      <x:c r="E166" s="532"/>
    </x:row>
    <x:row r="167">
      <x:c r="A167" s="532"/>
      <x:c r="B167" s="532"/>
      <x:c r="C167" s="532"/>
      <x:c r="D167" s="532"/>
      <x:c r="E167" s="532"/>
    </x:row>
    <x:row r="168">
      <x:c r="A168" s="532"/>
      <x:c r="B168" s="532"/>
      <x:c r="C168" s="532"/>
      <x:c r="D168" s="532"/>
      <x:c r="E168" s="532"/>
    </x:row>
    <x:row r="169">
      <x:c r="A169" s="532"/>
      <x:c r="B169" s="532"/>
      <x:c r="C169" s="532"/>
      <x:c r="D169" s="532"/>
      <x:c r="E169" s="532"/>
    </x:row>
    <x:row r="170">
      <x:c r="A170" s="532"/>
      <x:c r="B170" s="532"/>
      <x:c r="C170" s="532"/>
      <x:c r="D170" s="532"/>
      <x:c r="E170" s="532"/>
    </x:row>
    <x:row r="171">
      <x:c r="A171" s="532"/>
      <x:c r="B171" s="532"/>
      <x:c r="C171" s="532"/>
      <x:c r="D171" s="532"/>
      <x:c r="E171" s="532"/>
    </x:row>
    <x:row r="172">
      <x:c r="A172" s="532"/>
      <x:c r="B172" s="532"/>
      <x:c r="C172" s="532"/>
      <x:c r="D172" s="532"/>
      <x:c r="E172" s="532"/>
    </x:row>
    <x:row r="173">
      <x:c r="A173" s="532"/>
      <x:c r="B173" s="532"/>
      <x:c r="C173" s="532"/>
      <x:c r="D173" s="532"/>
      <x:c r="E173" s="532"/>
    </x:row>
    <x:row r="174">
      <x:c r="A174" s="532"/>
      <x:c r="B174" s="532"/>
      <x:c r="C174" s="532"/>
      <x:c r="D174" s="532"/>
      <x:c r="E174" s="532"/>
    </x:row>
    <x:row r="175">
      <x:c r="A175" s="532"/>
      <x:c r="B175" s="532"/>
      <x:c r="C175" s="532"/>
      <x:c r="D175" s="532"/>
      <x:c r="E175" s="532"/>
    </x:row>
    <x:row r="176">
      <x:c r="A176" s="532"/>
      <x:c r="B176" s="532"/>
      <x:c r="C176" s="532"/>
      <x:c r="D176" s="532"/>
      <x:c r="E176" s="532"/>
    </x:row>
    <x:row r="177">
      <x:c r="A177" s="532"/>
      <x:c r="B177" s="532"/>
      <x:c r="C177" s="532"/>
      <x:c r="D177" s="532"/>
      <x:c r="E177" s="532"/>
    </x:row>
    <x:row r="178">
      <x:c r="A178" s="532"/>
      <x:c r="B178" s="532"/>
      <x:c r="C178" s="532"/>
      <x:c r="D178" s="532"/>
      <x:c r="E178" s="532"/>
    </x:row>
    <x:row r="179">
      <x:c r="A179" s="532"/>
      <x:c r="B179" s="532"/>
      <x:c r="C179" s="532"/>
      <x:c r="D179" s="532"/>
      <x:c r="E179" s="532"/>
    </x:row>
    <x:row r="180">
      <x:c r="A180" s="532"/>
      <x:c r="B180" s="532"/>
      <x:c r="C180" s="532"/>
      <x:c r="D180" s="532"/>
      <x:c r="E180" s="532"/>
    </x:row>
    <x:row r="181">
      <x:c r="A181" s="532"/>
      <x:c r="B181" s="532"/>
      <x:c r="C181" s="532"/>
      <x:c r="D181" s="532"/>
      <x:c r="E181" s="532"/>
    </x:row>
    <x:row r="182">
      <x:c r="A182" s="532"/>
      <x:c r="B182" s="532"/>
      <x:c r="C182" s="532"/>
      <x:c r="D182" s="532"/>
      <x:c r="E182" s="532"/>
    </x:row>
    <x:row r="183">
      <x:c r="A183" s="532"/>
      <x:c r="B183" s="532"/>
      <x:c r="C183" s="532"/>
      <x:c r="D183" s="532"/>
      <x:c r="E183" s="532"/>
    </x:row>
    <x:row r="184">
      <x:c r="A184" s="532"/>
      <x:c r="B184" s="532"/>
      <x:c r="C184" s="532"/>
      <x:c r="D184" s="532"/>
      <x:c r="E184" s="532"/>
    </x:row>
    <x:row r="185">
      <x:c r="A185" s="532"/>
      <x:c r="B185" s="532"/>
      <x:c r="C185" s="532"/>
      <x:c r="D185" s="532"/>
      <x:c r="E185" s="532"/>
    </x:row>
    <x:row r="186">
      <x:c r="A186" s="532"/>
      <x:c r="B186" s="532"/>
      <x:c r="C186" s="532"/>
      <x:c r="D186" s="532"/>
      <x:c r="E186" s="532"/>
    </x:row>
    <x:row r="187">
      <x:c r="A187" s="532"/>
      <x:c r="B187" s="532"/>
      <x:c r="C187" s="532"/>
      <x:c r="D187" s="532"/>
      <x:c r="E187" s="532"/>
    </x:row>
    <x:row r="188">
      <x:c r="A188" s="532"/>
      <x:c r="B188" s="532"/>
      <x:c r="C188" s="532"/>
      <x:c r="D188" s="532"/>
      <x:c r="E188" s="532"/>
    </x:row>
    <x:row r="189">
      <x:c r="A189" s="532"/>
      <x:c r="B189" s="532"/>
      <x:c r="C189" s="532"/>
      <x:c r="D189" s="532"/>
      <x:c r="E189" s="532"/>
    </x:row>
    <x:row r="190">
      <x:c r="A190" s="532"/>
      <x:c r="B190" s="532"/>
      <x:c r="C190" s="532"/>
      <x:c r="D190" s="532"/>
      <x:c r="E190" s="532"/>
    </x:row>
    <x:row r="191">
      <x:c r="A191" s="532"/>
      <x:c r="B191" s="532"/>
      <x:c r="C191" s="532"/>
      <x:c r="D191" s="532"/>
      <x:c r="E191" s="532"/>
    </x:row>
    <x:row r="192">
      <x:c r="A192" s="532"/>
      <x:c r="B192" s="532"/>
      <x:c r="C192" s="532"/>
      <x:c r="D192" s="532"/>
      <x:c r="E192" s="532"/>
    </x:row>
    <x:row r="193">
      <x:c r="A193" s="532"/>
      <x:c r="B193" s="532"/>
      <x:c r="C193" s="532"/>
      <x:c r="D193" s="532"/>
      <x:c r="E193" s="532"/>
    </x:row>
    <x:row r="194">
      <x:c r="A194" s="532"/>
      <x:c r="B194" s="532"/>
      <x:c r="C194" s="532"/>
      <x:c r="D194" s="532"/>
      <x:c r="E194" s="532"/>
    </x:row>
    <x:row r="195">
      <x:c r="A195" s="532"/>
      <x:c r="B195" s="532"/>
      <x:c r="C195" s="532"/>
      <x:c r="D195" s="532"/>
      <x:c r="E195" s="532"/>
    </x:row>
    <x:row r="196">
      <x:c r="A196" s="532"/>
      <x:c r="B196" s="532"/>
      <x:c r="C196" s="532"/>
      <x:c r="D196" s="532"/>
      <x:c r="E196" s="532"/>
    </x:row>
    <x:row r="197">
      <x:c r="A197" s="532"/>
      <x:c r="B197" s="532"/>
      <x:c r="C197" s="532"/>
      <x:c r="D197" s="532"/>
      <x:c r="E197" s="532"/>
    </x:row>
    <x:row r="198">
      <x:c r="A198" s="532"/>
      <x:c r="B198" s="532"/>
      <x:c r="C198" s="532"/>
      <x:c r="D198" s="532"/>
      <x:c r="E198" s="532"/>
    </x:row>
    <x:row r="199">
      <x:c r="A199" s="532"/>
      <x:c r="B199" s="532"/>
      <x:c r="C199" s="532"/>
      <x:c r="D199" s="532"/>
      <x:c r="E199" s="532"/>
    </x:row>
    <x:row r="200">
      <x:c r="A200" s="532"/>
      <x:c r="B200" s="532"/>
      <x:c r="C200" s="532"/>
      <x:c r="D200" s="532"/>
      <x:c r="E200" s="532"/>
    </x:row>
    <x:row r="201">
      <x:c r="A201" s="532"/>
      <x:c r="B201" s="532"/>
      <x:c r="C201" s="532"/>
      <x:c r="D201" s="532"/>
      <x:c r="E201" s="532"/>
    </x:row>
    <x:row r="202">
      <x:c r="A202" s="532"/>
      <x:c r="B202" s="532"/>
      <x:c r="C202" s="532"/>
      <x:c r="D202" s="532"/>
      <x:c r="E202" s="532"/>
    </x:row>
    <x:row r="203">
      <x:c r="A203" s="532"/>
      <x:c r="B203" s="532"/>
      <x:c r="C203" s="532"/>
      <x:c r="D203" s="532"/>
      <x:c r="E203" s="532"/>
    </x:row>
    <x:row r="204">
      <x:c r="A204" s="532"/>
      <x:c r="B204" s="532"/>
      <x:c r="C204" s="532"/>
      <x:c r="D204" s="532"/>
      <x:c r="E204" s="532"/>
    </x:row>
    <x:row r="205">
      <x:c r="A205" s="532"/>
      <x:c r="B205" s="532"/>
      <x:c r="C205" s="532"/>
      <x:c r="D205" s="532"/>
      <x:c r="E205" s="532"/>
    </x:row>
    <x:row r="206">
      <x:c r="A206" s="532"/>
      <x:c r="B206" s="532"/>
      <x:c r="C206" s="532"/>
      <x:c r="D206" s="532"/>
      <x:c r="E206" s="532"/>
    </x:row>
    <x:row r="207">
      <x:c r="A207" s="532"/>
      <x:c r="B207" s="532"/>
      <x:c r="C207" s="532"/>
      <x:c r="D207" s="532"/>
      <x:c r="E207" s="532"/>
    </x:row>
    <x:row r="208">
      <x:c r="A208" s="532"/>
      <x:c r="B208" s="532"/>
      <x:c r="C208" s="532"/>
      <x:c r="D208" s="532"/>
      <x:c r="E208" s="532"/>
    </x:row>
    <x:row r="209">
      <x:c r="A209" s="532"/>
      <x:c r="B209" s="532"/>
      <x:c r="C209" s="532"/>
      <x:c r="D209" s="532"/>
      <x:c r="E209" s="532"/>
    </x:row>
    <x:row r="210">
      <x:c r="A210" s="532"/>
      <x:c r="B210" s="532"/>
      <x:c r="C210" s="532"/>
      <x:c r="D210" s="532"/>
      <x:c r="E210" s="532"/>
    </x:row>
    <x:row r="211">
      <x:c r="A211" s="532"/>
      <x:c r="B211" s="532"/>
      <x:c r="C211" s="532"/>
      <x:c r="D211" s="532"/>
      <x:c r="E211" s="532"/>
    </x:row>
    <x:row r="212">
      <x:c r="A212" s="532"/>
      <x:c r="B212" s="532"/>
      <x:c r="C212" s="532"/>
      <x:c r="D212" s="532"/>
      <x:c r="E212" s="532"/>
    </x:row>
    <x:row r="213">
      <x:c r="A213" s="532"/>
      <x:c r="B213" s="532"/>
      <x:c r="C213" s="532"/>
      <x:c r="D213" s="532"/>
      <x:c r="E213" s="532"/>
    </x:row>
    <x:row r="214">
      <x:c r="A214" s="532"/>
      <x:c r="B214" s="532"/>
      <x:c r="C214" s="532"/>
      <x:c r="D214" s="532"/>
      <x:c r="E214" s="532"/>
    </x:row>
    <x:row r="215">
      <x:c r="A215" s="532"/>
      <x:c r="B215" s="532"/>
      <x:c r="C215" s="532"/>
      <x:c r="D215" s="532"/>
      <x:c r="E215" s="532"/>
    </x:row>
    <x:row r="216">
      <x:c r="A216" s="532"/>
      <x:c r="B216" s="532"/>
      <x:c r="C216" s="532"/>
      <x:c r="D216" s="532"/>
      <x:c r="E216" s="532"/>
    </x:row>
    <x:row r="217">
      <x:c r="A217" s="532"/>
      <x:c r="B217" s="532"/>
      <x:c r="C217" s="532"/>
      <x:c r="D217" s="532"/>
      <x:c r="E217" s="532"/>
    </x:row>
    <x:row r="218">
      <x:c r="A218" s="532"/>
      <x:c r="B218" s="532"/>
      <x:c r="C218" s="532"/>
      <x:c r="D218" s="532"/>
      <x:c r="E218" s="532"/>
    </x:row>
    <x:row r="219">
      <x:c r="A219" s="532"/>
      <x:c r="B219" s="532"/>
      <x:c r="C219" s="532"/>
      <x:c r="D219" s="532"/>
      <x:c r="E219" s="532"/>
    </x:row>
    <x:row r="220">
      <x:c r="A220" s="532"/>
      <x:c r="B220" s="532"/>
      <x:c r="C220" s="532"/>
      <x:c r="D220" s="532"/>
      <x:c r="E220" s="532"/>
    </x:row>
  </x:sheetData>
  <x:mergeCells>
    <x:mergeCell ref="A3:E3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16" hidden="0" customWidth="1"/>
    <x:col min="5" max="5" width="12" hidden="0" customWidth="1"/>
  </x:cols>
  <x:sheetData>
    <x:row r="1">
      <x:c r="A1" s="547" t="str">
        <x:v>✅ START HERE — Travel OS 1.0 RC4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This is the current checklist. Start here and fill critical content first.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Step</x:v>
      </x:c>
      <x:c r="B5" s="551" t="str">
        <x:v>Action</x:v>
      </x:c>
      <x:c r="C5" s="551" t="str">
        <x:v>Where</x:v>
      </x:c>
      <x:c r="D5" s="551" t="str">
        <x:v>Priority</x:v>
      </x:c>
      <x:c r="E5" s="551" t="str">
        <x:v>Done?</x:v>
      </x:c>
    </x:row>
    <x:row r="6">
      <x:c r="A6" s="552" t="str">
        <x:v>1</x:v>
      </x:c>
      <x:c r="B6" s="552" t="str">
        <x:v>Import this workbook into Google Sheets and make it the active source.</x:v>
      </x:c>
      <x:c r="C6" s="552" t="str">
        <x:v>Google Sheets</x:v>
      </x:c>
      <x:c r="D6" s="552" t="str">
        <x:v>Critical</x:v>
      </x:c>
      <x:c r="E6" s="552" t="str">
        <x:v>No</x:v>
      </x:c>
    </x:row>
    <x:row r="7">
      <x:c r="A7" s="552" t="str">
        <x:v>2</x:v>
      </x:c>
      <x:c r="B7" s="552" t="str">
        <x:v>Open Apps Script and confirm it points to this spreadsheet if the spreadsheet ID changed.</x:v>
      </x:c>
      <x:c r="C7" s="552" t="str">
        <x:v>Apps Script</x:v>
      </x:c>
      <x:c r="D7" s="552" t="str">
        <x:v>Critical</x:v>
      </x:c>
      <x:c r="E7" s="552" t="str">
        <x:v>No</x:v>
      </x:c>
    </x:row>
    <x:row r="8">
      <x:c r="A8" s="552" t="str">
        <x:v>3</x:v>
      </x:c>
      <x:c r="B8" s="552" t="str">
        <x:v>Deploy the RC2.1 app package to GitHub/Cloudflare.</x:v>
      </x:c>
      <x:c r="C8" s="552" t="str">
        <x:v>GitHub / Cloudflare</x:v>
      </x:c>
      <x:c r="D8" s="552" t="str">
        <x:v>Critical</x:v>
      </x:c>
      <x:c r="E8" s="552" t="str">
        <x:v>No</x:v>
      </x:c>
    </x:row>
    <x:row r="9">
      <x:c r="A9" s="552" t="str">
        <x:v>4</x:v>
      </x:c>
      <x:c r="B9" s="552" t="str">
        <x:v>Test `/api?action=core` after Cloudflare deploy.</x:v>
      </x:c>
      <x:c r="C9" s="552" t="str">
        <x:v>Cloudflare</x:v>
      </x:c>
      <x:c r="D9" s="552" t="str">
        <x:v>Critical</x:v>
      </x:c>
      <x:c r="E9" s="552" t="str">
        <x:v>No</x:v>
      </x:c>
    </x:row>
    <x:row r="10">
      <x:c r="A10" s="552" t="str">
        <x:v>5</x:v>
      </x:c>
      <x:c r="B10" s="552" t="str">
        <x:v>Test `/fx` after Cloudflare deploy.</x:v>
      </x:c>
      <x:c r="C10" s="552" t="str">
        <x:v>Cloudflare</x:v>
      </x:c>
      <x:c r="D10" s="552" t="str">
        <x:v>High</x:v>
      </x:c>
      <x:c r="E10" s="552" t="str">
        <x:v>No</x:v>
      </x:c>
    </x:row>
    <x:row r="11">
      <x:c r="A11" s="552" t="str">
        <x:v>6</x:v>
      </x:c>
      <x:c r="B11" s="552" t="str">
        <x:v>Open the app with `?reset=1`.</x:v>
      </x:c>
      <x:c r="C11" s="552" t="str">
        <x:v>PWA</x:v>
      </x:c>
      <x:c r="D11" s="552" t="str">
        <x:v>Critical</x:v>
      </x:c>
      <x:c r="E11" s="552" t="str">
        <x:v>No</x:v>
      </x:c>
    </x:row>
    <x:row r="12">
      <x:c r="A12" s="552" t="str">
        <x:v>7</x:v>
      </x:c>
      <x:c r="B12" s="552" t="str">
        <x:v>Fill hotel addresses, phone numbers, nearest stations, and map links.</x:v>
      </x:c>
      <x:c r="C12" s="552" t="str">
        <x:v>Hotels / Maps</x:v>
      </x:c>
      <x:c r="D12" s="552" t="str">
        <x:v>Critical</x:v>
      </x:c>
      <x:c r="E12" s="552" t="str">
        <x:v>No</x:v>
      </x:c>
    </x:row>
    <x:row r="13">
      <x:c r="A13" s="552" t="str">
        <x:v>8</x:v>
      </x:c>
      <x:c r="B13" s="552" t="str">
        <x:v>Fill emergency, lost mode, and taxi/help card details.</x:v>
      </x:c>
      <x:c r="C13" s="552" t="str">
        <x:v>Emergency / Lost</x:v>
      </x:c>
      <x:c r="D13" s="552" t="str">
        <x:v>Critical</x:v>
      </x:c>
      <x:c r="E13" s="552" t="str">
        <x:v>No</x:v>
      </x:c>
    </x:row>
    <x:row r="14">
      <x:c r="A14" s="552" t="str">
        <x:v>9</x:v>
      </x:c>
      <x:c r="B14" s="552" t="str">
        <x:v>Confirm Apple Wallet Suica setup for each traveler.</x:v>
      </x:c>
      <x:c r="C14" s="552" t="str">
        <x:v>Apple Wallet Suica</x:v>
      </x:c>
      <x:c r="D14" s="552" t="str">
        <x:v>Critical</x:v>
      </x:c>
      <x:c r="E14" s="552" t="str">
        <x:v>No</x:v>
      </x:c>
    </x:row>
    <x:row r="15">
      <x:c r="A15" s="552" t="str">
        <x:v>10</x:v>
      </x:c>
      <x:c r="B15" s="552" t="str">
        <x:v>Fill restaurants and major map links.</x:v>
      </x:c>
      <x:c r="C15" s="552" t="str">
        <x:v>Restaurants / Maps</x:v>
      </x:c>
      <x:c r="D15" s="552" t="str">
        <x:v>High</x:v>
      </x:c>
      <x:c r="E15" s="552" t="str">
        <x:v>No</x:v>
      </x:c>
    </x:row>
    <x:row r="16">
      <x:c r="A16" s="552" t="str">
        <x:v>11</x:v>
      </x:c>
      <x:c r="B16" s="552" t="str">
        <x:v>Install/test on each iPhone, including Airplane Mode.</x:v>
      </x:c>
      <x:c r="C16" s="552" t="str">
        <x:v>Family iPhones</x:v>
      </x:c>
      <x:c r="D16" s="552" t="str">
        <x:v>Critical</x:v>
      </x:c>
      <x:c r="E16" s="552" t="str">
        <x:v>No</x:v>
      </x:c>
    </x:row>
    <x:row r="17">
      <x:c r="A17" s="552" t="str">
        <x:v>12</x:v>
      </x:c>
      <x:c r="B17" s="552" t="str">
        <x:v>Freeze new features once family testing starts; content and bug fixes only.</x:v>
      </x:c>
      <x:c r="C17" s="552" t="str">
        <x:v>Release Process</x:v>
      </x:c>
      <x:c r="D17" s="552" t="str">
        <x:v>High</x:v>
      </x:c>
      <x:c r="E17" s="552" t="str">
        <x:v>No</x:v>
      </x:c>
    </x:row>
    <x:row r="18">
      <x:c r="A18" s="564" t="str">
        <x:v>13</x:v>
      </x:c>
      <x:c r="B18" s="564" t="str">
        <x:v>Fill GF restaurants, konbini items, and ryokan replies only after direct verification.</x:v>
      </x:c>
      <x:c r="C18" s="564" t="str">
        <x:v>Peace of Mind sheets</x:v>
      </x:c>
      <x:c r="D18" s="564" t="str">
        <x:v>High</x:v>
      </x:c>
      <x:c r="E18" s="564" t="str">
        <x:v>No</x:v>
      </x:c>
    </x:row>
    <x:row r="19">
      <x:c r="A19" s="564" t="str">
        <x:v>14</x:v>
      </x:c>
      <x:c r="B19" s="564" t="str">
        <x:v>Test the large-text gluten-free allergy card on the iPhone.</x:v>
      </x:c>
      <x:c r="C19" s="564" t="str">
        <x:v>Peace of Mind app page</x:v>
      </x:c>
      <x:c r="D19" s="564" t="str">
        <x:v>Critical</x:v>
      </x:c>
      <x:c r="E19" s="564" t="str">
        <x:v>No</x:v>
      </x:c>
    </x:row>
    <x:row r="20">
      <x:c r="A20" s="564" t="str">
        <x:v>15</x:v>
      </x:c>
      <x:c r="B20" s="564" t="str">
        <x:v>Complete the minimal health/comfort checklist before departure.</x:v>
      </x:c>
      <x:c r="C20" s="564" t="str">
        <x:v>Health Checklist</x:v>
      </x:c>
      <x:c r="D20" s="564" t="str">
        <x:v>High</x:v>
      </x:c>
      <x:c r="E20" s="564" t="str">
        <x:v>No</x:v>
      </x:c>
    </x:row>
    <x:row r="21">
      <x:c r="A21" s="576" t="str">
        <x:v>16</x:v>
      </x:c>
      <x:c r="B21" s="576" t="str">
        <x:v>Test the bottom bar: Home, Today, Hilda, Travelers, SOS, More.</x:v>
      </x:c>
      <x:c r="C21" s="576" t="str">
        <x:v>RC3 app</x:v>
      </x:c>
      <x:c r="D21" s="576" t="str">
        <x:v>Critical</x:v>
      </x:c>
      <x:c r="E21" s="576" t="str">
        <x:v>No</x:v>
      </x:c>
    </x:row>
    <x:row r="22">
      <x:c r="A22" s="576" t="str">
        <x:v>17</x:v>
      </x:c>
      <x:c r="B22" s="576" t="str">
        <x:v>Test left-edge swipe and More button to open the full menu.</x:v>
      </x:c>
      <x:c r="C22" s="576" t="str">
        <x:v>RC3 app</x:v>
      </x:c>
      <x:c r="D22" s="576" t="str">
        <x:v>High</x:v>
      </x:c>
      <x:c r="E22" s="576" t="str">
        <x:v>No</x:v>
      </x:c>
    </x:row>
    <x:row r="23">
      <x:c r="A23" s="576" t="str">
        <x:v>18</x:v>
      </x:c>
      <x:c r="B23" s="576" t="str">
        <x:v>Swipe through Travelers and Destinations.</x:v>
      </x:c>
      <x:c r="C23" s="576" t="str">
        <x:v>RC3 app</x:v>
      </x:c>
      <x:c r="D23" s="576" t="str">
        <x:v>High</x:v>
      </x:c>
      <x:c r="E23" s="576" t="str">
        <x:v>No</x:v>
      </x:c>
    </x:row>
    <x:row r="24">
      <x:c r="A24" s="576" t="str">
        <x:v>19</x:v>
      </x:c>
      <x:c r="B24" s="576" t="str">
        <x:v>Fill Osaka Guide, Osaka restaurants, Osaka maps, and Osaka hotel information.</x:v>
      </x:c>
      <x:c r="C24" s="576" t="str">
        <x:v>Osaka sheets</x:v>
      </x:c>
      <x:c r="D24" s="576" t="str">
        <x:v>High</x:v>
      </x:c>
      <x:c r="E24" s="576" t="str">
        <x:v>No</x:v>
      </x:c>
    </x:row>
    <x:row r="25">
      <x:c r="A25" s="588" t="str">
        <x:v>20</x:v>
      </x:c>
      <x:c r="B25" s="588" t="str">
        <x:v>Use 🗓 14-Day Route as the current route: Oct 27–Nov 9 in Japan.</x:v>
      </x:c>
      <x:c r="C25" s="588" t="str">
        <x:v>Route</x:v>
      </x:c>
      <x:c r="D25" s="588" t="str">
        <x:v>Critical</x:v>
      </x:c>
      <x:c r="E25" s="588" t="str">
        <x:v>No</x:v>
      </x:c>
    </x:row>
    <x:row r="26">
      <x:c r="A26" s="588" t="str">
        <x:v>21</x:v>
      </x:c>
      <x:c r="B26" s="588" t="str">
        <x:v>Test first-run onboarding on each iPhone.</x:v>
      </x:c>
      <x:c r="C26" s="588" t="str">
        <x:v>RC4 app</x:v>
      </x:c>
      <x:c r="D26" s="588" t="str">
        <x:v>High</x:v>
      </x:c>
      <x:c r="E26" s="588" t="str">
        <x:v>No</x:v>
      </x:c>
    </x:row>
    <x:row r="27">
      <x:c r="A27" s="588" t="str">
        <x:v>22</x:v>
      </x:c>
      <x:c r="B27" s="588" t="str">
        <x:v>Test larger text on Hilda’s phone.</x:v>
      </x:c>
      <x:c r="C27" s="588" t="str">
        <x:v>RC4 app</x:v>
      </x:c>
      <x:c r="D27" s="588" t="str">
        <x:v>Critical</x:v>
      </x:c>
      <x:c r="E27" s="588" t="str">
        <x:v>No</x:v>
      </x:c>
    </x:row>
    <x:row r="28">
      <x:c r="A28" s="588" t="str">
        <x:v>23</x:v>
      </x:c>
      <x:c r="B28" s="588" t="str">
        <x:v>Test Smart Mode at morning, afternoon, and evening times.</x:v>
      </x:c>
      <x:c r="C28" s="588" t="str">
        <x:v>RC4 app</x:v>
      </x:c>
      <x:c r="D28" s="588" t="str">
        <x:v>High</x:v>
      </x:c>
      <x:c r="E28" s="588" t="str">
        <x:v>No</x:v>
      </x:c>
    </x:row>
    <x:row r="29">
      <x:c r="A29" s="588" t="str">
        <x:v>24</x:v>
      </x:c>
      <x:c r="B29" s="588" t="str">
        <x:v>Test Photo Quest persistence after reopening the app.</x:v>
      </x:c>
      <x:c r="C29" s="588" t="str">
        <x:v>RC4 app</x:v>
      </x:c>
      <x:c r="D29" s="588" t="str">
        <x:v>Medium</x:v>
      </x:c>
      <x:c r="E29" s="588" t="str">
        <x:v>No</x:v>
      </x:c>
    </x:row>
    <x:row r="30">
      <x:c r="A30" s="588" t="str">
        <x:v>25</x:v>
      </x:c>
      <x:c r="B30" s="588" t="str">
        <x:v>Confirm seasonal event dates using official sources closer to travel.</x:v>
      </x:c>
      <x:c r="C30" s="588" t="str">
        <x:v>Seasonal Events</x:v>
      </x:c>
      <x:c r="D30" s="588" t="str">
        <x:v>Medium</x:v>
      </x:c>
      <x:c r="E30" s="588" t="str">
        <x:v>No</x:v>
      </x:c>
    </x:row>
    <x:row r="31">
      <x:c r="A31" s="588" t="str">
        <x:v>26</x:v>
      </x:c>
      <x:c r="B31" s="588" t="str">
        <x:v>Run the full 🧪 RC4 QA checklist.</x:v>
      </x:c>
      <x:c r="C31" s="588" t="str">
        <x:v>QA</x:v>
      </x:c>
      <x:c r="D31" s="588" t="str">
        <x:v>Critical</x:v>
      </x:c>
      <x:c r="E31" s="588" t="str">
        <x:v>No</x:v>
      </x:c>
    </x:row>
    <x:row r="32">
      <x:c r="A32" s="588" t="str">
        <x:v>27</x:v>
      </x:c>
      <x:c r="B32" s="588" t="str">
        <x:v>After RC4 passes, populate hotels, restaurants, maps, and reservations.</x:v>
      </x:c>
      <x:c r="C32" s="588" t="str">
        <x:v>Workbook content</x:v>
      </x:c>
      <x:c r="D32" s="588" t="str">
        <x:v>Critical</x:v>
      </x:c>
      <x:c r="E32" s="588" t="str">
        <x:v>No</x:v>
      </x:c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2">
    <x:dataValidation type="list" sqref="D6:D120">
      <x:formula1>"Critical,High,Medium,Low"</x:formula1>
    </x:dataValidation>
    <x:dataValidation type="list" sqref="E6:E120">
      <x:formula1>"No,In Progress,Yes"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18" hidden="0" customWidth="1"/>
    <x:col min="5" max="5" width="38" hidden="0" customWidth="1"/>
  </x:cols>
  <x:sheetData>
    <x:row r="1">
      <x:c r="A1" s="547" t="str">
        <x:v>🧪 RC2.1 QA Checklist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Use this after every deployment or major content update.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Test Area</x:v>
      </x:c>
      <x:c r="B5" s="551" t="str">
        <x:v>Test</x:v>
      </x:c>
      <x:c r="C5" s="551" t="str">
        <x:v>Pass Criteria</x:v>
      </x:c>
      <x:c r="D5" s="551" t="str">
        <x:v>Status</x:v>
      </x:c>
      <x:c r="E5" s="551" t="str">
        <x:v>Notes</x:v>
      </x:c>
    </x:row>
    <x:row r="6">
      <x:c r="A6" s="552" t="str">
        <x:v>Core API</x:v>
      </x:c>
      <x:c r="B6" s="552" t="str">
        <x:v>Open /api?action=core</x:v>
      </x:c>
      <x:c r="C6" s="552" t="str">
        <x:v>JSON starts with ok:true</x:v>
      </x:c>
      <x:c r="D6" s="552" t="str">
        <x:v>Not Started</x:v>
      </x:c>
      <x:c r="E6" s="552" t="str"/>
    </x:row>
    <x:row r="7">
      <x:c r="A7" s="552" t="str">
        <x:v>FX API</x:v>
      </x:c>
      <x:c r="B7" s="552" t="str">
        <x:v>Open /fx</x:v>
      </x:c>
      <x:c r="C7" s="552" t="str">
        <x:v>JSON includes rate/source/updatedAt</x:v>
      </x:c>
      <x:c r="D7" s="552" t="str">
        <x:v>Not Started</x:v>
      </x:c>
      <x:c r="E7" s="552" t="str"/>
    </x:row>
    <x:row r="8">
      <x:c r="A8" s="552" t="str">
        <x:v>Cache Reset</x:v>
      </x:c>
      <x:c r="B8" s="552" t="str">
        <x:v>Open /?reset=1</x:v>
      </x:c>
      <x:c r="C8" s="552" t="str">
        <x:v>No stale Setup Needed screen</x:v>
      </x:c>
      <x:c r="D8" s="552" t="str">
        <x:v>Not Started</x:v>
      </x:c>
      <x:c r="E8" s="552" t="str"/>
    </x:row>
    <x:row r="9">
      <x:c r="A9" s="552" t="str">
        <x:v>Money Hub</x:v>
      </x:c>
      <x:c r="B9" s="552" t="str">
        <x:v>Open Money and test quick amounts</x:v>
      </x:c>
      <x:c r="C9" s="552" t="str">
        <x:v>JPY/USD values update</x:v>
      </x:c>
      <x:c r="D9" s="552" t="str">
        <x:v>Not Started</x:v>
      </x:c>
      <x:c r="E9" s="552" t="str"/>
    </x:row>
    <x:row r="10">
      <x:c r="A10" s="552" t="str">
        <x:v>Offline</x:v>
      </x:c>
      <x:c r="B10" s="552" t="str">
        <x:v>Airplane Mode after visiting essentials</x:v>
      </x:c>
      <x:c r="C10" s="552" t="str">
        <x:v>Today/SOS/Lost/Suica/Phrases still usable</x:v>
      </x:c>
      <x:c r="D10" s="552" t="str">
        <x:v>Not Started</x:v>
      </x:c>
      <x:c r="E10" s="552" t="str"/>
    </x:row>
    <x:row r="11">
      <x:c r="A11" s="552" t="str">
        <x:v>Hilda</x:v>
      </x:c>
      <x:c r="B11" s="552" t="str">
        <x:v>Hilda finds hotel, Today, Lost, SOS</x:v>
      </x:c>
      <x:c r="C11" s="552" t="str">
        <x:v>No explanation needed</x:v>
      </x:c>
      <x:c r="D11" s="552" t="str">
        <x:v>Not Started</x:v>
      </x:c>
      <x:c r="E11" s="552" t="str"/>
    </x:row>
    <x:row r="12">
      <x:c r="A12" s="552" t="str">
        <x:v>Nick</x:v>
      </x:c>
      <x:c r="B12" s="552" t="str">
        <x:v>Nick finds Food, Shopping, Transit, Phrases</x:v>
      </x:c>
      <x:c r="C12" s="552" t="str">
        <x:v>No explanation needed</x:v>
      </x:c>
      <x:c r="D12" s="552" t="str">
        <x:v>Not Started</x:v>
      </x:c>
      <x:c r="E12" s="552" t="str"/>
    </x:row>
    <x:row r="13">
      <x:c r="A13" s="552" t="str">
        <x:v>Search</x:v>
      </x:c>
      <x:c r="B13" s="552" t="str">
        <x:v>Search ramen, bathroom, suica, hotel, Narita</x:v>
      </x:c>
      <x:c r="C13" s="552" t="str">
        <x:v>Useful results appear</x:v>
      </x:c>
      <x:c r="D13" s="552" t="str">
        <x:v>Not Started</x:v>
      </x:c>
      <x:c r="E13" s="552" t="str"/>
    </x:row>
    <x:row r="14">
      <x:c r="A14" s="552" t="str">
        <x:v>Maps</x:v>
      </x:c>
      <x:c r="B14" s="552" t="str">
        <x:v>Tap major map links</x:v>
      </x:c>
      <x:c r="C14" s="552" t="str">
        <x:v>Google/Apple Maps opens correctly</x:v>
      </x:c>
      <x:c r="D14" s="552" t="str">
        <x:v>Not Started</x:v>
      </x:c>
      <x:c r="E14" s="552" t="str"/>
    </x:row>
    <x:row r="15">
      <x:c r="A15" s="552" t="str">
        <x:v>Emergency</x:v>
      </x:c>
      <x:c r="B15" s="552" t="str">
        <x:v>Open SOS/Lost</x:v>
      </x:c>
      <x:c r="C15" s="552" t="str">
        <x:v>Info is readable and accurate</x:v>
      </x:c>
      <x:c r="D15" s="552" t="str">
        <x:v>Not Started</x:v>
      </x:c>
      <x:c r="E15" s="552" t="str"/>
    </x:row>
    <x:row r="16">
      <x:c r="A16" s="544"/>
      <x:c r="B16" s="544"/>
      <x:c r="C16" s="544"/>
      <x:c r="D16" s="544"/>
      <x:c r="E16" s="544"/>
    </x:row>
    <x:row r="17">
      <x:c r="A17" s="544"/>
      <x:c r="B17" s="544"/>
      <x:c r="C17" s="544"/>
      <x:c r="D17" s="544"/>
      <x:c r="E17" s="544"/>
    </x:row>
    <x:row r="18">
      <x:c r="A18" s="544"/>
      <x:c r="B18" s="544"/>
      <x:c r="C18" s="544"/>
      <x:c r="D18" s="544"/>
      <x:c r="E18" s="544"/>
    </x:row>
    <x:row r="19">
      <x:c r="A19" s="544"/>
      <x:c r="B19" s="544"/>
      <x:c r="C19" s="544"/>
      <x:c r="D19" s="544"/>
      <x:c r="E19" s="544"/>
    </x:row>
    <x:row r="20">
      <x:c r="A20" s="544"/>
      <x:c r="B20" s="544"/>
      <x:c r="C20" s="544"/>
      <x:c r="D20" s="544"/>
      <x:c r="E20" s="544"/>
    </x:row>
    <x:row r="21">
      <x:c r="A21" s="544"/>
      <x:c r="B21" s="544"/>
      <x:c r="C21" s="544"/>
      <x:c r="D21" s="544"/>
      <x:c r="E21" s="544"/>
    </x:row>
    <x:row r="22">
      <x:c r="A22" s="544"/>
      <x:c r="B22" s="544"/>
      <x:c r="C22" s="544"/>
      <x:c r="D22" s="544"/>
      <x:c r="E22" s="544"/>
    </x:row>
    <x:row r="23">
      <x:c r="A23" s="544"/>
      <x:c r="B23" s="544"/>
      <x:c r="C23" s="544"/>
      <x:c r="D23" s="544"/>
      <x:c r="E23" s="544"/>
    </x:row>
    <x:row r="24">
      <x:c r="A24" s="544"/>
      <x:c r="B24" s="544"/>
      <x:c r="C24" s="544"/>
      <x:c r="D24" s="544"/>
      <x:c r="E24" s="544"/>
    </x:row>
    <x:row r="25">
      <x:c r="A25" s="544"/>
      <x:c r="B25" s="544"/>
      <x:c r="C25" s="544"/>
      <x:c r="D25" s="544"/>
      <x:c r="E25" s="544"/>
    </x:row>
    <x:row r="26">
      <x:c r="A26" s="544"/>
      <x:c r="B26" s="544"/>
      <x:c r="C26" s="544"/>
      <x:c r="D26" s="544"/>
      <x:c r="E26" s="544"/>
    </x:row>
    <x:row r="27">
      <x:c r="A27" s="544"/>
      <x:c r="B27" s="544"/>
      <x:c r="C27" s="544"/>
      <x:c r="D27" s="544"/>
      <x:c r="E27" s="544"/>
    </x:row>
    <x:row r="28">
      <x:c r="A28" s="544"/>
      <x:c r="B28" s="544"/>
      <x:c r="C28" s="544"/>
      <x:c r="D28" s="544"/>
      <x:c r="E28" s="544"/>
    </x:row>
    <x:row r="29">
      <x:c r="A29" s="544"/>
      <x:c r="B29" s="544"/>
      <x:c r="C29" s="544"/>
      <x:c r="D29" s="544"/>
      <x:c r="E29" s="544"/>
    </x:row>
    <x:row r="30">
      <x:c r="A30" s="544"/>
      <x:c r="B30" s="544"/>
      <x:c r="C30" s="544"/>
      <x:c r="D30" s="544"/>
      <x:c r="E30" s="544"/>
    </x:row>
    <x:row r="31">
      <x:c r="A31" s="544"/>
      <x:c r="B31" s="544"/>
      <x:c r="C31" s="544"/>
      <x:c r="D31" s="544"/>
      <x:c r="E31" s="544"/>
    </x:row>
    <x:row r="32">
      <x:c r="A32" s="544"/>
      <x:c r="B32" s="544"/>
      <x:c r="C32" s="544"/>
      <x:c r="D32" s="544"/>
      <x:c r="E32" s="544"/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1">
    <x:dataValidation type="list" sqref="D6:D120">
      <x:formula1>"Not Started,In Progress,Blocked,Pass,Fail"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46" hidden="0" customWidth="1"/>
    <x:col min="4" max="4" width="18" hidden="0" customWidth="1"/>
    <x:col min="5" max="5" width="22" hidden="0" customWidth="1"/>
  </x:cols>
  <x:sheetData>
    <x:row r="1">
      <x:c r="A1" s="547" t="str">
        <x:v>🚩 Missing Data Tracker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Track content gaps here before testing with the family.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Data Type</x:v>
      </x:c>
      <x:c r="B5" s="551" t="str">
        <x:v>Required Fields</x:v>
      </x:c>
      <x:c r="C5" s="551" t="str">
        <x:v>Why It Matters</x:v>
      </x:c>
      <x:c r="D5" s="551" t="str">
        <x:v>Status</x:v>
      </x:c>
      <x:c r="E5" s="551" t="str">
        <x:v>Owner</x:v>
      </x:c>
    </x:row>
    <x:row r="6">
      <x:c r="A6" s="552" t="str">
        <x:v>Hotel</x:v>
      </x:c>
      <x:c r="B6" s="552" t="str">
        <x:v>Name, address, phone, station, map link, Japanese address</x:v>
      </x:c>
      <x:c r="C6" s="552" t="str">
        <x:v>Critical for Hilda, taxi, Lost Mode, emergency</x:v>
      </x:c>
      <x:c r="D6" s="552" t="str">
        <x:v>Not Started</x:v>
      </x:c>
      <x:c r="E6" s="552" t="str">
        <x:v>David</x:v>
      </x:c>
    </x:row>
    <x:row r="7">
      <x:c r="A7" s="552" t="str">
        <x:v>Restaurant</x:v>
      </x:c>
      <x:c r="B7" s="552" t="str">
        <x:v>Name, city, area, must order, price, reservation, map link</x:v>
      </x:c>
      <x:c r="C7" s="552" t="str">
        <x:v>Makes Food and Search useful in Japan</x:v>
      </x:c>
      <x:c r="D7" s="552" t="str">
        <x:v>Not Started</x:v>
      </x:c>
      <x:c r="E7" s="552" t="str">
        <x:v>David + Noelle</x:v>
      </x:c>
    </x:row>
    <x:row r="8">
      <x:c r="A8" s="552" t="str">
        <x:v>Map links</x:v>
      </x:c>
      <x:c r="B8" s="552" t="str">
        <x:v>Hotels, stations, restaurants, attractions, bathrooms, meetup points</x:v>
      </x:c>
      <x:c r="C8" s="552" t="str">
        <x:v>One-tap directions depend on this</x:v>
      </x:c>
      <x:c r="D8" s="552" t="str">
        <x:v>Not Started</x:v>
      </x:c>
      <x:c r="E8" s="552" t="str">
        <x:v>David</x:v>
      </x:c>
    </x:row>
    <x:row r="9">
      <x:c r="A9" s="552" t="str">
        <x:v>Emergency</x:v>
      </x:c>
      <x:c r="B9" s="552" t="str">
        <x:v>Police, ambulance, embassy/clinic if desired, help phrases, hotel card</x:v>
      </x:c>
      <x:c r="C9" s="552" t="str">
        <x:v>Safety critical</x:v>
      </x:c>
      <x:c r="D9" s="552" t="str">
        <x:v>Not Started</x:v>
      </x:c>
      <x:c r="E9" s="552" t="str">
        <x:v>David</x:v>
      </x:c>
    </x:row>
    <x:row r="10">
      <x:c r="A10" s="552" t="str">
        <x:v>Apple Wallet Suica</x:v>
      </x:c>
      <x:c r="B10" s="552" t="str">
        <x:v>Setup, Express Transit, top-up, backup plan, battery note</x:v>
      </x:c>
      <x:c r="C10" s="552" t="str">
        <x:v>Daily transit depends on phone setup</x:v>
      </x:c>
      <x:c r="D10" s="552" t="str">
        <x:v>Not Started</x:v>
      </x:c>
      <x:c r="E10" s="552" t="str">
        <x:v>Everyone</x:v>
      </x:c>
    </x:row>
    <x:row r="11">
      <x:c r="A11" s="552" t="str">
        <x:v>Phrases</x:v>
      </x:c>
      <x:c r="B11" s="552" t="str">
        <x:v>Lost, restaurant, konbini, transit, medical, polite basics</x:v>
      </x:c>
      <x:c r="C11" s="552" t="str">
        <x:v>Useful offline and for first-timers</x:v>
      </x:c>
      <x:c r="D11" s="552" t="str">
        <x:v>Not Started</x:v>
      </x:c>
      <x:c r="E11" s="552" t="str">
        <x:v>David</x:v>
      </x:c>
    </x:row>
    <x:row r="12">
      <x:c r="A12" s="552" t="str">
        <x:v>Packing</x:v>
      </x:c>
      <x:c r="B12" s="552" t="str">
        <x:v>Passport, meds, battery, chargers, adapters, daily carry</x:v>
      </x:c>
      <x:c r="C12" s="552" t="str">
        <x:v>Pre-trip readiness</x:v>
      </x:c>
      <x:c r="D12" s="552" t="str">
        <x:v>Not Started</x:v>
      </x:c>
      <x:c r="E12" s="552" t="str">
        <x:v>David + Noelle</x:v>
      </x:c>
    </x:row>
    <x:row r="13">
      <x:c r="A13" s="552" t="str">
        <x:v>Money</x:v>
      </x:c>
      <x:c r="B13" s="552" t="str">
        <x:v>Budget notes, cash plan, price sense examples</x:v>
      </x:c>
      <x:c r="C13" s="552" t="str">
        <x:v>Daily spending confidence</x:v>
      </x:c>
      <x:c r="D13" s="552" t="str">
        <x:v>Not Started</x:v>
      </x:c>
      <x:c r="E13" s="552" t="str">
        <x:v>David + Noelle</x:v>
      </x:c>
    </x:row>
    <x:row r="14">
      <x:c r="A14" s="544"/>
      <x:c r="B14" s="544"/>
      <x:c r="C14" s="544"/>
      <x:c r="D14" s="544"/>
      <x:c r="E14" s="544"/>
    </x:row>
    <x:row r="15">
      <x:c r="A15" s="544"/>
      <x:c r="B15" s="544"/>
      <x:c r="C15" s="544"/>
      <x:c r="D15" s="544"/>
      <x:c r="E15" s="544"/>
    </x:row>
    <x:row r="16">
      <x:c r="A16" s="544"/>
      <x:c r="B16" s="544"/>
      <x:c r="C16" s="544"/>
      <x:c r="D16" s="544"/>
      <x:c r="E16" s="544"/>
    </x:row>
    <x:row r="17">
      <x:c r="A17" s="544"/>
      <x:c r="B17" s="544"/>
      <x:c r="C17" s="544"/>
      <x:c r="D17" s="544"/>
      <x:c r="E17" s="544"/>
    </x:row>
    <x:row r="18">
      <x:c r="A18" s="544"/>
      <x:c r="B18" s="544"/>
      <x:c r="C18" s="544"/>
      <x:c r="D18" s="544"/>
      <x:c r="E18" s="544"/>
    </x:row>
    <x:row r="19">
      <x:c r="A19" s="544"/>
      <x:c r="B19" s="544"/>
      <x:c r="C19" s="544"/>
      <x:c r="D19" s="544"/>
      <x:c r="E19" s="544"/>
    </x:row>
    <x:row r="20">
      <x:c r="A20" s="544"/>
      <x:c r="B20" s="544"/>
      <x:c r="C20" s="544"/>
      <x:c r="D20" s="544"/>
      <x:c r="E20" s="544"/>
    </x:row>
    <x:row r="21">
      <x:c r="A21" s="544"/>
      <x:c r="B21" s="544"/>
      <x:c r="C21" s="544"/>
      <x:c r="D21" s="544"/>
      <x:c r="E21" s="544"/>
    </x:row>
    <x:row r="22">
      <x:c r="A22" s="544"/>
      <x:c r="B22" s="544"/>
      <x:c r="C22" s="544"/>
      <x:c r="D22" s="544"/>
      <x:c r="E22" s="544"/>
    </x:row>
    <x:row r="23">
      <x:c r="A23" s="544"/>
      <x:c r="B23" s="544"/>
      <x:c r="C23" s="544"/>
      <x:c r="D23" s="544"/>
      <x:c r="E23" s="544"/>
    </x:row>
    <x:row r="24">
      <x:c r="A24" s="544"/>
      <x:c r="B24" s="544"/>
      <x:c r="C24" s="544"/>
      <x:c r="D24" s="544"/>
      <x:c r="E24" s="544"/>
    </x:row>
    <x:row r="25">
      <x:c r="A25" s="544"/>
      <x:c r="B25" s="544"/>
      <x:c r="C25" s="544"/>
      <x:c r="D25" s="544"/>
      <x:c r="E25" s="544"/>
    </x:row>
    <x:row r="26">
      <x:c r="A26" s="544"/>
      <x:c r="B26" s="544"/>
      <x:c r="C26" s="544"/>
      <x:c r="D26" s="544"/>
      <x:c r="E26" s="544"/>
    </x:row>
    <x:row r="27">
      <x:c r="A27" s="544"/>
      <x:c r="B27" s="544"/>
      <x:c r="C27" s="544"/>
      <x:c r="D27" s="544"/>
      <x:c r="E27" s="544"/>
    </x:row>
    <x:row r="28">
      <x:c r="A28" s="544"/>
      <x:c r="B28" s="544"/>
      <x:c r="C28" s="544"/>
      <x:c r="D28" s="544"/>
      <x:c r="E28" s="544"/>
    </x:row>
    <x:row r="29">
      <x:c r="A29" s="544"/>
      <x:c r="B29" s="544"/>
      <x:c r="C29" s="544"/>
      <x:c r="D29" s="544"/>
      <x:c r="E29" s="544"/>
    </x:row>
    <x:row r="30">
      <x:c r="A30" s="544"/>
      <x:c r="B30" s="544"/>
      <x:c r="C30" s="544"/>
      <x:c r="D30" s="544"/>
      <x:c r="E30" s="544"/>
    </x:row>
    <x:row r="31">
      <x:c r="A31" s="544"/>
      <x:c r="B31" s="544"/>
      <x:c r="C31" s="544"/>
      <x:c r="D31" s="544"/>
      <x:c r="E31" s="544"/>
    </x:row>
    <x:row r="32">
      <x:c r="A32" s="544"/>
      <x:c r="B32" s="544"/>
      <x:c r="C32" s="544"/>
      <x:c r="D32" s="544"/>
      <x:c r="E32" s="544"/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1">
    <x:dataValidation type="list" sqref="D6:D120">
      <x:formula1>"Not Started,In Progress,Blocked,Done"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0" hidden="0" customWidth="1"/>
    <x:col min="4" max="4" width="18" hidden="0" customWidth="1"/>
    <x:col min="5" max="5" width="22" hidden="0" customWidth="1"/>
  </x:cols>
  <x:sheetData>
    <x:row r="1">
      <x:c r="A1" s="559" t="str">
        <x:v>❤️ Peace of Mind</x:v>
      </x:c>
      <x:c r="B1" s="559"/>
      <x:c r="C1" s="559"/>
      <x:c r="D1" s="559"/>
      <x:c r="E1" s="559"/>
    </x:row>
    <x:row r="2">
      <x:c r="A2" s="559"/>
      <x:c r="B2" s="559"/>
      <x:c r="C2" s="559"/>
      <x:c r="D2" s="559"/>
      <x:c r="E2" s="559"/>
    </x:row>
    <x:row r="3">
      <x:c r="A3" s="560" t="str">
        <x:v>Use this section for practical reassurance, not medical diagnosis. Store only information you are comfortable keeping in the workbook.</x:v>
      </x:c>
      <x:c r="B3" s="560"/>
      <x:c r="C3" s="560"/>
      <x:c r="D3" s="560"/>
      <x:c r="E3" s="560"/>
    </x:row>
    <x:row r="4">
      <x:c r="A4" s="556"/>
      <x:c r="B4" s="556"/>
      <x:c r="C4" s="556"/>
      <x:c r="D4" s="556"/>
      <x:c r="E4" s="556"/>
    </x:row>
    <x:row r="5">
      <x:c r="A5" s="563" t="str">
        <x:v>Feature</x:v>
      </x:c>
      <x:c r="B5" s="563" t="str">
        <x:v>Purpose</x:v>
      </x:c>
      <x:c r="C5" s="563" t="str">
        <x:v>Data Source</x:v>
      </x:c>
      <x:c r="D5" s="563" t="str">
        <x:v>Offline?</x:v>
      </x:c>
      <x:c r="E5" s="563" t="str">
        <x:v>Status</x:v>
      </x:c>
    </x:row>
    <x:row r="6">
      <x:c r="A6" s="564" t="str">
        <x:v>Gluten-Free Allergy Card</x:v>
      </x:c>
      <x:c r="B6" s="564" t="str">
        <x:v>Large Japanese card to show restaurant staff</x:v>
      </x:c>
      <x:c r="C6" s="564" t="str">
        <x:v>Built into app</x:v>
      </x:c>
      <x:c r="D6" s="564" t="str">
        <x:v>Yes</x:v>
      </x:c>
      <x:c r="E6" s="564" t="str">
        <x:v>Built</x:v>
      </x:c>
    </x:row>
    <x:row r="7">
      <x:c r="A7" s="564" t="str">
        <x:v>GF Restaurants</x:v>
      </x:c>
      <x:c r="B7" s="564" t="str">
        <x:v>Vetted restaurant list with confidence badge</x:v>
      </x:c>
      <x:c r="C7" s="564" t="str">
        <x:v>🌾 GF Restaurants</x:v>
      </x:c>
      <x:c r="D7" s="564" t="str">
        <x:v>Cached after load</x:v>
      </x:c>
      <x:c r="E7" s="564" t="str">
        <x:v>Ready for content</x:v>
      </x:c>
    </x:row>
    <x:row r="8">
      <x:c r="A8" s="564" t="str">
        <x:v>GF Konbini</x:v>
      </x:c>
      <x:c r="B8" s="564" t="str">
        <x:v>Vetted convenience-store products</x:v>
      </x:c>
      <x:c r="C8" s="564" t="str">
        <x:v>🏪 GF Konbini</x:v>
      </x:c>
      <x:c r="D8" s="564" t="str">
        <x:v>Cached after load</x:v>
      </x:c>
      <x:c r="E8" s="564" t="str">
        <x:v>Ready for content</x:v>
      </x:c>
    </x:row>
    <x:row r="9">
      <x:c r="A9" s="564" t="str">
        <x:v>GF Ryokan</x:v>
      </x:c>
      <x:c r="B9" s="564" t="str">
        <x:v>Track dietary replies before booking</x:v>
      </x:c>
      <x:c r="C9" s="564" t="str">
        <x:v>♨ GF Ryokan</x:v>
      </x:c>
      <x:c r="D9" s="564" t="str">
        <x:v>Cached after load</x:v>
      </x:c>
      <x:c r="E9" s="564" t="str">
        <x:v>Ready for content</x:v>
      </x:c>
    </x:row>
    <x:row r="10">
      <x:c r="A10" s="564" t="str">
        <x:v>Comfort Mode</x:v>
      </x:c>
      <x:c r="B10" s="564" t="str">
        <x:v>Bathroom, hotel, konbini, taxi, medical, phrases</x:v>
      </x:c>
      <x:c r="C10" s="564" t="str">
        <x:v>Existing sheets</x:v>
      </x:c>
      <x:c r="D10" s="564" t="str">
        <x:v>Yes</x:v>
      </x:c>
      <x:c r="E10" s="564" t="str">
        <x:v>Built</x:v>
      </x:c>
    </x:row>
    <x:row r="11">
      <x:c r="A11" s="564" t="str">
        <x:v>Medication Checklist</x:v>
      </x:c>
      <x:c r="B11" s="564" t="str">
        <x:v>Simple local checklist</x:v>
      </x:c>
      <x:c r="C11" s="564" t="str">
        <x:v>Device only</x:v>
      </x:c>
      <x:c r="D11" s="564" t="str">
        <x:v>Yes</x:v>
      </x:c>
      <x:c r="E11" s="564" t="str">
        <x:v>Built</x:v>
      </x:c>
    </x:row>
    <x:row r="12">
      <x:c r="A12" s="564" t="str">
        <x:v>Ingredient Cheat Sheet</x:v>
      </x:c>
      <x:c r="B12" s="564" t="str">
        <x:v>Wheat/soy sauce/panko/tempura/udon/soba terms</x:v>
      </x:c>
      <x:c r="C12" s="564" t="str">
        <x:v>Built into app</x:v>
      </x:c>
      <x:c r="D12" s="564" t="str">
        <x:v>Yes</x:v>
      </x:c>
      <x:c r="E12" s="564" t="str">
        <x:v>Built</x:v>
      </x:c>
    </x:row>
    <x:row r="13">
      <x:c r="A13" s="556"/>
      <x:c r="B13" s="556"/>
      <x:c r="C13" s="556"/>
      <x:c r="D13" s="556"/>
      <x:c r="E13" s="556"/>
    </x:row>
    <x:row r="14">
      <x:c r="A14" s="556"/>
      <x:c r="B14" s="556"/>
      <x:c r="C14" s="556"/>
      <x:c r="D14" s="556"/>
      <x:c r="E14" s="556"/>
    </x:row>
    <x:row r="15">
      <x:c r="A15" s="556"/>
      <x:c r="B15" s="556"/>
      <x:c r="C15" s="556"/>
      <x:c r="D15" s="556"/>
      <x:c r="E15" s="556"/>
    </x:row>
    <x:row r="16">
      <x:c r="A16" s="556"/>
      <x:c r="B16" s="556"/>
      <x:c r="C16" s="556"/>
      <x:c r="D16" s="556"/>
      <x:c r="E16" s="556"/>
    </x:row>
    <x:row r="17">
      <x:c r="A17" s="556"/>
      <x:c r="B17" s="556"/>
      <x:c r="C17" s="556"/>
      <x:c r="D17" s="556"/>
      <x:c r="E17" s="556"/>
    </x:row>
    <x:row r="18">
      <x:c r="A18" s="556"/>
      <x:c r="B18" s="556"/>
      <x:c r="C18" s="556"/>
      <x:c r="D18" s="556"/>
      <x:c r="E18" s="556"/>
    </x:row>
    <x:row r="19">
      <x:c r="A19" s="556"/>
      <x:c r="B19" s="556"/>
      <x:c r="C19" s="556"/>
      <x:c r="D19" s="556"/>
      <x:c r="E19" s="556"/>
    </x:row>
    <x:row r="20">
      <x:c r="A20" s="556"/>
      <x:c r="B20" s="556"/>
      <x:c r="C20" s="556"/>
      <x:c r="D20" s="556"/>
      <x:c r="E20" s="556"/>
    </x:row>
    <x:row r="21">
      <x:c r="A21" s="556"/>
      <x:c r="B21" s="556"/>
      <x:c r="C21" s="556"/>
      <x:c r="D21" s="556"/>
      <x:c r="E21" s="556"/>
    </x:row>
    <x:row r="22">
      <x:c r="A22" s="556"/>
      <x:c r="B22" s="556"/>
      <x:c r="C22" s="556"/>
      <x:c r="D22" s="556"/>
      <x:c r="E22" s="556"/>
    </x:row>
    <x:row r="23">
      <x:c r="A23" s="556"/>
      <x:c r="B23" s="556"/>
      <x:c r="C23" s="556"/>
      <x:c r="D23" s="556"/>
      <x:c r="E23" s="556"/>
    </x:row>
    <x:row r="24">
      <x:c r="A24" s="556"/>
      <x:c r="B24" s="556"/>
      <x:c r="C24" s="556"/>
      <x:c r="D24" s="556"/>
      <x:c r="E24" s="556"/>
    </x:row>
    <x:row r="25">
      <x:c r="A25" s="556"/>
      <x:c r="B25" s="556"/>
      <x:c r="C25" s="556"/>
      <x:c r="D25" s="556"/>
      <x:c r="E25" s="556"/>
    </x:row>
    <x:row r="26">
      <x:c r="A26" s="556"/>
      <x:c r="B26" s="556"/>
      <x:c r="C26" s="556"/>
      <x:c r="D26" s="556"/>
      <x:c r="E26" s="556"/>
    </x:row>
    <x:row r="27">
      <x:c r="A27" s="556"/>
      <x:c r="B27" s="556"/>
      <x:c r="C27" s="556"/>
      <x:c r="D27" s="556"/>
      <x:c r="E27" s="556"/>
    </x:row>
    <x:row r="28">
      <x:c r="A28" s="556"/>
      <x:c r="B28" s="556"/>
      <x:c r="C28" s="556"/>
      <x:c r="D28" s="556"/>
      <x:c r="E28" s="556"/>
    </x:row>
    <x:row r="29">
      <x:c r="A29" s="556"/>
      <x:c r="B29" s="556"/>
      <x:c r="C29" s="556"/>
      <x:c r="D29" s="556"/>
      <x:c r="E29" s="556"/>
    </x:row>
    <x:row r="30">
      <x:c r="A30" s="556"/>
      <x:c r="B30" s="556"/>
      <x:c r="C30" s="556"/>
      <x:c r="D30" s="556"/>
      <x:c r="E30" s="556"/>
    </x:row>
    <x:row r="31">
      <x:c r="A31" s="556"/>
      <x:c r="B31" s="556"/>
      <x:c r="C31" s="556"/>
      <x:c r="D31" s="556"/>
      <x:c r="E31" s="556"/>
    </x:row>
    <x:row r="32">
      <x:c r="A32" s="556"/>
      <x:c r="B32" s="556"/>
      <x:c r="C32" s="556"/>
      <x:c r="D32" s="556"/>
      <x:c r="E32" s="556"/>
    </x:row>
    <x:row r="33">
      <x:c r="A33" s="556"/>
      <x:c r="B33" s="556"/>
      <x:c r="C33" s="556"/>
      <x:c r="D33" s="556"/>
      <x:c r="E33" s="556"/>
    </x:row>
    <x:row r="34">
      <x:c r="A34" s="556"/>
      <x:c r="B34" s="556"/>
      <x:c r="C34" s="556"/>
      <x:c r="D34" s="556"/>
      <x:c r="E34" s="556"/>
    </x:row>
    <x:row r="35">
      <x:c r="A35" s="556"/>
      <x:c r="B35" s="556"/>
      <x:c r="C35" s="556"/>
      <x:c r="D35" s="556"/>
      <x:c r="E35" s="556"/>
    </x:row>
    <x:row r="36">
      <x:c r="A36" s="556"/>
      <x:c r="B36" s="556"/>
      <x:c r="C36" s="556"/>
      <x:c r="D36" s="556"/>
      <x:c r="E36" s="556"/>
    </x:row>
    <x:row r="37">
      <x:c r="A37" s="556"/>
      <x:c r="B37" s="556"/>
      <x:c r="C37" s="556"/>
      <x:c r="D37" s="556"/>
      <x:c r="E37" s="556"/>
    </x:row>
    <x:row r="38">
      <x:c r="A38" s="556"/>
      <x:c r="B38" s="556"/>
      <x:c r="C38" s="556"/>
      <x:c r="D38" s="556"/>
      <x:c r="E38" s="556"/>
    </x:row>
    <x:row r="39">
      <x:c r="A39" s="556"/>
      <x:c r="B39" s="556"/>
      <x:c r="C39" s="556"/>
      <x:c r="D39" s="556"/>
      <x:c r="E39" s="556"/>
    </x:row>
    <x:row r="40">
      <x:c r="A40" s="556"/>
      <x:c r="B40" s="556"/>
      <x:c r="C40" s="556"/>
      <x:c r="D40" s="556"/>
      <x:c r="E40" s="556"/>
    </x:row>
    <x:row r="41">
      <x:c r="A41" s="556"/>
      <x:c r="B41" s="556"/>
      <x:c r="C41" s="556"/>
      <x:c r="D41" s="556"/>
      <x:c r="E41" s="556"/>
    </x:row>
    <x:row r="42">
      <x:c r="A42" s="556"/>
      <x:c r="B42" s="556"/>
      <x:c r="C42" s="556"/>
      <x:c r="D42" s="556"/>
      <x:c r="E42" s="556"/>
    </x:row>
    <x:row r="43">
      <x:c r="A43" s="556"/>
      <x:c r="B43" s="556"/>
      <x:c r="C43" s="556"/>
      <x:c r="D43" s="556"/>
      <x:c r="E43" s="556"/>
    </x:row>
    <x:row r="44">
      <x:c r="A44" s="556"/>
      <x:c r="B44" s="556"/>
      <x:c r="C44" s="556"/>
      <x:c r="D44" s="556"/>
      <x:c r="E44" s="556"/>
    </x:row>
    <x:row r="45">
      <x:c r="A45" s="556"/>
      <x:c r="B45" s="556"/>
      <x:c r="C45" s="556"/>
      <x:c r="D45" s="556"/>
      <x:c r="E45" s="556"/>
    </x:row>
    <x:row r="46">
      <x:c r="A46" s="556"/>
      <x:c r="B46" s="556"/>
      <x:c r="C46" s="556"/>
      <x:c r="D46" s="556"/>
      <x:c r="E46" s="556"/>
    </x:row>
    <x:row r="47">
      <x:c r="A47" s="556"/>
      <x:c r="B47" s="556"/>
      <x:c r="C47" s="556"/>
      <x:c r="D47" s="556"/>
      <x:c r="E47" s="556"/>
    </x:row>
    <x:row r="48">
      <x:c r="A48" s="556"/>
      <x:c r="B48" s="556"/>
      <x:c r="C48" s="556"/>
      <x:c r="D48" s="556"/>
      <x:c r="E48" s="556"/>
    </x:row>
    <x:row r="49">
      <x:c r="A49" s="556"/>
      <x:c r="B49" s="556"/>
      <x:c r="C49" s="556"/>
      <x:c r="D49" s="556"/>
      <x:c r="E49" s="556"/>
    </x:row>
    <x:row r="50">
      <x:c r="A50" s="556"/>
      <x:c r="B50" s="556"/>
      <x:c r="C50" s="556"/>
      <x:c r="D50" s="556"/>
      <x:c r="E50" s="556"/>
    </x:row>
    <x:row r="51">
      <x:c r="A51" s="556"/>
      <x:c r="B51" s="556"/>
      <x:c r="C51" s="556"/>
      <x:c r="D51" s="556"/>
      <x:c r="E51" s="556"/>
    </x:row>
    <x:row r="52">
      <x:c r="A52" s="556"/>
      <x:c r="B52" s="556"/>
      <x:c r="C52" s="556"/>
      <x:c r="D52" s="556"/>
      <x:c r="E52" s="556"/>
    </x:row>
    <x:row r="53">
      <x:c r="A53" s="556"/>
      <x:c r="B53" s="556"/>
      <x:c r="C53" s="556"/>
      <x:c r="D53" s="556"/>
      <x:c r="E53" s="556"/>
    </x:row>
    <x:row r="54">
      <x:c r="A54" s="556"/>
      <x:c r="B54" s="556"/>
      <x:c r="C54" s="556"/>
      <x:c r="D54" s="556"/>
      <x:c r="E54" s="556"/>
    </x:row>
    <x:row r="55">
      <x:c r="A55" s="556"/>
      <x:c r="B55" s="556"/>
      <x:c r="C55" s="556"/>
      <x:c r="D55" s="556"/>
      <x:c r="E55" s="556"/>
    </x:row>
    <x:row r="56">
      <x:c r="A56" s="556"/>
      <x:c r="B56" s="556"/>
      <x:c r="C56" s="556"/>
      <x:c r="D56" s="556"/>
      <x:c r="E56" s="556"/>
    </x:row>
    <x:row r="57">
      <x:c r="A57" s="556"/>
      <x:c r="B57" s="556"/>
      <x:c r="C57" s="556"/>
      <x:c r="D57" s="556"/>
      <x:c r="E57" s="556"/>
    </x:row>
    <x:row r="58">
      <x:c r="A58" s="556"/>
      <x:c r="B58" s="556"/>
      <x:c r="C58" s="556"/>
      <x:c r="D58" s="556"/>
      <x:c r="E58" s="556"/>
    </x:row>
    <x:row r="59">
      <x:c r="A59" s="556"/>
      <x:c r="B59" s="556"/>
      <x:c r="C59" s="556"/>
      <x:c r="D59" s="556"/>
      <x:c r="E59" s="556"/>
    </x:row>
    <x:row r="60">
      <x:c r="A60" s="556"/>
      <x:c r="B60" s="556"/>
      <x:c r="C60" s="556"/>
      <x:c r="D60" s="556"/>
      <x:c r="E60" s="556"/>
    </x:row>
    <x:row r="61">
      <x:c r="A61" s="556"/>
      <x:c r="B61" s="556"/>
      <x:c r="C61" s="556"/>
      <x:c r="D61" s="556"/>
      <x:c r="E61" s="556"/>
    </x:row>
    <x:row r="62">
      <x:c r="A62" s="556"/>
      <x:c r="B62" s="556"/>
      <x:c r="C62" s="556"/>
      <x:c r="D62" s="556"/>
      <x:c r="E62" s="556"/>
    </x:row>
    <x:row r="63">
      <x:c r="A63" s="556"/>
      <x:c r="B63" s="556"/>
      <x:c r="C63" s="556"/>
      <x:c r="D63" s="556"/>
      <x:c r="E63" s="556"/>
    </x:row>
    <x:row r="64">
      <x:c r="A64" s="556"/>
      <x:c r="B64" s="556"/>
      <x:c r="C64" s="556"/>
      <x:c r="D64" s="556"/>
      <x:c r="E64" s="556"/>
    </x:row>
    <x:row r="65">
      <x:c r="A65" s="556"/>
      <x:c r="B65" s="556"/>
      <x:c r="C65" s="556"/>
      <x:c r="D65" s="556"/>
      <x:c r="E65" s="556"/>
    </x:row>
    <x:row r="66">
      <x:c r="A66" s="556"/>
      <x:c r="B66" s="556"/>
      <x:c r="C66" s="556"/>
      <x:c r="D66" s="556"/>
      <x:c r="E66" s="556"/>
    </x:row>
    <x:row r="67">
      <x:c r="A67" s="556"/>
      <x:c r="B67" s="556"/>
      <x:c r="C67" s="556"/>
      <x:c r="D67" s="556"/>
      <x:c r="E67" s="556"/>
    </x:row>
    <x:row r="68">
      <x:c r="A68" s="556"/>
      <x:c r="B68" s="556"/>
      <x:c r="C68" s="556"/>
      <x:c r="D68" s="556"/>
      <x:c r="E68" s="556"/>
    </x:row>
    <x:row r="69">
      <x:c r="A69" s="556"/>
      <x:c r="B69" s="556"/>
      <x:c r="C69" s="556"/>
      <x:c r="D69" s="556"/>
      <x:c r="E69" s="556"/>
    </x:row>
    <x:row r="70">
      <x:c r="A70" s="556"/>
      <x:c r="B70" s="556"/>
      <x:c r="C70" s="556"/>
      <x:c r="D70" s="556"/>
      <x:c r="E70" s="556"/>
    </x:row>
    <x:row r="71">
      <x:c r="A71" s="556"/>
      <x:c r="B71" s="556"/>
      <x:c r="C71" s="556"/>
      <x:c r="D71" s="556"/>
      <x:c r="E71" s="556"/>
    </x:row>
    <x:row r="72">
      <x:c r="A72" s="556"/>
      <x:c r="B72" s="556"/>
      <x:c r="C72" s="556"/>
      <x:c r="D72" s="556"/>
      <x:c r="E72" s="556"/>
    </x:row>
    <x:row r="73">
      <x:c r="A73" s="556"/>
      <x:c r="B73" s="556"/>
      <x:c r="C73" s="556"/>
      <x:c r="D73" s="556"/>
      <x:c r="E73" s="556"/>
    </x:row>
    <x:row r="74">
      <x:c r="A74" s="556"/>
      <x:c r="B74" s="556"/>
      <x:c r="C74" s="556"/>
      <x:c r="D74" s="556"/>
      <x:c r="E74" s="556"/>
    </x:row>
    <x:row r="75">
      <x:c r="A75" s="556"/>
      <x:c r="B75" s="556"/>
      <x:c r="C75" s="556"/>
      <x:c r="D75" s="556"/>
      <x:c r="E75" s="556"/>
    </x:row>
    <x:row r="76">
      <x:c r="A76" s="556"/>
      <x:c r="B76" s="556"/>
      <x:c r="C76" s="556"/>
      <x:c r="D76" s="556"/>
      <x:c r="E76" s="556"/>
    </x:row>
    <x:row r="77">
      <x:c r="A77" s="556"/>
      <x:c r="B77" s="556"/>
      <x:c r="C77" s="556"/>
      <x:c r="D77" s="556"/>
      <x:c r="E77" s="556"/>
    </x:row>
    <x:row r="78">
      <x:c r="A78" s="556"/>
      <x:c r="B78" s="556"/>
      <x:c r="C78" s="556"/>
      <x:c r="D78" s="556"/>
      <x:c r="E78" s="556"/>
    </x:row>
    <x:row r="79">
      <x:c r="A79" s="556"/>
      <x:c r="B79" s="556"/>
      <x:c r="C79" s="556"/>
      <x:c r="D79" s="556"/>
      <x:c r="E79" s="556"/>
    </x:row>
    <x:row r="80">
      <x:c r="A80" s="556"/>
      <x:c r="B80" s="556"/>
      <x:c r="C80" s="556"/>
      <x:c r="D80" s="556"/>
      <x:c r="E80" s="556"/>
    </x:row>
    <x:row r="81">
      <x:c r="A81" s="556"/>
      <x:c r="B81" s="556"/>
      <x:c r="C81" s="556"/>
      <x:c r="D81" s="556"/>
      <x:c r="E81" s="556"/>
    </x:row>
    <x:row r="82">
      <x:c r="A82" s="556"/>
      <x:c r="B82" s="556"/>
      <x:c r="C82" s="556"/>
      <x:c r="D82" s="556"/>
      <x:c r="E82" s="556"/>
    </x:row>
    <x:row r="83">
      <x:c r="A83" s="556"/>
      <x:c r="B83" s="556"/>
      <x:c r="C83" s="556"/>
      <x:c r="D83" s="556"/>
      <x:c r="E83" s="556"/>
    </x:row>
    <x:row r="84">
      <x:c r="A84" s="556"/>
      <x:c r="B84" s="556"/>
      <x:c r="C84" s="556"/>
      <x:c r="D84" s="556"/>
      <x:c r="E84" s="556"/>
    </x:row>
    <x:row r="85">
      <x:c r="A85" s="556"/>
      <x:c r="B85" s="556"/>
      <x:c r="C85" s="556"/>
      <x:c r="D85" s="556"/>
      <x:c r="E85" s="556"/>
    </x:row>
    <x:row r="86">
      <x:c r="A86" s="556"/>
      <x:c r="B86" s="556"/>
      <x:c r="C86" s="556"/>
      <x:c r="D86" s="556"/>
      <x:c r="E86" s="556"/>
    </x:row>
    <x:row r="87">
      <x:c r="A87" s="556"/>
      <x:c r="B87" s="556"/>
      <x:c r="C87" s="556"/>
      <x:c r="D87" s="556"/>
      <x:c r="E87" s="556"/>
    </x:row>
    <x:row r="88">
      <x:c r="A88" s="556"/>
      <x:c r="B88" s="556"/>
      <x:c r="C88" s="556"/>
      <x:c r="D88" s="556"/>
      <x:c r="E88" s="556"/>
    </x:row>
    <x:row r="89">
      <x:c r="A89" s="556"/>
      <x:c r="B89" s="556"/>
      <x:c r="C89" s="556"/>
      <x:c r="D89" s="556"/>
      <x:c r="E89" s="556"/>
    </x:row>
    <x:row r="90">
      <x:c r="A90" s="556"/>
      <x:c r="B90" s="556"/>
      <x:c r="C90" s="556"/>
      <x:c r="D90" s="556"/>
      <x:c r="E90" s="556"/>
    </x:row>
    <x:row r="91">
      <x:c r="A91" s="556"/>
      <x:c r="B91" s="556"/>
      <x:c r="C91" s="556"/>
      <x:c r="D91" s="556"/>
      <x:c r="E91" s="556"/>
    </x:row>
    <x:row r="92">
      <x:c r="A92" s="556"/>
      <x:c r="B92" s="556"/>
      <x:c r="C92" s="556"/>
      <x:c r="D92" s="556"/>
      <x:c r="E92" s="556"/>
    </x:row>
    <x:row r="93">
      <x:c r="A93" s="556"/>
      <x:c r="B93" s="556"/>
      <x:c r="C93" s="556"/>
      <x:c r="D93" s="556"/>
      <x:c r="E93" s="556"/>
    </x:row>
    <x:row r="94">
      <x:c r="A94" s="556"/>
      <x:c r="B94" s="556"/>
      <x:c r="C94" s="556"/>
      <x:c r="D94" s="556"/>
      <x:c r="E94" s="556"/>
    </x:row>
    <x:row r="95">
      <x:c r="A95" s="556"/>
      <x:c r="B95" s="556"/>
      <x:c r="C95" s="556"/>
      <x:c r="D95" s="556"/>
      <x:c r="E95" s="556"/>
    </x:row>
    <x:row r="96">
      <x:c r="A96" s="556"/>
      <x:c r="B96" s="556"/>
      <x:c r="C96" s="556"/>
      <x:c r="D96" s="556"/>
      <x:c r="E96" s="556"/>
    </x:row>
    <x:row r="97">
      <x:c r="A97" s="556"/>
      <x:c r="B97" s="556"/>
      <x:c r="C97" s="556"/>
      <x:c r="D97" s="556"/>
      <x:c r="E97" s="556"/>
    </x:row>
    <x:row r="98">
      <x:c r="A98" s="556"/>
      <x:c r="B98" s="556"/>
      <x:c r="C98" s="556"/>
      <x:c r="D98" s="556"/>
      <x:c r="E98" s="556"/>
    </x:row>
    <x:row r="99">
      <x:c r="A99" s="556"/>
      <x:c r="B99" s="556"/>
      <x:c r="C99" s="556"/>
      <x:c r="D99" s="556"/>
      <x:c r="E99" s="556"/>
    </x:row>
    <x:row r="100">
      <x:c r="A100" s="556"/>
      <x:c r="B100" s="556"/>
      <x:c r="C100" s="556"/>
      <x:c r="D100" s="556"/>
      <x:c r="E100" s="556"/>
    </x:row>
    <x:row r="101">
      <x:c r="A101" s="556"/>
      <x:c r="B101" s="556"/>
      <x:c r="C101" s="556"/>
      <x:c r="D101" s="556"/>
      <x:c r="E101" s="556"/>
    </x:row>
    <x:row r="102">
      <x:c r="A102" s="556"/>
      <x:c r="B102" s="556"/>
      <x:c r="C102" s="556"/>
      <x:c r="D102" s="556"/>
      <x:c r="E102" s="556"/>
    </x:row>
    <x:row r="103">
      <x:c r="A103" s="556"/>
      <x:c r="B103" s="556"/>
      <x:c r="C103" s="556"/>
      <x:c r="D103" s="556"/>
      <x:c r="E103" s="556"/>
    </x:row>
    <x:row r="104">
      <x:c r="A104" s="556"/>
      <x:c r="B104" s="556"/>
      <x:c r="C104" s="556"/>
      <x:c r="D104" s="556"/>
      <x:c r="E104" s="556"/>
    </x:row>
    <x:row r="105">
      <x:c r="A105" s="556"/>
      <x:c r="B105" s="556"/>
      <x:c r="C105" s="556"/>
      <x:c r="D105" s="556"/>
      <x:c r="E105" s="556"/>
    </x:row>
    <x:row r="106">
      <x:c r="A106" s="556"/>
      <x:c r="B106" s="556"/>
      <x:c r="C106" s="556"/>
      <x:c r="D106" s="556"/>
      <x:c r="E106" s="556"/>
    </x:row>
    <x:row r="107">
      <x:c r="A107" s="556"/>
      <x:c r="B107" s="556"/>
      <x:c r="C107" s="556"/>
      <x:c r="D107" s="556"/>
      <x:c r="E107" s="556"/>
    </x:row>
    <x:row r="108">
      <x:c r="A108" s="556"/>
      <x:c r="B108" s="556"/>
      <x:c r="C108" s="556"/>
      <x:c r="D108" s="556"/>
      <x:c r="E108" s="556"/>
    </x:row>
    <x:row r="109">
      <x:c r="A109" s="556"/>
      <x:c r="B109" s="556"/>
      <x:c r="C109" s="556"/>
      <x:c r="D109" s="556"/>
      <x:c r="E109" s="556"/>
    </x:row>
    <x:row r="110">
      <x:c r="A110" s="556"/>
      <x:c r="B110" s="556"/>
      <x:c r="C110" s="556"/>
      <x:c r="D110" s="556"/>
      <x:c r="E110" s="556"/>
    </x:row>
    <x:row r="111">
      <x:c r="A111" s="556"/>
      <x:c r="B111" s="556"/>
      <x:c r="C111" s="556"/>
      <x:c r="D111" s="556"/>
      <x:c r="E111" s="556"/>
    </x:row>
    <x:row r="112">
      <x:c r="A112" s="556"/>
      <x:c r="B112" s="556"/>
      <x:c r="C112" s="556"/>
      <x:c r="D112" s="556"/>
      <x:c r="E112" s="556"/>
    </x:row>
    <x:row r="113">
      <x:c r="A113" s="556"/>
      <x:c r="B113" s="556"/>
      <x:c r="C113" s="556"/>
      <x:c r="D113" s="556"/>
      <x:c r="E113" s="556"/>
    </x:row>
    <x:row r="114">
      <x:c r="A114" s="556"/>
      <x:c r="B114" s="556"/>
      <x:c r="C114" s="556"/>
      <x:c r="D114" s="556"/>
      <x:c r="E114" s="556"/>
    </x:row>
    <x:row r="115">
      <x:c r="A115" s="556"/>
      <x:c r="B115" s="556"/>
      <x:c r="C115" s="556"/>
      <x:c r="D115" s="556"/>
      <x:c r="E115" s="556"/>
    </x:row>
    <x:row r="116">
      <x:c r="A116" s="556"/>
      <x:c r="B116" s="556"/>
      <x:c r="C116" s="556"/>
      <x:c r="D116" s="556"/>
      <x:c r="E116" s="556"/>
    </x:row>
    <x:row r="117">
      <x:c r="A117" s="556"/>
      <x:c r="B117" s="556"/>
      <x:c r="C117" s="556"/>
      <x:c r="D117" s="556"/>
      <x:c r="E117" s="556"/>
    </x:row>
    <x:row r="118">
      <x:c r="A118" s="556"/>
      <x:c r="B118" s="556"/>
      <x:c r="C118" s="556"/>
      <x:c r="D118" s="556"/>
      <x:c r="E118" s="556"/>
    </x:row>
    <x:row r="119">
      <x:c r="A119" s="556"/>
      <x:c r="B119" s="556"/>
      <x:c r="C119" s="556"/>
      <x:c r="D119" s="556"/>
      <x:c r="E119" s="556"/>
    </x:row>
    <x:row r="120">
      <x:c r="A120" s="556"/>
      <x:c r="B120" s="556"/>
      <x:c r="C120" s="556"/>
      <x:c r="D120" s="556"/>
      <x:c r="E120" s="556"/>
    </x:row>
    <x:row r="121">
      <x:c r="A121" s="556"/>
      <x:c r="B121" s="556"/>
      <x:c r="C121" s="556"/>
      <x:c r="D121" s="556"/>
      <x:c r="E121" s="556"/>
    </x:row>
    <x:row r="122">
      <x:c r="A122" s="556"/>
      <x:c r="B122" s="556"/>
      <x:c r="C122" s="556"/>
      <x:c r="D122" s="556"/>
      <x:c r="E122" s="556"/>
    </x:row>
    <x:row r="123">
      <x:c r="A123" s="556"/>
      <x:c r="B123" s="556"/>
      <x:c r="C123" s="556"/>
      <x:c r="D123" s="556"/>
      <x:c r="E123" s="556"/>
    </x:row>
    <x:row r="124">
      <x:c r="A124" s="556"/>
      <x:c r="B124" s="556"/>
      <x:c r="C124" s="556"/>
      <x:c r="D124" s="556"/>
      <x:c r="E124" s="556"/>
    </x:row>
    <x:row r="125">
      <x:c r="A125" s="556"/>
      <x:c r="B125" s="556"/>
      <x:c r="C125" s="556"/>
      <x:c r="D125" s="556"/>
      <x:c r="E125" s="556"/>
    </x:row>
    <x:row r="126">
      <x:c r="A126" s="556"/>
      <x:c r="B126" s="556"/>
      <x:c r="C126" s="556"/>
      <x:c r="D126" s="556"/>
      <x:c r="E126" s="556"/>
    </x:row>
    <x:row r="127">
      <x:c r="A127" s="556"/>
      <x:c r="B127" s="556"/>
      <x:c r="C127" s="556"/>
      <x:c r="D127" s="556"/>
      <x:c r="E127" s="556"/>
    </x:row>
    <x:row r="128">
      <x:c r="A128" s="556"/>
      <x:c r="B128" s="556"/>
      <x:c r="C128" s="556"/>
      <x:c r="D128" s="556"/>
      <x:c r="E128" s="556"/>
    </x:row>
    <x:row r="129">
      <x:c r="A129" s="556"/>
      <x:c r="B129" s="556"/>
      <x:c r="C129" s="556"/>
      <x:c r="D129" s="556"/>
      <x:c r="E129" s="556"/>
    </x:row>
    <x:row r="130">
      <x:c r="A130" s="556"/>
      <x:c r="B130" s="556"/>
      <x:c r="C130" s="556"/>
      <x:c r="D130" s="556"/>
      <x:c r="E130" s="556"/>
    </x:row>
    <x:row r="131">
      <x:c r="A131" s="556"/>
      <x:c r="B131" s="556"/>
      <x:c r="C131" s="556"/>
      <x:c r="D131" s="556"/>
      <x:c r="E131" s="556"/>
    </x:row>
    <x:row r="132">
      <x:c r="A132" s="556"/>
      <x:c r="B132" s="556"/>
      <x:c r="C132" s="556"/>
      <x:c r="D132" s="556"/>
      <x:c r="E132" s="556"/>
    </x:row>
    <x:row r="133">
      <x:c r="A133" s="556"/>
      <x:c r="B133" s="556"/>
      <x:c r="C133" s="556"/>
      <x:c r="D133" s="556"/>
      <x:c r="E133" s="556"/>
    </x:row>
    <x:row r="134">
      <x:c r="A134" s="556"/>
      <x:c r="B134" s="556"/>
      <x:c r="C134" s="556"/>
      <x:c r="D134" s="556"/>
      <x:c r="E134" s="556"/>
    </x:row>
    <x:row r="135">
      <x:c r="A135" s="556"/>
      <x:c r="B135" s="556"/>
      <x:c r="C135" s="556"/>
      <x:c r="D135" s="556"/>
      <x:c r="E135" s="556"/>
    </x:row>
    <x:row r="136">
      <x:c r="A136" s="556"/>
      <x:c r="B136" s="556"/>
      <x:c r="C136" s="556"/>
      <x:c r="D136" s="556"/>
      <x:c r="E136" s="556"/>
    </x:row>
    <x:row r="137">
      <x:c r="A137" s="556"/>
      <x:c r="B137" s="556"/>
      <x:c r="C137" s="556"/>
      <x:c r="D137" s="556"/>
      <x:c r="E137" s="556"/>
    </x:row>
    <x:row r="138">
      <x:c r="A138" s="556"/>
      <x:c r="B138" s="556"/>
      <x:c r="C138" s="556"/>
      <x:c r="D138" s="556"/>
      <x:c r="E138" s="556"/>
    </x:row>
    <x:row r="139">
      <x:c r="A139" s="556"/>
      <x:c r="B139" s="556"/>
      <x:c r="C139" s="556"/>
      <x:c r="D139" s="556"/>
      <x:c r="E139" s="556"/>
    </x:row>
    <x:row r="140">
      <x:c r="A140" s="556"/>
      <x:c r="B140" s="556"/>
      <x:c r="C140" s="556"/>
      <x:c r="D140" s="556"/>
      <x:c r="E140" s="556"/>
    </x:row>
    <x:row r="141">
      <x:c r="A141" s="556"/>
      <x:c r="B141" s="556"/>
      <x:c r="C141" s="556"/>
      <x:c r="D141" s="556"/>
      <x:c r="E141" s="556"/>
    </x:row>
    <x:row r="142">
      <x:c r="A142" s="556"/>
      <x:c r="B142" s="556"/>
      <x:c r="C142" s="556"/>
      <x:c r="D142" s="556"/>
      <x:c r="E142" s="556"/>
    </x:row>
    <x:row r="143">
      <x:c r="A143" s="556"/>
      <x:c r="B143" s="556"/>
      <x:c r="C143" s="556"/>
      <x:c r="D143" s="556"/>
      <x:c r="E143" s="556"/>
    </x:row>
    <x:row r="144">
      <x:c r="A144" s="556"/>
      <x:c r="B144" s="556"/>
      <x:c r="C144" s="556"/>
      <x:c r="D144" s="556"/>
      <x:c r="E144" s="556"/>
    </x:row>
    <x:row r="145">
      <x:c r="A145" s="556"/>
      <x:c r="B145" s="556"/>
      <x:c r="C145" s="556"/>
      <x:c r="D145" s="556"/>
      <x:c r="E145" s="556"/>
    </x:row>
    <x:row r="146">
      <x:c r="A146" s="556"/>
      <x:c r="B146" s="556"/>
      <x:c r="C146" s="556"/>
      <x:c r="D146" s="556"/>
      <x:c r="E146" s="556"/>
    </x:row>
    <x:row r="147">
      <x:c r="A147" s="556"/>
      <x:c r="B147" s="556"/>
      <x:c r="C147" s="556"/>
      <x:c r="D147" s="556"/>
      <x:c r="E147" s="556"/>
    </x:row>
    <x:row r="148">
      <x:c r="A148" s="556"/>
      <x:c r="B148" s="556"/>
      <x:c r="C148" s="556"/>
      <x:c r="D148" s="556"/>
      <x:c r="E148" s="556"/>
    </x:row>
    <x:row r="149">
      <x:c r="A149" s="556"/>
      <x:c r="B149" s="556"/>
      <x:c r="C149" s="556"/>
      <x:c r="D149" s="556"/>
      <x:c r="E149" s="556"/>
    </x:row>
    <x:row r="150">
      <x:c r="A150" s="556"/>
      <x:c r="B150" s="556"/>
      <x:c r="C150" s="556"/>
      <x:c r="D150" s="556"/>
      <x:c r="E150" s="556"/>
    </x:row>
    <x:row r="151">
      <x:c r="A151" s="556"/>
      <x:c r="B151" s="556"/>
      <x:c r="C151" s="556"/>
      <x:c r="D151" s="556"/>
      <x:c r="E151" s="556"/>
    </x:row>
    <x:row r="152">
      <x:c r="A152" s="556"/>
      <x:c r="B152" s="556"/>
      <x:c r="C152" s="556"/>
      <x:c r="D152" s="556"/>
      <x:c r="E152" s="556"/>
    </x:row>
    <x:row r="153">
      <x:c r="A153" s="556"/>
      <x:c r="B153" s="556"/>
      <x:c r="C153" s="556"/>
      <x:c r="D153" s="556"/>
      <x:c r="E153" s="556"/>
    </x:row>
    <x:row r="154">
      <x:c r="A154" s="556"/>
      <x:c r="B154" s="556"/>
      <x:c r="C154" s="556"/>
      <x:c r="D154" s="556"/>
      <x:c r="E154" s="556"/>
    </x:row>
    <x:row r="155">
      <x:c r="A155" s="556"/>
      <x:c r="B155" s="556"/>
      <x:c r="C155" s="556"/>
      <x:c r="D155" s="556"/>
      <x:c r="E155" s="556"/>
    </x:row>
    <x:row r="156">
      <x:c r="A156" s="556"/>
      <x:c r="B156" s="556"/>
      <x:c r="C156" s="556"/>
      <x:c r="D156" s="556"/>
      <x:c r="E156" s="556"/>
    </x:row>
    <x:row r="157">
      <x:c r="A157" s="556"/>
      <x:c r="B157" s="556"/>
      <x:c r="C157" s="556"/>
      <x:c r="D157" s="556"/>
      <x:c r="E157" s="556"/>
    </x:row>
    <x:row r="158">
      <x:c r="A158" s="556"/>
      <x:c r="B158" s="556"/>
      <x:c r="C158" s="556"/>
      <x:c r="D158" s="556"/>
      <x:c r="E158" s="556"/>
    </x:row>
    <x:row r="159">
      <x:c r="A159" s="556"/>
      <x:c r="B159" s="556"/>
      <x:c r="C159" s="556"/>
      <x:c r="D159" s="556"/>
      <x:c r="E159" s="556"/>
    </x:row>
    <x:row r="160">
      <x:c r="A160" s="556"/>
      <x:c r="B160" s="556"/>
      <x:c r="C160" s="556"/>
      <x:c r="D160" s="556"/>
      <x:c r="E160" s="556"/>
    </x:row>
    <x:row r="161">
      <x:c r="A161" s="556"/>
      <x:c r="B161" s="556"/>
      <x:c r="C161" s="556"/>
      <x:c r="D161" s="556"/>
      <x:c r="E161" s="556"/>
    </x:row>
    <x:row r="162">
      <x:c r="A162" s="556"/>
      <x:c r="B162" s="556"/>
      <x:c r="C162" s="556"/>
      <x:c r="D162" s="556"/>
      <x:c r="E162" s="556"/>
    </x:row>
    <x:row r="163">
      <x:c r="A163" s="556"/>
      <x:c r="B163" s="556"/>
      <x:c r="C163" s="556"/>
      <x:c r="D163" s="556"/>
      <x:c r="E163" s="556"/>
    </x:row>
    <x:row r="164">
      <x:c r="A164" s="556"/>
      <x:c r="B164" s="556"/>
      <x:c r="C164" s="556"/>
      <x:c r="D164" s="556"/>
      <x:c r="E164" s="556"/>
    </x:row>
    <x:row r="165">
      <x:c r="A165" s="556"/>
      <x:c r="B165" s="556"/>
      <x:c r="C165" s="556"/>
      <x:c r="D165" s="556"/>
      <x:c r="E165" s="556"/>
    </x:row>
    <x:row r="166">
      <x:c r="A166" s="556"/>
      <x:c r="B166" s="556"/>
      <x:c r="C166" s="556"/>
      <x:c r="D166" s="556"/>
      <x:c r="E166" s="556"/>
    </x:row>
    <x:row r="167">
      <x:c r="A167" s="556"/>
      <x:c r="B167" s="556"/>
      <x:c r="C167" s="556"/>
      <x:c r="D167" s="556"/>
      <x:c r="E167" s="556"/>
    </x:row>
    <x:row r="168">
      <x:c r="A168" s="556"/>
      <x:c r="B168" s="556"/>
      <x:c r="C168" s="556"/>
      <x:c r="D168" s="556"/>
      <x:c r="E168" s="556"/>
    </x:row>
    <x:row r="169">
      <x:c r="A169" s="556"/>
      <x:c r="B169" s="556"/>
      <x:c r="C169" s="556"/>
      <x:c r="D169" s="556"/>
      <x:c r="E169" s="556"/>
    </x:row>
    <x:row r="170">
      <x:c r="A170" s="556"/>
      <x:c r="B170" s="556"/>
      <x:c r="C170" s="556"/>
      <x:c r="D170" s="556"/>
      <x:c r="E170" s="556"/>
    </x:row>
    <x:row r="171">
      <x:c r="A171" s="556"/>
      <x:c r="B171" s="556"/>
      <x:c r="C171" s="556"/>
      <x:c r="D171" s="556"/>
      <x:c r="E171" s="556"/>
    </x:row>
    <x:row r="172">
      <x:c r="A172" s="556"/>
      <x:c r="B172" s="556"/>
      <x:c r="C172" s="556"/>
      <x:c r="D172" s="556"/>
      <x:c r="E172" s="556"/>
    </x:row>
    <x:row r="173">
      <x:c r="A173" s="556"/>
      <x:c r="B173" s="556"/>
      <x:c r="C173" s="556"/>
      <x:c r="D173" s="556"/>
      <x:c r="E173" s="556"/>
    </x:row>
    <x:row r="174">
      <x:c r="A174" s="556"/>
      <x:c r="B174" s="556"/>
      <x:c r="C174" s="556"/>
      <x:c r="D174" s="556"/>
      <x:c r="E174" s="556"/>
    </x:row>
    <x:row r="175">
      <x:c r="A175" s="556"/>
      <x:c r="B175" s="556"/>
      <x:c r="C175" s="556"/>
      <x:c r="D175" s="556"/>
      <x:c r="E175" s="556"/>
    </x:row>
    <x:row r="176">
      <x:c r="A176" s="556"/>
      <x:c r="B176" s="556"/>
      <x:c r="C176" s="556"/>
      <x:c r="D176" s="556"/>
      <x:c r="E176" s="556"/>
    </x:row>
    <x:row r="177">
      <x:c r="A177" s="556"/>
      <x:c r="B177" s="556"/>
      <x:c r="C177" s="556"/>
      <x:c r="D177" s="556"/>
      <x:c r="E177" s="556"/>
    </x:row>
    <x:row r="178">
      <x:c r="A178" s="556"/>
      <x:c r="B178" s="556"/>
      <x:c r="C178" s="556"/>
      <x:c r="D178" s="556"/>
      <x:c r="E178" s="556"/>
    </x:row>
    <x:row r="179">
      <x:c r="A179" s="556"/>
      <x:c r="B179" s="556"/>
      <x:c r="C179" s="556"/>
      <x:c r="D179" s="556"/>
      <x:c r="E179" s="556"/>
    </x:row>
    <x:row r="180">
      <x:c r="A180" s="556"/>
      <x:c r="B180" s="556"/>
      <x:c r="C180" s="556"/>
      <x:c r="D180" s="556"/>
      <x:c r="E180" s="556"/>
    </x:row>
    <x:row r="181">
      <x:c r="A181" s="556"/>
      <x:c r="B181" s="556"/>
      <x:c r="C181" s="556"/>
      <x:c r="D181" s="556"/>
      <x:c r="E181" s="556"/>
    </x:row>
    <x:row r="182">
      <x:c r="A182" s="556"/>
      <x:c r="B182" s="556"/>
      <x:c r="C182" s="556"/>
      <x:c r="D182" s="556"/>
      <x:c r="E182" s="556"/>
    </x:row>
    <x:row r="183">
      <x:c r="A183" s="556"/>
      <x:c r="B183" s="556"/>
      <x:c r="C183" s="556"/>
      <x:c r="D183" s="556"/>
      <x:c r="E183" s="556"/>
    </x:row>
    <x:row r="184">
      <x:c r="A184" s="556"/>
      <x:c r="B184" s="556"/>
      <x:c r="C184" s="556"/>
      <x:c r="D184" s="556"/>
      <x:c r="E184" s="556"/>
    </x:row>
    <x:row r="185">
      <x:c r="A185" s="556"/>
      <x:c r="B185" s="556"/>
      <x:c r="C185" s="556"/>
      <x:c r="D185" s="556"/>
      <x:c r="E185" s="556"/>
    </x:row>
    <x:row r="186">
      <x:c r="A186" s="556"/>
      <x:c r="B186" s="556"/>
      <x:c r="C186" s="556"/>
      <x:c r="D186" s="556"/>
      <x:c r="E186" s="556"/>
    </x:row>
    <x:row r="187">
      <x:c r="A187" s="556"/>
      <x:c r="B187" s="556"/>
      <x:c r="C187" s="556"/>
      <x:c r="D187" s="556"/>
      <x:c r="E187" s="556"/>
    </x:row>
    <x:row r="188">
      <x:c r="A188" s="556"/>
      <x:c r="B188" s="556"/>
      <x:c r="C188" s="556"/>
      <x:c r="D188" s="556"/>
      <x:c r="E188" s="556"/>
    </x:row>
    <x:row r="189">
      <x:c r="A189" s="556"/>
      <x:c r="B189" s="556"/>
      <x:c r="C189" s="556"/>
      <x:c r="D189" s="556"/>
      <x:c r="E189" s="556"/>
    </x:row>
    <x:row r="190">
      <x:c r="A190" s="556"/>
      <x:c r="B190" s="556"/>
      <x:c r="C190" s="556"/>
      <x:c r="D190" s="556"/>
      <x:c r="E190" s="556"/>
    </x:row>
    <x:row r="191">
      <x:c r="A191" s="556"/>
      <x:c r="B191" s="556"/>
      <x:c r="C191" s="556"/>
      <x:c r="D191" s="556"/>
      <x:c r="E191" s="556"/>
    </x:row>
    <x:row r="192">
      <x:c r="A192" s="556"/>
      <x:c r="B192" s="556"/>
      <x:c r="C192" s="556"/>
      <x:c r="D192" s="556"/>
      <x:c r="E192" s="556"/>
    </x:row>
    <x:row r="193">
      <x:c r="A193" s="556"/>
      <x:c r="B193" s="556"/>
      <x:c r="C193" s="556"/>
      <x:c r="D193" s="556"/>
      <x:c r="E193" s="556"/>
    </x:row>
    <x:row r="194">
      <x:c r="A194" s="556"/>
      <x:c r="B194" s="556"/>
      <x:c r="C194" s="556"/>
      <x:c r="D194" s="556"/>
      <x:c r="E194" s="556"/>
    </x:row>
    <x:row r="195">
      <x:c r="A195" s="556"/>
      <x:c r="B195" s="556"/>
      <x:c r="C195" s="556"/>
      <x:c r="D195" s="556"/>
      <x:c r="E195" s="556"/>
    </x:row>
    <x:row r="196">
      <x:c r="A196" s="556"/>
      <x:c r="B196" s="556"/>
      <x:c r="C196" s="556"/>
      <x:c r="D196" s="556"/>
      <x:c r="E196" s="556"/>
    </x:row>
    <x:row r="197">
      <x:c r="A197" s="556"/>
      <x:c r="B197" s="556"/>
      <x:c r="C197" s="556"/>
      <x:c r="D197" s="556"/>
      <x:c r="E197" s="556"/>
    </x:row>
    <x:row r="198">
      <x:c r="A198" s="556"/>
      <x:c r="B198" s="556"/>
      <x:c r="C198" s="556"/>
      <x:c r="D198" s="556"/>
      <x:c r="E198" s="556"/>
    </x:row>
    <x:row r="199">
      <x:c r="A199" s="556"/>
      <x:c r="B199" s="556"/>
      <x:c r="C199" s="556"/>
      <x:c r="D199" s="556"/>
      <x:c r="E199" s="556"/>
    </x:row>
    <x:row r="200">
      <x:c r="A200" s="556"/>
      <x:c r="B200" s="556"/>
      <x:c r="C200" s="556"/>
      <x:c r="D200" s="556"/>
      <x:c r="E200" s="556"/>
    </x:row>
    <x:row r="201">
      <x:c r="A201" s="556"/>
      <x:c r="B201" s="556"/>
      <x:c r="C201" s="556"/>
      <x:c r="D201" s="556"/>
      <x:c r="E201" s="556"/>
    </x:row>
    <x:row r="202">
      <x:c r="A202" s="556"/>
      <x:c r="B202" s="556"/>
      <x:c r="C202" s="556"/>
      <x:c r="D202" s="556"/>
      <x:c r="E202" s="556"/>
    </x:row>
    <x:row r="203">
      <x:c r="A203" s="556"/>
      <x:c r="B203" s="556"/>
      <x:c r="C203" s="556"/>
      <x:c r="D203" s="556"/>
      <x:c r="E203" s="556"/>
    </x:row>
    <x:row r="204">
      <x:c r="A204" s="556"/>
      <x:c r="B204" s="556"/>
      <x:c r="C204" s="556"/>
      <x:c r="D204" s="556"/>
      <x:c r="E204" s="556"/>
    </x:row>
    <x:row r="205">
      <x:c r="A205" s="556"/>
      <x:c r="B205" s="556"/>
      <x:c r="C205" s="556"/>
      <x:c r="D205" s="556"/>
      <x:c r="E205" s="556"/>
    </x:row>
    <x:row r="206">
      <x:c r="A206" s="556"/>
      <x:c r="B206" s="556"/>
      <x:c r="C206" s="556"/>
      <x:c r="D206" s="556"/>
      <x:c r="E206" s="556"/>
    </x:row>
    <x:row r="207">
      <x:c r="A207" s="556"/>
      <x:c r="B207" s="556"/>
      <x:c r="C207" s="556"/>
      <x:c r="D207" s="556"/>
      <x:c r="E207" s="556"/>
    </x:row>
    <x:row r="208">
      <x:c r="A208" s="556"/>
      <x:c r="B208" s="556"/>
      <x:c r="C208" s="556"/>
      <x:c r="D208" s="556"/>
      <x:c r="E208" s="556"/>
    </x:row>
    <x:row r="209">
      <x:c r="A209" s="556"/>
      <x:c r="B209" s="556"/>
      <x:c r="C209" s="556"/>
      <x:c r="D209" s="556"/>
      <x:c r="E209" s="556"/>
    </x:row>
    <x:row r="210">
      <x:c r="A210" s="556"/>
      <x:c r="B210" s="556"/>
      <x:c r="C210" s="556"/>
      <x:c r="D210" s="556"/>
      <x:c r="E210" s="556"/>
    </x:row>
    <x:row r="211">
      <x:c r="A211" s="556"/>
      <x:c r="B211" s="556"/>
      <x:c r="C211" s="556"/>
      <x:c r="D211" s="556"/>
      <x:c r="E211" s="556"/>
    </x:row>
    <x:row r="212">
      <x:c r="A212" s="556"/>
      <x:c r="B212" s="556"/>
      <x:c r="C212" s="556"/>
      <x:c r="D212" s="556"/>
      <x:c r="E212" s="556"/>
    </x:row>
    <x:row r="213">
      <x:c r="A213" s="556"/>
      <x:c r="B213" s="556"/>
      <x:c r="C213" s="556"/>
      <x:c r="D213" s="556"/>
      <x:c r="E213" s="556"/>
    </x:row>
    <x:row r="214">
      <x:c r="A214" s="556"/>
      <x:c r="B214" s="556"/>
      <x:c r="C214" s="556"/>
      <x:c r="D214" s="556"/>
      <x:c r="E214" s="556"/>
    </x:row>
    <x:row r="215">
      <x:c r="A215" s="556"/>
      <x:c r="B215" s="556"/>
      <x:c r="C215" s="556"/>
      <x:c r="D215" s="556"/>
      <x:c r="E215" s="556"/>
    </x:row>
    <x:row r="216">
      <x:c r="A216" s="556"/>
      <x:c r="B216" s="556"/>
      <x:c r="C216" s="556"/>
      <x:c r="D216" s="556"/>
      <x:c r="E216" s="556"/>
    </x:row>
    <x:row r="217">
      <x:c r="A217" s="556"/>
      <x:c r="B217" s="556"/>
      <x:c r="C217" s="556"/>
      <x:c r="D217" s="556"/>
      <x:c r="E217" s="556"/>
    </x:row>
    <x:row r="218">
      <x:c r="A218" s="556"/>
      <x:c r="B218" s="556"/>
      <x:c r="C218" s="556"/>
      <x:c r="D218" s="556"/>
      <x:c r="E218" s="556"/>
    </x:row>
    <x:row r="219">
      <x:c r="A219" s="556"/>
      <x:c r="B219" s="556"/>
      <x:c r="C219" s="556"/>
      <x:c r="D219" s="556"/>
      <x:c r="E219" s="556"/>
    </x:row>
    <x:row r="220">
      <x:c r="A220" s="556"/>
      <x:c r="B220" s="556"/>
      <x:c r="C220" s="556"/>
      <x:c r="D220" s="556"/>
      <x:c r="E220" s="556"/>
    </x:row>
  </x:sheetData>
  <x:mergeCells>
    <x:mergeCell ref="A3:E3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32" hidden="0" customWidth="1"/>
    <x:col min="7" max="7" width="40" hidden="0" customWidth="1"/>
    <x:col min="8" max="8" width="18" hidden="0" customWidth="1"/>
    <x:col min="9" max="9" width="48" hidden="0" customWidth="1"/>
    <x:col min="10" max="10" width="32" hidden="0" customWidth="1"/>
  </x:cols>
  <x:sheetData>
    <x:row r="1">
      <x:c r="A1" s="559" t="str">
        <x:v>🌾 Gluten-Free Restaurants</x:v>
      </x:c>
      <x:c r="B1" s="559"/>
      <x:c r="C1" s="559"/>
      <x:c r="D1" s="559"/>
      <x:c r="E1" s="559"/>
      <x:c r="F1" s="559"/>
      <x:c r="G1" s="559"/>
      <x:c r="H1" s="559"/>
      <x:c r="I1" s="559"/>
      <x:c r="J1" s="559"/>
    </x:row>
    <x:row r="2">
      <x:c r="A2" s="559"/>
      <x:c r="B2" s="559"/>
      <x:c r="C2" s="559"/>
      <x:c r="D2" s="559"/>
      <x:c r="E2" s="559"/>
      <x:c r="F2" s="559"/>
      <x:c r="G2" s="559"/>
      <x:c r="H2" s="559"/>
      <x:c r="I2" s="559"/>
      <x:c r="J2" s="559"/>
    </x:row>
    <x:row r="3">
      <x:c r="A3" s="560" t="str">
        <x:v>Use GF Confidence values: Likely, Ask first, or Avoid. Reconfirm menus and preparation directly.</x:v>
      </x:c>
      <x:c r="B3" s="560"/>
      <x:c r="C3" s="560"/>
      <x:c r="D3" s="560"/>
      <x:c r="E3" s="560"/>
      <x:c r="F3" s="560"/>
      <x:c r="G3" s="560"/>
      <x:c r="H3" s="560"/>
      <x:c r="I3" s="560"/>
      <x:c r="J3" s="560"/>
    </x:row>
    <x:row r="4">
      <x:c r="A4" s="556"/>
      <x:c r="B4" s="556"/>
      <x:c r="C4" s="556"/>
      <x:c r="D4" s="556"/>
      <x:c r="E4" s="556"/>
      <x:c r="F4" s="556"/>
      <x:c r="G4" s="556"/>
      <x:c r="H4" s="556"/>
      <x:c r="I4" s="556"/>
      <x:c r="J4" s="556"/>
    </x:row>
    <x:row r="5">
      <x:c r="A5" s="563" t="str">
        <x:v>Name</x:v>
      </x:c>
      <x:c r="B5" s="563" t="str">
        <x:v>City</x:v>
      </x:c>
      <x:c r="C5" s="563" t="str">
        <x:v>Area / Station</x:v>
      </x:c>
      <x:c r="D5" s="563" t="str">
        <x:v>Cuisine</x:v>
      </x:c>
      <x:c r="E5" s="563" t="str">
        <x:v>GF Confidence</x:v>
      </x:c>
      <x:c r="F5" s="563" t="str">
        <x:v>What to Order</x:v>
      </x:c>
      <x:c r="G5" s="563" t="str">
        <x:v>Cross-Contact Notes</x:v>
      </x:c>
      <x:c r="H5" s="563" t="str">
        <x:v>Reservation</x:v>
      </x:c>
      <x:c r="I5" s="563" t="str">
        <x:v>Google Maps Link</x:v>
      </x:c>
      <x:c r="J5" s="563" t="str">
        <x:v>Source / Confirmed Date</x:v>
      </x:c>
    </x:row>
    <x:row r="6">
      <x:c r="A6" s="564" t="str">
        <x:v>Example — replace me</x:v>
      </x:c>
      <x:c r="B6" s="564" t="str">
        <x:v>Tokyo</x:v>
      </x:c>
      <x:c r="C6" s="564" t="str">
        <x:v>Akasaka</x:v>
      </x:c>
      <x:c r="D6" s="564" t="str">
        <x:v>Japanese</x:v>
      </x:c>
      <x:c r="E6" s="564" t="str">
        <x:v>Ask first</x:v>
      </x:c>
      <x:c r="F6" s="564" t="str">
        <x:v>Confirm directly</x:v>
      </x:c>
      <x:c r="G6" s="564" t="str">
        <x:v>Shared kitchen; verify preparation</x:v>
      </x:c>
      <x:c r="H6" s="564" t="str">
        <x:v>Recommended</x:v>
      </x:c>
      <x:c r="I6" s="564" t="str"/>
      <x:c r="J6" s="564" t="str"/>
    </x:row>
    <x:row r="7">
      <x:c r="A7" s="556"/>
      <x:c r="B7" s="556"/>
      <x:c r="C7" s="556"/>
      <x:c r="D7" s="556"/>
      <x:c r="E7" s="556"/>
      <x:c r="F7" s="556"/>
      <x:c r="G7" s="556"/>
      <x:c r="H7" s="556"/>
      <x:c r="I7" s="556"/>
      <x:c r="J7" s="556"/>
    </x:row>
    <x:row r="8">
      <x:c r="A8" s="556"/>
      <x:c r="B8" s="556"/>
      <x:c r="C8" s="556"/>
      <x:c r="D8" s="556"/>
      <x:c r="E8" s="556"/>
      <x:c r="F8" s="556"/>
      <x:c r="G8" s="556"/>
      <x:c r="H8" s="556"/>
      <x:c r="I8" s="556"/>
      <x:c r="J8" s="556"/>
    </x:row>
    <x:row r="9">
      <x:c r="A9" s="556"/>
      <x:c r="B9" s="556"/>
      <x:c r="C9" s="556"/>
      <x:c r="D9" s="556"/>
      <x:c r="E9" s="556"/>
      <x:c r="F9" s="556"/>
      <x:c r="G9" s="556"/>
      <x:c r="H9" s="556"/>
      <x:c r="I9" s="556"/>
      <x:c r="J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  <x:c r="I10" s="556"/>
      <x:c r="J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  <x:c r="I11" s="556"/>
      <x:c r="J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  <x:c r="I12" s="556"/>
      <x:c r="J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  <x:c r="I13" s="556"/>
      <x:c r="J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  <x:c r="I14" s="556"/>
      <x:c r="J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  <x:c r="I15" s="556"/>
      <x:c r="J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  <x:c r="I16" s="556"/>
      <x:c r="J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  <x:c r="I17" s="556"/>
      <x:c r="J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  <x:c r="I18" s="556"/>
      <x:c r="J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  <x:c r="I19" s="556"/>
      <x:c r="J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  <x:c r="I20" s="556"/>
      <x:c r="J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  <x:c r="I21" s="556"/>
      <x:c r="J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  <x:c r="I22" s="556"/>
      <x:c r="J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  <x:c r="I23" s="556"/>
      <x:c r="J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  <x:c r="I24" s="556"/>
      <x:c r="J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  <x:c r="I25" s="556"/>
      <x:c r="J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  <x:c r="I26" s="556"/>
      <x:c r="J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  <x:c r="I27" s="556"/>
      <x:c r="J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  <x:c r="I28" s="556"/>
      <x:c r="J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  <x:c r="I29" s="556"/>
      <x:c r="J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  <x:c r="I30" s="556"/>
      <x:c r="J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  <x:c r="I31" s="556"/>
      <x:c r="J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  <x:c r="I32" s="556"/>
      <x:c r="J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  <x:c r="I33" s="556"/>
      <x:c r="J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  <x:c r="I34" s="556"/>
      <x:c r="J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  <x:c r="I35" s="556"/>
      <x:c r="J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  <x:c r="I36" s="556"/>
      <x:c r="J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  <x:c r="I37" s="556"/>
      <x:c r="J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  <x:c r="I38" s="556"/>
      <x:c r="J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  <x:c r="I39" s="556"/>
      <x:c r="J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  <x:c r="I40" s="556"/>
      <x:c r="J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  <x:c r="I41" s="556"/>
      <x:c r="J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  <x:c r="I42" s="556"/>
      <x:c r="J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  <x:c r="I43" s="556"/>
      <x:c r="J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  <x:c r="I44" s="556"/>
      <x:c r="J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  <x:c r="I45" s="556"/>
      <x:c r="J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  <x:c r="I46" s="556"/>
      <x:c r="J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  <x:c r="I47" s="556"/>
      <x:c r="J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  <x:c r="I48" s="556"/>
      <x:c r="J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  <x:c r="I49" s="556"/>
      <x:c r="J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  <x:c r="I50" s="556"/>
      <x:c r="J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  <x:c r="I51" s="556"/>
      <x:c r="J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  <x:c r="I52" s="556"/>
      <x:c r="J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  <x:c r="I53" s="556"/>
      <x:c r="J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  <x:c r="I54" s="556"/>
      <x:c r="J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  <x:c r="I55" s="556"/>
      <x:c r="J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  <x:c r="I56" s="556"/>
      <x:c r="J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  <x:c r="I57" s="556"/>
      <x:c r="J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  <x:c r="I58" s="556"/>
      <x:c r="J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  <x:c r="I59" s="556"/>
      <x:c r="J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  <x:c r="I60" s="556"/>
      <x:c r="J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  <x:c r="I61" s="556"/>
      <x:c r="J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  <x:c r="I62" s="556"/>
      <x:c r="J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  <x:c r="I63" s="556"/>
      <x:c r="J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  <x:c r="I64" s="556"/>
      <x:c r="J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  <x:c r="I65" s="556"/>
      <x:c r="J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  <x:c r="I66" s="556"/>
      <x:c r="J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  <x:c r="I67" s="556"/>
      <x:c r="J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  <x:c r="I68" s="556"/>
      <x:c r="J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  <x:c r="I69" s="556"/>
      <x:c r="J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  <x:c r="I70" s="556"/>
      <x:c r="J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  <x:c r="I71" s="556"/>
      <x:c r="J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  <x:c r="I72" s="556"/>
      <x:c r="J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  <x:c r="I73" s="556"/>
      <x:c r="J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  <x:c r="I74" s="556"/>
      <x:c r="J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  <x:c r="I75" s="556"/>
      <x:c r="J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  <x:c r="I76" s="556"/>
      <x:c r="J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  <x:c r="I77" s="556"/>
      <x:c r="J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  <x:c r="I78" s="556"/>
      <x:c r="J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  <x:c r="I79" s="556"/>
      <x:c r="J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  <x:c r="I80" s="556"/>
      <x:c r="J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  <x:c r="I81" s="556"/>
      <x:c r="J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  <x:c r="I82" s="556"/>
      <x:c r="J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  <x:c r="I83" s="556"/>
      <x:c r="J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  <x:c r="I84" s="556"/>
      <x:c r="J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  <x:c r="I85" s="556"/>
      <x:c r="J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  <x:c r="I86" s="556"/>
      <x:c r="J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  <x:c r="I87" s="556"/>
      <x:c r="J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  <x:c r="I88" s="556"/>
      <x:c r="J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  <x:c r="I89" s="556"/>
      <x:c r="J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  <x:c r="I90" s="556"/>
      <x:c r="J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  <x:c r="I91" s="556"/>
      <x:c r="J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  <x:c r="I92" s="556"/>
      <x:c r="J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  <x:c r="I93" s="556"/>
      <x:c r="J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  <x:c r="I94" s="556"/>
      <x:c r="J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  <x:c r="I95" s="556"/>
      <x:c r="J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  <x:c r="I96" s="556"/>
      <x:c r="J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  <x:c r="I97" s="556"/>
      <x:c r="J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  <x:c r="I98" s="556"/>
      <x:c r="J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  <x:c r="I99" s="556"/>
      <x:c r="J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  <x:c r="I100" s="556"/>
      <x:c r="J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  <x:c r="I101" s="556"/>
      <x:c r="J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  <x:c r="I102" s="556"/>
      <x:c r="J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  <x:c r="I103" s="556"/>
      <x:c r="J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  <x:c r="I104" s="556"/>
      <x:c r="J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  <x:c r="I105" s="556"/>
      <x:c r="J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  <x:c r="I106" s="556"/>
      <x:c r="J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  <x:c r="I107" s="556"/>
      <x:c r="J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  <x:c r="I108" s="556"/>
      <x:c r="J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  <x:c r="I109" s="556"/>
      <x:c r="J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  <x:c r="I110" s="556"/>
      <x:c r="J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  <x:c r="I111" s="556"/>
      <x:c r="J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  <x:c r="I112" s="556"/>
      <x:c r="J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  <x:c r="I113" s="556"/>
      <x:c r="J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  <x:c r="I114" s="556"/>
      <x:c r="J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  <x:c r="I115" s="556"/>
      <x:c r="J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  <x:c r="I116" s="556"/>
      <x:c r="J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  <x:c r="I117" s="556"/>
      <x:c r="J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  <x:c r="I118" s="556"/>
      <x:c r="J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  <x:c r="I119" s="556"/>
      <x:c r="J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  <x:c r="I120" s="556"/>
      <x:c r="J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  <x:c r="I121" s="556"/>
      <x:c r="J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  <x:c r="I122" s="556"/>
      <x:c r="J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  <x:c r="I123" s="556"/>
      <x:c r="J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  <x:c r="I124" s="556"/>
      <x:c r="J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  <x:c r="I125" s="556"/>
      <x:c r="J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  <x:c r="I126" s="556"/>
      <x:c r="J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  <x:c r="I127" s="556"/>
      <x:c r="J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  <x:c r="I128" s="556"/>
      <x:c r="J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  <x:c r="I129" s="556"/>
      <x:c r="J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  <x:c r="I130" s="556"/>
      <x:c r="J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  <x:c r="I131" s="556"/>
      <x:c r="J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  <x:c r="I132" s="556"/>
      <x:c r="J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  <x:c r="I133" s="556"/>
      <x:c r="J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  <x:c r="I134" s="556"/>
      <x:c r="J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  <x:c r="I135" s="556"/>
      <x:c r="J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  <x:c r="I136" s="556"/>
      <x:c r="J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  <x:c r="I137" s="556"/>
      <x:c r="J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  <x:c r="I138" s="556"/>
      <x:c r="J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  <x:c r="I139" s="556"/>
      <x:c r="J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  <x:c r="I140" s="556"/>
      <x:c r="J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  <x:c r="I141" s="556"/>
      <x:c r="J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  <x:c r="I142" s="556"/>
      <x:c r="J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  <x:c r="I143" s="556"/>
      <x:c r="J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  <x:c r="I144" s="556"/>
      <x:c r="J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  <x:c r="I145" s="556"/>
      <x:c r="J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  <x:c r="I146" s="556"/>
      <x:c r="J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  <x:c r="I147" s="556"/>
      <x:c r="J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  <x:c r="I148" s="556"/>
      <x:c r="J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  <x:c r="I149" s="556"/>
      <x:c r="J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  <x:c r="I150" s="556"/>
      <x:c r="J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  <x:c r="I151" s="556"/>
      <x:c r="J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  <x:c r="I152" s="556"/>
      <x:c r="J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  <x:c r="I153" s="556"/>
      <x:c r="J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  <x:c r="I154" s="556"/>
      <x:c r="J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  <x:c r="I155" s="556"/>
      <x:c r="J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  <x:c r="I156" s="556"/>
      <x:c r="J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  <x:c r="I157" s="556"/>
      <x:c r="J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  <x:c r="I158" s="556"/>
      <x:c r="J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  <x:c r="I159" s="556"/>
      <x:c r="J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  <x:c r="I160" s="556"/>
      <x:c r="J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  <x:c r="I161" s="556"/>
      <x:c r="J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  <x:c r="I162" s="556"/>
      <x:c r="J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  <x:c r="I163" s="556"/>
      <x:c r="J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  <x:c r="I164" s="556"/>
      <x:c r="J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  <x:c r="I165" s="556"/>
      <x:c r="J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  <x:c r="I166" s="556"/>
      <x:c r="J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  <x:c r="I167" s="556"/>
      <x:c r="J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  <x:c r="I168" s="556"/>
      <x:c r="J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  <x:c r="I169" s="556"/>
      <x:c r="J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  <x:c r="I170" s="556"/>
      <x:c r="J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  <x:c r="I171" s="556"/>
      <x:c r="J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  <x:c r="I172" s="556"/>
      <x:c r="J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  <x:c r="I173" s="556"/>
      <x:c r="J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  <x:c r="I174" s="556"/>
      <x:c r="J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  <x:c r="I175" s="556"/>
      <x:c r="J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  <x:c r="I176" s="556"/>
      <x:c r="J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  <x:c r="I177" s="556"/>
      <x:c r="J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  <x:c r="I178" s="556"/>
      <x:c r="J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  <x:c r="I179" s="556"/>
      <x:c r="J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  <x:c r="I180" s="556"/>
      <x:c r="J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  <x:c r="I181" s="556"/>
      <x:c r="J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  <x:c r="I182" s="556"/>
      <x:c r="J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  <x:c r="I183" s="556"/>
      <x:c r="J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  <x:c r="I184" s="556"/>
      <x:c r="J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  <x:c r="I185" s="556"/>
      <x:c r="J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  <x:c r="I186" s="556"/>
      <x:c r="J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  <x:c r="I187" s="556"/>
      <x:c r="J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  <x:c r="I188" s="556"/>
      <x:c r="J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  <x:c r="I189" s="556"/>
      <x:c r="J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  <x:c r="I190" s="556"/>
      <x:c r="J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  <x:c r="I191" s="556"/>
      <x:c r="J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  <x:c r="I192" s="556"/>
      <x:c r="J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  <x:c r="I193" s="556"/>
      <x:c r="J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  <x:c r="I194" s="556"/>
      <x:c r="J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  <x:c r="I195" s="556"/>
      <x:c r="J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  <x:c r="I196" s="556"/>
      <x:c r="J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  <x:c r="I197" s="556"/>
      <x:c r="J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  <x:c r="I198" s="556"/>
      <x:c r="J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  <x:c r="I199" s="556"/>
      <x:c r="J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  <x:c r="I200" s="556"/>
      <x:c r="J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  <x:c r="I201" s="556"/>
      <x:c r="J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  <x:c r="I202" s="556"/>
      <x:c r="J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  <x:c r="I203" s="556"/>
      <x:c r="J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  <x:c r="I204" s="556"/>
      <x:c r="J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  <x:c r="I205" s="556"/>
      <x:c r="J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  <x:c r="I206" s="556"/>
      <x:c r="J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  <x:c r="I207" s="556"/>
      <x:c r="J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  <x:c r="I208" s="556"/>
      <x:c r="J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  <x:c r="I209" s="556"/>
      <x:c r="J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  <x:c r="I210" s="556"/>
      <x:c r="J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  <x:c r="I211" s="556"/>
      <x:c r="J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  <x:c r="I212" s="556"/>
      <x:c r="J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  <x:c r="I213" s="556"/>
      <x:c r="J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  <x:c r="I214" s="556"/>
      <x:c r="J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  <x:c r="I215" s="556"/>
      <x:c r="J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  <x:c r="I216" s="556"/>
      <x:c r="J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  <x:c r="I217" s="556"/>
      <x:c r="J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  <x:c r="I218" s="556"/>
      <x:c r="J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  <x:c r="I219" s="556"/>
      <x:c r="J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  <x:c r="I220" s="556"/>
      <x:c r="J220" s="556"/>
    </x:row>
  </x:sheetData>
  <x:mergeCells>
    <x:mergeCell ref="A3:J3"/>
  </x:mergeCells>
  <x:dataValidations count="1">
    <x:dataValidation type="list" sqref="E6:E220">
      <x:formula1>"Likely,Ask first,Avoid"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8" hidden="0" customWidth="1"/>
    <x:col min="5" max="5" width="48" hidden="0" customWidth="1"/>
    <x:col min="6" max="6" width="42" hidden="0" customWidth="1"/>
    <x:col min="7" max="7" width="18" hidden="0" customWidth="1"/>
    <x:col min="8" max="8" width="42" hidden="0" customWidth="1"/>
  </x:cols>
  <x:sheetData>
    <x:row r="1">
      <x:c r="A1" s="559" t="str">
        <x:v>🏪 Gluten-Free Konbini Guide</x:v>
      </x:c>
      <x:c r="B1" s="559"/>
      <x:c r="C1" s="559"/>
      <x:c r="D1" s="559"/>
      <x:c r="E1" s="559"/>
      <x:c r="F1" s="559"/>
      <x:c r="G1" s="559"/>
      <x:c r="H1" s="559"/>
    </x:row>
    <x:row r="2">
      <x:c r="A2" s="559"/>
      <x:c r="B2" s="559"/>
      <x:c r="C2" s="559"/>
      <x:c r="D2" s="559"/>
      <x:c r="E2" s="559"/>
      <x:c r="F2" s="559"/>
      <x:c r="G2" s="559"/>
      <x:c r="H2" s="559"/>
    </x:row>
    <x:row r="3">
      <x:c r="A3" s="560" t="str">
        <x:v>Do not treat generic product categories as automatically gluten-free. Record exact products and re-check labels.</x:v>
      </x:c>
      <x:c r="B3" s="560"/>
      <x:c r="C3" s="560"/>
      <x:c r="D3" s="560"/>
      <x:c r="E3" s="560"/>
      <x:c r="F3" s="560"/>
      <x:c r="G3" s="560"/>
      <x:c r="H3" s="560"/>
    </x:row>
    <x:row r="4">
      <x:c r="A4" s="556"/>
      <x:c r="B4" s="556"/>
      <x:c r="C4" s="556"/>
      <x:c r="D4" s="556"/>
      <x:c r="E4" s="556"/>
      <x:c r="F4" s="556"/>
      <x:c r="G4" s="556"/>
      <x:c r="H4" s="556"/>
    </x:row>
    <x:row r="5">
      <x:c r="A5" s="563" t="str">
        <x:v>Store</x:v>
      </x:c>
      <x:c r="B5" s="563" t="str">
        <x:v>Item</x:v>
      </x:c>
      <x:c r="C5" s="563" t="str">
        <x:v>Category</x:v>
      </x:c>
      <x:c r="D5" s="563" t="str">
        <x:v>GF Confidence</x:v>
      </x:c>
      <x:c r="E5" s="563" t="str">
        <x:v>Label / Ingredient Notes</x:v>
      </x:c>
      <x:c r="F5" s="563" t="str">
        <x:v>Cross-Contact Warning</x:v>
      </x:c>
      <x:c r="G5" s="563" t="str">
        <x:v>Last Checked</x:v>
      </x:c>
      <x:c r="H5" s="563" t="str">
        <x:v>Source</x:v>
      </x:c>
    </x:row>
    <x:row r="6">
      <x:c r="A6" s="564" t="str">
        <x:v>Example — replace me</x:v>
      </x:c>
      <x:c r="B6" s="564" t="str">
        <x:v>Plain packaged item</x:v>
      </x:c>
      <x:c r="C6" s="564" t="str">
        <x:v>Snack</x:v>
      </x:c>
      <x:c r="D6" s="564" t="str">
        <x:v>Ask first</x:v>
      </x:c>
      <x:c r="E6" s="564" t="str">
        <x:v>Check current package label</x:v>
      </x:c>
      <x:c r="F6" s="564" t="str">
        <x:v>Ingredients can change</x:v>
      </x:c>
      <x:c r="G6" s="564" t="str"/>
      <x:c r="H6" s="564" t="str"/>
    </x:row>
    <x:row r="7">
      <x:c r="A7" s="556"/>
      <x:c r="B7" s="556"/>
      <x:c r="C7" s="556"/>
      <x:c r="D7" s="556"/>
      <x:c r="E7" s="556"/>
      <x:c r="F7" s="556"/>
      <x:c r="G7" s="556"/>
      <x:c r="H7" s="556"/>
    </x:row>
    <x:row r="8">
      <x:c r="A8" s="556"/>
      <x:c r="B8" s="556"/>
      <x:c r="C8" s="556"/>
      <x:c r="D8" s="556"/>
      <x:c r="E8" s="556"/>
      <x:c r="F8" s="556"/>
      <x:c r="G8" s="556"/>
      <x:c r="H8" s="556"/>
    </x:row>
    <x:row r="9">
      <x:c r="A9" s="556"/>
      <x:c r="B9" s="556"/>
      <x:c r="C9" s="556"/>
      <x:c r="D9" s="556"/>
      <x:c r="E9" s="556"/>
      <x:c r="F9" s="556"/>
      <x:c r="G9" s="556"/>
      <x:c r="H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</x:row>
  </x:sheetData>
  <x:mergeCells>
    <x:mergeCell ref="A3:H3"/>
  </x:mergeCells>
  <x:dataValidations count="1">
    <x:dataValidation type="list" sqref="D6:D220">
      <x:formula1>"Likely,Ask first,Avoid"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46" hidden="0" customWidth="1"/>
    <x:col min="6" max="6" width="46" hidden="0" customWidth="1"/>
    <x:col min="7" max="7" width="18" hidden="0" customWidth="1"/>
    <x:col min="8" max="8" width="46" hidden="0" customWidth="1"/>
    <x:col min="9" max="9" width="20" hidden="0" customWidth="1"/>
  </x:cols>
  <x:sheetData>
    <x:row r="1">
      <x:c r="A1" s="559" t="str">
        <x:v>♨ Hakone Gluten-Free Ryokan Tracker</x:v>
      </x:c>
      <x:c r="B1" s="559"/>
      <x:c r="C1" s="559"/>
      <x:c r="D1" s="559"/>
      <x:c r="E1" s="559"/>
      <x:c r="F1" s="559"/>
      <x:c r="G1" s="559"/>
      <x:c r="H1" s="559"/>
      <x:c r="I1" s="559"/>
    </x:row>
    <x:row r="2">
      <x:c r="A2" s="559"/>
      <x:c r="B2" s="559"/>
      <x:c r="C2" s="559"/>
      <x:c r="D2" s="559"/>
      <x:c r="E2" s="559"/>
      <x:c r="F2" s="559"/>
      <x:c r="G2" s="559"/>
      <x:c r="H2" s="559"/>
      <x:c r="I2" s="559"/>
    </x:row>
    <x:row r="3">
      <x:c r="A3" s="560" t="str">
        <x:v>Record the property’s direct written response before booking. “Ask first” does not mean confirmed gluten-free.</x:v>
      </x:c>
      <x:c r="B3" s="560"/>
      <x:c r="C3" s="560"/>
      <x:c r="D3" s="560"/>
      <x:c r="E3" s="560"/>
      <x:c r="F3" s="560"/>
      <x:c r="G3" s="560"/>
      <x:c r="H3" s="560"/>
      <x:c r="I3" s="560"/>
    </x:row>
    <x:row r="4">
      <x:c r="A4" s="556"/>
      <x:c r="B4" s="556"/>
      <x:c r="C4" s="556"/>
      <x:c r="D4" s="556"/>
      <x:c r="E4" s="556"/>
      <x:c r="F4" s="556"/>
      <x:c r="G4" s="556"/>
      <x:c r="H4" s="556"/>
      <x:c r="I4" s="556"/>
    </x:row>
    <x:row r="5">
      <x:c r="A5" s="563" t="str">
        <x:v>Ryokan</x:v>
      </x:c>
      <x:c r="B5" s="563" t="str">
        <x:v>Area</x:v>
      </x:c>
      <x:c r="C5" s="563" t="str">
        <x:v>GF Confidence</x:v>
      </x:c>
      <x:c r="D5" s="563" t="str">
        <x:v>Private Onsen</x:v>
      </x:c>
      <x:c r="E5" s="563" t="str">
        <x:v>Dietary Reply</x:v>
      </x:c>
      <x:c r="F5" s="563" t="str">
        <x:v>Cross-Contact Notes</x:v>
      </x:c>
      <x:c r="G5" s="563" t="str">
        <x:v>Contact Date</x:v>
      </x:c>
      <x:c r="H5" s="563" t="str">
        <x:v>Link</x:v>
      </x:c>
      <x:c r="I5" s="563" t="str">
        <x:v>Booking Status</x:v>
      </x:c>
    </x:row>
    <x:row r="6">
      <x:c r="A6" s="564" t="str">
        <x:v>Nazuna Hakone Miyanoshita</x:v>
      </x:c>
      <x:c r="B6" s="564" t="str">
        <x:v>Miyanoshita</x:v>
      </x:c>
      <x:c r="C6" s="564" t="str">
        <x:v>Ask first</x:v>
      </x:c>
      <x:c r="D6" s="564" t="str">
        <x:v>Confirm</x:v>
      </x:c>
      <x:c r="E6" s="564" t="str">
        <x:v>Contact before booking</x:v>
      </x:c>
      <x:c r="F6" s="564" t="str">
        <x:v>Do not assume full GF accommodation</x:v>
      </x:c>
      <x:c r="G6" s="564" t="str"/>
      <x:c r="H6" s="564" t="str"/>
      <x:c r="I6" s="564" t="str">
        <x:v>Researching</x:v>
      </x:c>
    </x:row>
    <x:row r="7">
      <x:c r="A7" s="564" t="str">
        <x:v>Fufu Hakone</x:v>
      </x:c>
      <x:c r="B7" s="564" t="str">
        <x:v>Gora</x:v>
      </x:c>
      <x:c r="C7" s="564" t="str">
        <x:v>Ask first</x:v>
      </x:c>
      <x:c r="D7" s="564" t="str">
        <x:v>Confirm</x:v>
      </x:c>
      <x:c r="E7" s="564" t="str">
        <x:v>Contact before booking</x:v>
      </x:c>
      <x:c r="F7" s="564" t="str">
        <x:v>Confirm strictness and shared-kitchen limitations</x:v>
      </x:c>
      <x:c r="G7" s="564" t="str"/>
      <x:c r="H7" s="564" t="str"/>
      <x:c r="I7" s="564" t="str">
        <x:v>Researching</x:v>
      </x:c>
    </x:row>
    <x:row r="8">
      <x:c r="A8" s="564" t="str">
        <x:v>Hakone Ginyu</x:v>
      </x:c>
      <x:c r="B8" s="564" t="str">
        <x:v>Miyanoshita</x:v>
      </x:c>
      <x:c r="C8" s="564" t="str">
        <x:v>Ask first</x:v>
      </x:c>
      <x:c r="D8" s="564" t="str">
        <x:v>Confirm</x:v>
      </x:c>
      <x:c r="E8" s="564" t="str">
        <x:v>Contact before booking</x:v>
      </x:c>
      <x:c r="F8" s="564" t="str">
        <x:v>Traditional kaiseki may be difficult to modify</x:v>
      </x:c>
      <x:c r="G8" s="564" t="str"/>
      <x:c r="H8" s="564" t="str"/>
      <x:c r="I8" s="564" t="str">
        <x:v>Researching</x:v>
      </x:c>
    </x:row>
    <x:row r="9">
      <x:c r="A9" s="556"/>
      <x:c r="B9" s="556"/>
      <x:c r="C9" s="556"/>
      <x:c r="D9" s="556"/>
      <x:c r="E9" s="556"/>
      <x:c r="F9" s="556"/>
      <x:c r="G9" s="556"/>
      <x:c r="H9" s="556"/>
      <x:c r="I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  <x:c r="I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  <x:c r="I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  <x:c r="I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  <x:c r="I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  <x:c r="I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  <x:c r="I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  <x:c r="I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  <x:c r="I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  <x:c r="I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  <x:c r="I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  <x:c r="I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  <x:c r="I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  <x:c r="I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  <x:c r="I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  <x:c r="I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  <x:c r="I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  <x:c r="I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  <x:c r="I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  <x:c r="I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  <x:c r="I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  <x:c r="I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  <x:c r="I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  <x:c r="I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  <x:c r="I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  <x:c r="I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  <x:c r="I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  <x:c r="I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  <x:c r="I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  <x:c r="I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  <x:c r="I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  <x:c r="I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  <x:c r="I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  <x:c r="I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  <x:c r="I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  <x:c r="I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  <x:c r="I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  <x:c r="I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  <x:c r="I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  <x:c r="I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  <x:c r="I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  <x:c r="I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  <x:c r="I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  <x:c r="I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  <x:c r="I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  <x:c r="I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  <x:c r="I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  <x:c r="I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  <x:c r="I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  <x:c r="I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  <x:c r="I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  <x:c r="I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  <x:c r="I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  <x:c r="I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  <x:c r="I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  <x:c r="I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  <x:c r="I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  <x:c r="I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  <x:c r="I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  <x:c r="I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  <x:c r="I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  <x:c r="I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  <x:c r="I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  <x:c r="I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  <x:c r="I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  <x:c r="I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  <x:c r="I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  <x:c r="I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  <x:c r="I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  <x:c r="I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  <x:c r="I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  <x:c r="I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  <x:c r="I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  <x:c r="I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  <x:c r="I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  <x:c r="I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  <x:c r="I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  <x:c r="I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  <x:c r="I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  <x:c r="I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  <x:c r="I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  <x:c r="I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  <x:c r="I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  <x:c r="I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  <x:c r="I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  <x:c r="I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  <x:c r="I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  <x:c r="I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  <x:c r="I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  <x:c r="I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  <x:c r="I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  <x:c r="I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  <x:c r="I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  <x:c r="I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  <x:c r="I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  <x:c r="I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  <x:c r="I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  <x:c r="I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  <x:c r="I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  <x:c r="I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  <x:c r="I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  <x:c r="I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  <x:c r="I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  <x:c r="I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  <x:c r="I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  <x:c r="I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  <x:c r="I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  <x:c r="I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  <x:c r="I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  <x:c r="I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  <x:c r="I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  <x:c r="I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  <x:c r="I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  <x:c r="I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  <x:c r="I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  <x:c r="I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  <x:c r="I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  <x:c r="I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  <x:c r="I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  <x:c r="I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  <x:c r="I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  <x:c r="I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  <x:c r="I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  <x:c r="I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  <x:c r="I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  <x:c r="I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  <x:c r="I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  <x:c r="I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  <x:c r="I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  <x:c r="I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  <x:c r="I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  <x:c r="I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  <x:c r="I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  <x:c r="I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  <x:c r="I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  <x:c r="I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  <x:c r="I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  <x:c r="I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  <x:c r="I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  <x:c r="I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  <x:c r="I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  <x:c r="I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  <x:c r="I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  <x:c r="I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  <x:c r="I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  <x:c r="I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  <x:c r="I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  <x:c r="I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  <x:c r="I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  <x:c r="I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  <x:c r="I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  <x:c r="I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  <x:c r="I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  <x:c r="I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  <x:c r="I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  <x:c r="I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  <x:c r="I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  <x:c r="I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  <x:c r="I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  <x:c r="I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  <x:c r="I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  <x:c r="I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  <x:c r="I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  <x:c r="I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  <x:c r="I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  <x:c r="I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  <x:c r="I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  <x:c r="I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  <x:c r="I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  <x:c r="I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  <x:c r="I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  <x:c r="I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  <x:c r="I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  <x:c r="I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  <x:c r="I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  <x:c r="I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  <x:c r="I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  <x:c r="I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  <x:c r="I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  <x:c r="I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  <x:c r="I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  <x:c r="I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  <x:c r="I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  <x:c r="I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  <x:c r="I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  <x:c r="I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  <x:c r="I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  <x:c r="I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  <x:c r="I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  <x:c r="I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  <x:c r="I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  <x:c r="I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  <x:c r="I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  <x:c r="I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  <x:c r="I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  <x:c r="I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  <x:c r="I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  <x:c r="I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  <x:c r="I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  <x:c r="I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  <x:c r="I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  <x:c r="I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  <x:c r="I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  <x:c r="I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  <x:c r="I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  <x:c r="I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  <x:c r="I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  <x:c r="I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  <x:c r="I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  <x:c r="I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  <x:c r="I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  <x:c r="I220" s="556"/>
    </x:row>
  </x:sheetData>
  <x:mergeCells>
    <x:mergeCell ref="A3:I3"/>
  </x:mergeCells>
  <x:dataValidations count="2">
    <x:dataValidation type="list" sqref="C6:C220">
      <x:formula1>"Likely,Ask first,Avoid"</x:formula1>
    </x:dataValidation>
    <x:dataValidation type="list" sqref="I6:I220">
      <x:formula1>"Researching,Contacted,Confirmed,Not Suitable,Booked"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24" hidden="0" customWidth="1"/>
    <x:col min="4" max="4" width="18" hidden="0" customWidth="1"/>
    <x:col min="5" max="5" width="48" hidden="0" customWidth="1"/>
  </x:cols>
  <x:sheetData>
    <x:row r="1">
      <x:c r="A1" s="559" t="str">
        <x:v>💊 Health / Comfort Checklist</x:v>
      </x:c>
      <x:c r="B1" s="559"/>
      <x:c r="C1" s="559"/>
      <x:c r="D1" s="559"/>
      <x:c r="E1" s="559"/>
    </x:row>
    <x:row r="2">
      <x:c r="A2" s="559"/>
      <x:c r="B2" s="559"/>
      <x:c r="C2" s="559"/>
      <x:c r="D2" s="559"/>
      <x:c r="E2" s="559"/>
    </x:row>
    <x:row r="3">
      <x:c r="A3" s="560" t="str">
        <x:v>Keep this practical and minimal. Do not add sensitive details unless you explicitly choose to.</x:v>
      </x:c>
      <x:c r="B3" s="560"/>
      <x:c r="C3" s="560"/>
      <x:c r="D3" s="560"/>
      <x:c r="E3" s="560"/>
    </x:row>
    <x:row r="4">
      <x:c r="A4" s="556"/>
      <x:c r="B4" s="556"/>
      <x:c r="C4" s="556"/>
      <x:c r="D4" s="556"/>
      <x:c r="E4" s="556"/>
    </x:row>
    <x:row r="5">
      <x:c r="A5" s="563" t="str">
        <x:v>Item</x:v>
      </x:c>
      <x:c r="B5" s="563" t="str">
        <x:v>Owner</x:v>
      </x:c>
      <x:c r="C5" s="563" t="str">
        <x:v>Category</x:v>
      </x:c>
      <x:c r="D5" s="563" t="str">
        <x:v>Status</x:v>
      </x:c>
      <x:c r="E5" s="563" t="str">
        <x:v>Notes</x:v>
      </x:c>
    </x:row>
    <x:row r="6">
      <x:c r="A6" s="564" t="str">
        <x:v>Medication packed</x:v>
      </x:c>
      <x:c r="B6" s="564" t="str">
        <x:v>David</x:v>
      </x:c>
      <x:c r="C6" s="564" t="str">
        <x:v>Medication</x:v>
      </x:c>
      <x:c r="D6" s="564" t="str">
        <x:v>Not Started</x:v>
      </x:c>
      <x:c r="E6" s="564" t="str"/>
    </x:row>
    <x:row r="7">
      <x:c r="A7" s="564" t="str">
        <x:v>Insurance information saved offline</x:v>
      </x:c>
      <x:c r="B7" s="564" t="str">
        <x:v>David</x:v>
      </x:c>
      <x:c r="C7" s="564" t="str">
        <x:v>Documents</x:v>
      </x:c>
      <x:c r="D7" s="564" t="str">
        <x:v>Not Started</x:v>
      </x:c>
      <x:c r="E7" s="564" t="str"/>
    </x:row>
    <x:row r="8">
      <x:c r="A8" s="564" t="str">
        <x:v>Emergency contact saved</x:v>
      </x:c>
      <x:c r="B8" s="564" t="str">
        <x:v>David</x:v>
      </x:c>
      <x:c r="C8" s="564" t="str">
        <x:v>Safety</x:v>
      </x:c>
      <x:c r="D8" s="564" t="str">
        <x:v>Not Started</x:v>
      </x:c>
      <x:c r="E8" s="564" t="str"/>
    </x:row>
    <x:row r="9">
      <x:c r="A9" s="564" t="str">
        <x:v>Gluten-free card tested on phone</x:v>
      </x:c>
      <x:c r="B9" s="564" t="str">
        <x:v>David</x:v>
      </x:c>
      <x:c r="C9" s="564" t="str">
        <x:v>Food</x:v>
      </x:c>
      <x:c r="D9" s="564" t="str">
        <x:v>Not Started</x:v>
      </x:c>
      <x:c r="E9" s="564" t="str"/>
    </x:row>
    <x:row r="10">
      <x:c r="A10" s="564" t="str">
        <x:v>Ryokan dietary accommodation confirmed in writing</x:v>
      </x:c>
      <x:c r="B10" s="564" t="str">
        <x:v>David</x:v>
      </x:c>
      <x:c r="C10" s="564" t="str">
        <x:v>Lodging</x:v>
      </x:c>
      <x:c r="D10" s="564" t="str">
        <x:v>Not Started</x:v>
      </x:c>
      <x:c r="E10" s="564" t="str"/>
    </x:row>
    <x:row r="11">
      <x:c r="A11" s="564" t="str">
        <x:v>Battery bank packed</x:v>
      </x:c>
      <x:c r="B11" s="564" t="str">
        <x:v>Everyone</x:v>
      </x:c>
      <x:c r="C11" s="564" t="str">
        <x:v>Transit / Safety</x:v>
      </x:c>
      <x:c r="D11" s="564" t="str">
        <x:v>Not Started</x:v>
      </x:c>
      <x:c r="E11" s="564" t="str"/>
    </x:row>
    <x:row r="12">
      <x:c r="A12" s="564" t="str">
        <x:v>Electrolytes / tolerated comfort items packed</x:v>
      </x:c>
      <x:c r="B12" s="564" t="str">
        <x:v>David</x:v>
      </x:c>
      <x:c r="C12" s="564" t="str">
        <x:v>Comfort</x:v>
      </x:c>
      <x:c r="D12" s="564" t="str">
        <x:v>Not Started</x:v>
      </x:c>
      <x:c r="E12" s="564" t="str"/>
    </x:row>
    <x:row r="13">
      <x:c r="A13" s="556"/>
      <x:c r="B13" s="556"/>
      <x:c r="C13" s="556"/>
      <x:c r="D13" s="556"/>
      <x:c r="E13" s="556"/>
    </x:row>
    <x:row r="14">
      <x:c r="A14" s="556"/>
      <x:c r="B14" s="556"/>
      <x:c r="C14" s="556"/>
      <x:c r="D14" s="556"/>
      <x:c r="E14" s="556"/>
    </x:row>
    <x:row r="15">
      <x:c r="A15" s="556"/>
      <x:c r="B15" s="556"/>
      <x:c r="C15" s="556"/>
      <x:c r="D15" s="556"/>
      <x:c r="E15" s="556"/>
    </x:row>
    <x:row r="16">
      <x:c r="A16" s="556"/>
      <x:c r="B16" s="556"/>
      <x:c r="C16" s="556"/>
      <x:c r="D16" s="556"/>
      <x:c r="E16" s="556"/>
    </x:row>
    <x:row r="17">
      <x:c r="A17" s="556"/>
      <x:c r="B17" s="556"/>
      <x:c r="C17" s="556"/>
      <x:c r="D17" s="556"/>
      <x:c r="E17" s="556"/>
    </x:row>
    <x:row r="18">
      <x:c r="A18" s="556"/>
      <x:c r="B18" s="556"/>
      <x:c r="C18" s="556"/>
      <x:c r="D18" s="556"/>
      <x:c r="E18" s="556"/>
    </x:row>
    <x:row r="19">
      <x:c r="A19" s="556"/>
      <x:c r="B19" s="556"/>
      <x:c r="C19" s="556"/>
      <x:c r="D19" s="556"/>
      <x:c r="E19" s="556"/>
    </x:row>
    <x:row r="20">
      <x:c r="A20" s="556"/>
      <x:c r="B20" s="556"/>
      <x:c r="C20" s="556"/>
      <x:c r="D20" s="556"/>
      <x:c r="E20" s="556"/>
    </x:row>
    <x:row r="21">
      <x:c r="A21" s="556"/>
      <x:c r="B21" s="556"/>
      <x:c r="C21" s="556"/>
      <x:c r="D21" s="556"/>
      <x:c r="E21" s="556"/>
    </x:row>
    <x:row r="22">
      <x:c r="A22" s="556"/>
      <x:c r="B22" s="556"/>
      <x:c r="C22" s="556"/>
      <x:c r="D22" s="556"/>
      <x:c r="E22" s="556"/>
    </x:row>
    <x:row r="23">
      <x:c r="A23" s="556"/>
      <x:c r="B23" s="556"/>
      <x:c r="C23" s="556"/>
      <x:c r="D23" s="556"/>
      <x:c r="E23" s="556"/>
    </x:row>
    <x:row r="24">
      <x:c r="A24" s="556"/>
      <x:c r="B24" s="556"/>
      <x:c r="C24" s="556"/>
      <x:c r="D24" s="556"/>
      <x:c r="E24" s="556"/>
    </x:row>
    <x:row r="25">
      <x:c r="A25" s="556"/>
      <x:c r="B25" s="556"/>
      <x:c r="C25" s="556"/>
      <x:c r="D25" s="556"/>
      <x:c r="E25" s="556"/>
    </x:row>
    <x:row r="26">
      <x:c r="A26" s="556"/>
      <x:c r="B26" s="556"/>
      <x:c r="C26" s="556"/>
      <x:c r="D26" s="556"/>
      <x:c r="E26" s="556"/>
    </x:row>
    <x:row r="27">
      <x:c r="A27" s="556"/>
      <x:c r="B27" s="556"/>
      <x:c r="C27" s="556"/>
      <x:c r="D27" s="556"/>
      <x:c r="E27" s="556"/>
    </x:row>
    <x:row r="28">
      <x:c r="A28" s="556"/>
      <x:c r="B28" s="556"/>
      <x:c r="C28" s="556"/>
      <x:c r="D28" s="556"/>
      <x:c r="E28" s="556"/>
    </x:row>
    <x:row r="29">
      <x:c r="A29" s="556"/>
      <x:c r="B29" s="556"/>
      <x:c r="C29" s="556"/>
      <x:c r="D29" s="556"/>
      <x:c r="E29" s="556"/>
    </x:row>
    <x:row r="30">
      <x:c r="A30" s="556"/>
      <x:c r="B30" s="556"/>
      <x:c r="C30" s="556"/>
      <x:c r="D30" s="556"/>
      <x:c r="E30" s="556"/>
    </x:row>
    <x:row r="31">
      <x:c r="A31" s="556"/>
      <x:c r="B31" s="556"/>
      <x:c r="C31" s="556"/>
      <x:c r="D31" s="556"/>
      <x:c r="E31" s="556"/>
    </x:row>
    <x:row r="32">
      <x:c r="A32" s="556"/>
      <x:c r="B32" s="556"/>
      <x:c r="C32" s="556"/>
      <x:c r="D32" s="556"/>
      <x:c r="E32" s="556"/>
    </x:row>
    <x:row r="33">
      <x:c r="A33" s="556"/>
      <x:c r="B33" s="556"/>
      <x:c r="C33" s="556"/>
      <x:c r="D33" s="556"/>
      <x:c r="E33" s="556"/>
    </x:row>
    <x:row r="34">
      <x:c r="A34" s="556"/>
      <x:c r="B34" s="556"/>
      <x:c r="C34" s="556"/>
      <x:c r="D34" s="556"/>
      <x:c r="E34" s="556"/>
    </x:row>
    <x:row r="35">
      <x:c r="A35" s="556"/>
      <x:c r="B35" s="556"/>
      <x:c r="C35" s="556"/>
      <x:c r="D35" s="556"/>
      <x:c r="E35" s="556"/>
    </x:row>
    <x:row r="36">
      <x:c r="A36" s="556"/>
      <x:c r="B36" s="556"/>
      <x:c r="C36" s="556"/>
      <x:c r="D36" s="556"/>
      <x:c r="E36" s="556"/>
    </x:row>
    <x:row r="37">
      <x:c r="A37" s="556"/>
      <x:c r="B37" s="556"/>
      <x:c r="C37" s="556"/>
      <x:c r="D37" s="556"/>
      <x:c r="E37" s="556"/>
    </x:row>
    <x:row r="38">
      <x:c r="A38" s="556"/>
      <x:c r="B38" s="556"/>
      <x:c r="C38" s="556"/>
      <x:c r="D38" s="556"/>
      <x:c r="E38" s="556"/>
    </x:row>
    <x:row r="39">
      <x:c r="A39" s="556"/>
      <x:c r="B39" s="556"/>
      <x:c r="C39" s="556"/>
      <x:c r="D39" s="556"/>
      <x:c r="E39" s="556"/>
    </x:row>
    <x:row r="40">
      <x:c r="A40" s="556"/>
      <x:c r="B40" s="556"/>
      <x:c r="C40" s="556"/>
      <x:c r="D40" s="556"/>
      <x:c r="E40" s="556"/>
    </x:row>
    <x:row r="41">
      <x:c r="A41" s="556"/>
      <x:c r="B41" s="556"/>
      <x:c r="C41" s="556"/>
      <x:c r="D41" s="556"/>
      <x:c r="E41" s="556"/>
    </x:row>
    <x:row r="42">
      <x:c r="A42" s="556"/>
      <x:c r="B42" s="556"/>
      <x:c r="C42" s="556"/>
      <x:c r="D42" s="556"/>
      <x:c r="E42" s="556"/>
    </x:row>
    <x:row r="43">
      <x:c r="A43" s="556"/>
      <x:c r="B43" s="556"/>
      <x:c r="C43" s="556"/>
      <x:c r="D43" s="556"/>
      <x:c r="E43" s="556"/>
    </x:row>
    <x:row r="44">
      <x:c r="A44" s="556"/>
      <x:c r="B44" s="556"/>
      <x:c r="C44" s="556"/>
      <x:c r="D44" s="556"/>
      <x:c r="E44" s="556"/>
    </x:row>
    <x:row r="45">
      <x:c r="A45" s="556"/>
      <x:c r="B45" s="556"/>
      <x:c r="C45" s="556"/>
      <x:c r="D45" s="556"/>
      <x:c r="E45" s="556"/>
    </x:row>
    <x:row r="46">
      <x:c r="A46" s="556"/>
      <x:c r="B46" s="556"/>
      <x:c r="C46" s="556"/>
      <x:c r="D46" s="556"/>
      <x:c r="E46" s="556"/>
    </x:row>
    <x:row r="47">
      <x:c r="A47" s="556"/>
      <x:c r="B47" s="556"/>
      <x:c r="C47" s="556"/>
      <x:c r="D47" s="556"/>
      <x:c r="E47" s="556"/>
    </x:row>
    <x:row r="48">
      <x:c r="A48" s="556"/>
      <x:c r="B48" s="556"/>
      <x:c r="C48" s="556"/>
      <x:c r="D48" s="556"/>
      <x:c r="E48" s="556"/>
    </x:row>
    <x:row r="49">
      <x:c r="A49" s="556"/>
      <x:c r="B49" s="556"/>
      <x:c r="C49" s="556"/>
      <x:c r="D49" s="556"/>
      <x:c r="E49" s="556"/>
    </x:row>
    <x:row r="50">
      <x:c r="A50" s="556"/>
      <x:c r="B50" s="556"/>
      <x:c r="C50" s="556"/>
      <x:c r="D50" s="556"/>
      <x:c r="E50" s="556"/>
    </x:row>
    <x:row r="51">
      <x:c r="A51" s="556"/>
      <x:c r="B51" s="556"/>
      <x:c r="C51" s="556"/>
      <x:c r="D51" s="556"/>
      <x:c r="E51" s="556"/>
    </x:row>
    <x:row r="52">
      <x:c r="A52" s="556"/>
      <x:c r="B52" s="556"/>
      <x:c r="C52" s="556"/>
      <x:c r="D52" s="556"/>
      <x:c r="E52" s="556"/>
    </x:row>
    <x:row r="53">
      <x:c r="A53" s="556"/>
      <x:c r="B53" s="556"/>
      <x:c r="C53" s="556"/>
      <x:c r="D53" s="556"/>
      <x:c r="E53" s="556"/>
    </x:row>
    <x:row r="54">
      <x:c r="A54" s="556"/>
      <x:c r="B54" s="556"/>
      <x:c r="C54" s="556"/>
      <x:c r="D54" s="556"/>
      <x:c r="E54" s="556"/>
    </x:row>
    <x:row r="55">
      <x:c r="A55" s="556"/>
      <x:c r="B55" s="556"/>
      <x:c r="C55" s="556"/>
      <x:c r="D55" s="556"/>
      <x:c r="E55" s="556"/>
    </x:row>
    <x:row r="56">
      <x:c r="A56" s="556"/>
      <x:c r="B56" s="556"/>
      <x:c r="C56" s="556"/>
      <x:c r="D56" s="556"/>
      <x:c r="E56" s="556"/>
    </x:row>
    <x:row r="57">
      <x:c r="A57" s="556"/>
      <x:c r="B57" s="556"/>
      <x:c r="C57" s="556"/>
      <x:c r="D57" s="556"/>
      <x:c r="E57" s="556"/>
    </x:row>
    <x:row r="58">
      <x:c r="A58" s="556"/>
      <x:c r="B58" s="556"/>
      <x:c r="C58" s="556"/>
      <x:c r="D58" s="556"/>
      <x:c r="E58" s="556"/>
    </x:row>
    <x:row r="59">
      <x:c r="A59" s="556"/>
      <x:c r="B59" s="556"/>
      <x:c r="C59" s="556"/>
      <x:c r="D59" s="556"/>
      <x:c r="E59" s="556"/>
    </x:row>
    <x:row r="60">
      <x:c r="A60" s="556"/>
      <x:c r="B60" s="556"/>
      <x:c r="C60" s="556"/>
      <x:c r="D60" s="556"/>
      <x:c r="E60" s="556"/>
    </x:row>
    <x:row r="61">
      <x:c r="A61" s="556"/>
      <x:c r="B61" s="556"/>
      <x:c r="C61" s="556"/>
      <x:c r="D61" s="556"/>
      <x:c r="E61" s="556"/>
    </x:row>
    <x:row r="62">
      <x:c r="A62" s="556"/>
      <x:c r="B62" s="556"/>
      <x:c r="C62" s="556"/>
      <x:c r="D62" s="556"/>
      <x:c r="E62" s="556"/>
    </x:row>
    <x:row r="63">
      <x:c r="A63" s="556"/>
      <x:c r="B63" s="556"/>
      <x:c r="C63" s="556"/>
      <x:c r="D63" s="556"/>
      <x:c r="E63" s="556"/>
    </x:row>
    <x:row r="64">
      <x:c r="A64" s="556"/>
      <x:c r="B64" s="556"/>
      <x:c r="C64" s="556"/>
      <x:c r="D64" s="556"/>
      <x:c r="E64" s="556"/>
    </x:row>
    <x:row r="65">
      <x:c r="A65" s="556"/>
      <x:c r="B65" s="556"/>
      <x:c r="C65" s="556"/>
      <x:c r="D65" s="556"/>
      <x:c r="E65" s="556"/>
    </x:row>
    <x:row r="66">
      <x:c r="A66" s="556"/>
      <x:c r="B66" s="556"/>
      <x:c r="C66" s="556"/>
      <x:c r="D66" s="556"/>
      <x:c r="E66" s="556"/>
    </x:row>
    <x:row r="67">
      <x:c r="A67" s="556"/>
      <x:c r="B67" s="556"/>
      <x:c r="C67" s="556"/>
      <x:c r="D67" s="556"/>
      <x:c r="E67" s="556"/>
    </x:row>
    <x:row r="68">
      <x:c r="A68" s="556"/>
      <x:c r="B68" s="556"/>
      <x:c r="C68" s="556"/>
      <x:c r="D68" s="556"/>
      <x:c r="E68" s="556"/>
    </x:row>
    <x:row r="69">
      <x:c r="A69" s="556"/>
      <x:c r="B69" s="556"/>
      <x:c r="C69" s="556"/>
      <x:c r="D69" s="556"/>
      <x:c r="E69" s="556"/>
    </x:row>
    <x:row r="70">
      <x:c r="A70" s="556"/>
      <x:c r="B70" s="556"/>
      <x:c r="C70" s="556"/>
      <x:c r="D70" s="556"/>
      <x:c r="E70" s="556"/>
    </x:row>
    <x:row r="71">
      <x:c r="A71" s="556"/>
      <x:c r="B71" s="556"/>
      <x:c r="C71" s="556"/>
      <x:c r="D71" s="556"/>
      <x:c r="E71" s="556"/>
    </x:row>
    <x:row r="72">
      <x:c r="A72" s="556"/>
      <x:c r="B72" s="556"/>
      <x:c r="C72" s="556"/>
      <x:c r="D72" s="556"/>
      <x:c r="E72" s="556"/>
    </x:row>
    <x:row r="73">
      <x:c r="A73" s="556"/>
      <x:c r="B73" s="556"/>
      <x:c r="C73" s="556"/>
      <x:c r="D73" s="556"/>
      <x:c r="E73" s="556"/>
    </x:row>
    <x:row r="74">
      <x:c r="A74" s="556"/>
      <x:c r="B74" s="556"/>
      <x:c r="C74" s="556"/>
      <x:c r="D74" s="556"/>
      <x:c r="E74" s="556"/>
    </x:row>
    <x:row r="75">
      <x:c r="A75" s="556"/>
      <x:c r="B75" s="556"/>
      <x:c r="C75" s="556"/>
      <x:c r="D75" s="556"/>
      <x:c r="E75" s="556"/>
    </x:row>
    <x:row r="76">
      <x:c r="A76" s="556"/>
      <x:c r="B76" s="556"/>
      <x:c r="C76" s="556"/>
      <x:c r="D76" s="556"/>
      <x:c r="E76" s="556"/>
    </x:row>
    <x:row r="77">
      <x:c r="A77" s="556"/>
      <x:c r="B77" s="556"/>
      <x:c r="C77" s="556"/>
      <x:c r="D77" s="556"/>
      <x:c r="E77" s="556"/>
    </x:row>
    <x:row r="78">
      <x:c r="A78" s="556"/>
      <x:c r="B78" s="556"/>
      <x:c r="C78" s="556"/>
      <x:c r="D78" s="556"/>
      <x:c r="E78" s="556"/>
    </x:row>
    <x:row r="79">
      <x:c r="A79" s="556"/>
      <x:c r="B79" s="556"/>
      <x:c r="C79" s="556"/>
      <x:c r="D79" s="556"/>
      <x:c r="E79" s="556"/>
    </x:row>
    <x:row r="80">
      <x:c r="A80" s="556"/>
      <x:c r="B80" s="556"/>
      <x:c r="C80" s="556"/>
      <x:c r="D80" s="556"/>
      <x:c r="E80" s="556"/>
    </x:row>
    <x:row r="81">
      <x:c r="A81" s="556"/>
      <x:c r="B81" s="556"/>
      <x:c r="C81" s="556"/>
      <x:c r="D81" s="556"/>
      <x:c r="E81" s="556"/>
    </x:row>
    <x:row r="82">
      <x:c r="A82" s="556"/>
      <x:c r="B82" s="556"/>
      <x:c r="C82" s="556"/>
      <x:c r="D82" s="556"/>
      <x:c r="E82" s="556"/>
    </x:row>
    <x:row r="83">
      <x:c r="A83" s="556"/>
      <x:c r="B83" s="556"/>
      <x:c r="C83" s="556"/>
      <x:c r="D83" s="556"/>
      <x:c r="E83" s="556"/>
    </x:row>
    <x:row r="84">
      <x:c r="A84" s="556"/>
      <x:c r="B84" s="556"/>
      <x:c r="C84" s="556"/>
      <x:c r="D84" s="556"/>
      <x:c r="E84" s="556"/>
    </x:row>
    <x:row r="85">
      <x:c r="A85" s="556"/>
      <x:c r="B85" s="556"/>
      <x:c r="C85" s="556"/>
      <x:c r="D85" s="556"/>
      <x:c r="E85" s="556"/>
    </x:row>
    <x:row r="86">
      <x:c r="A86" s="556"/>
      <x:c r="B86" s="556"/>
      <x:c r="C86" s="556"/>
      <x:c r="D86" s="556"/>
      <x:c r="E86" s="556"/>
    </x:row>
    <x:row r="87">
      <x:c r="A87" s="556"/>
      <x:c r="B87" s="556"/>
      <x:c r="C87" s="556"/>
      <x:c r="D87" s="556"/>
      <x:c r="E87" s="556"/>
    </x:row>
    <x:row r="88">
      <x:c r="A88" s="556"/>
      <x:c r="B88" s="556"/>
      <x:c r="C88" s="556"/>
      <x:c r="D88" s="556"/>
      <x:c r="E88" s="556"/>
    </x:row>
    <x:row r="89">
      <x:c r="A89" s="556"/>
      <x:c r="B89" s="556"/>
      <x:c r="C89" s="556"/>
      <x:c r="D89" s="556"/>
      <x:c r="E89" s="556"/>
    </x:row>
    <x:row r="90">
      <x:c r="A90" s="556"/>
      <x:c r="B90" s="556"/>
      <x:c r="C90" s="556"/>
      <x:c r="D90" s="556"/>
      <x:c r="E90" s="556"/>
    </x:row>
    <x:row r="91">
      <x:c r="A91" s="556"/>
      <x:c r="B91" s="556"/>
      <x:c r="C91" s="556"/>
      <x:c r="D91" s="556"/>
      <x:c r="E91" s="556"/>
    </x:row>
    <x:row r="92">
      <x:c r="A92" s="556"/>
      <x:c r="B92" s="556"/>
      <x:c r="C92" s="556"/>
      <x:c r="D92" s="556"/>
      <x:c r="E92" s="556"/>
    </x:row>
    <x:row r="93">
      <x:c r="A93" s="556"/>
      <x:c r="B93" s="556"/>
      <x:c r="C93" s="556"/>
      <x:c r="D93" s="556"/>
      <x:c r="E93" s="556"/>
    </x:row>
    <x:row r="94">
      <x:c r="A94" s="556"/>
      <x:c r="B94" s="556"/>
      <x:c r="C94" s="556"/>
      <x:c r="D94" s="556"/>
      <x:c r="E94" s="556"/>
    </x:row>
    <x:row r="95">
      <x:c r="A95" s="556"/>
      <x:c r="B95" s="556"/>
      <x:c r="C95" s="556"/>
      <x:c r="D95" s="556"/>
      <x:c r="E95" s="556"/>
    </x:row>
    <x:row r="96">
      <x:c r="A96" s="556"/>
      <x:c r="B96" s="556"/>
      <x:c r="C96" s="556"/>
      <x:c r="D96" s="556"/>
      <x:c r="E96" s="556"/>
    </x:row>
    <x:row r="97">
      <x:c r="A97" s="556"/>
      <x:c r="B97" s="556"/>
      <x:c r="C97" s="556"/>
      <x:c r="D97" s="556"/>
      <x:c r="E97" s="556"/>
    </x:row>
    <x:row r="98">
      <x:c r="A98" s="556"/>
      <x:c r="B98" s="556"/>
      <x:c r="C98" s="556"/>
      <x:c r="D98" s="556"/>
      <x:c r="E98" s="556"/>
    </x:row>
    <x:row r="99">
      <x:c r="A99" s="556"/>
      <x:c r="B99" s="556"/>
      <x:c r="C99" s="556"/>
      <x:c r="D99" s="556"/>
      <x:c r="E99" s="556"/>
    </x:row>
    <x:row r="100">
      <x:c r="A100" s="556"/>
      <x:c r="B100" s="556"/>
      <x:c r="C100" s="556"/>
      <x:c r="D100" s="556"/>
      <x:c r="E100" s="556"/>
    </x:row>
    <x:row r="101">
      <x:c r="A101" s="556"/>
      <x:c r="B101" s="556"/>
      <x:c r="C101" s="556"/>
      <x:c r="D101" s="556"/>
      <x:c r="E101" s="556"/>
    </x:row>
    <x:row r="102">
      <x:c r="A102" s="556"/>
      <x:c r="B102" s="556"/>
      <x:c r="C102" s="556"/>
      <x:c r="D102" s="556"/>
      <x:c r="E102" s="556"/>
    </x:row>
    <x:row r="103">
      <x:c r="A103" s="556"/>
      <x:c r="B103" s="556"/>
      <x:c r="C103" s="556"/>
      <x:c r="D103" s="556"/>
      <x:c r="E103" s="556"/>
    </x:row>
    <x:row r="104">
      <x:c r="A104" s="556"/>
      <x:c r="B104" s="556"/>
      <x:c r="C104" s="556"/>
      <x:c r="D104" s="556"/>
      <x:c r="E104" s="556"/>
    </x:row>
    <x:row r="105">
      <x:c r="A105" s="556"/>
      <x:c r="B105" s="556"/>
      <x:c r="C105" s="556"/>
      <x:c r="D105" s="556"/>
      <x:c r="E105" s="556"/>
    </x:row>
    <x:row r="106">
      <x:c r="A106" s="556"/>
      <x:c r="B106" s="556"/>
      <x:c r="C106" s="556"/>
      <x:c r="D106" s="556"/>
      <x:c r="E106" s="556"/>
    </x:row>
    <x:row r="107">
      <x:c r="A107" s="556"/>
      <x:c r="B107" s="556"/>
      <x:c r="C107" s="556"/>
      <x:c r="D107" s="556"/>
      <x:c r="E107" s="556"/>
    </x:row>
    <x:row r="108">
      <x:c r="A108" s="556"/>
      <x:c r="B108" s="556"/>
      <x:c r="C108" s="556"/>
      <x:c r="D108" s="556"/>
      <x:c r="E108" s="556"/>
    </x:row>
    <x:row r="109">
      <x:c r="A109" s="556"/>
      <x:c r="B109" s="556"/>
      <x:c r="C109" s="556"/>
      <x:c r="D109" s="556"/>
      <x:c r="E109" s="556"/>
    </x:row>
    <x:row r="110">
      <x:c r="A110" s="556"/>
      <x:c r="B110" s="556"/>
      <x:c r="C110" s="556"/>
      <x:c r="D110" s="556"/>
      <x:c r="E110" s="556"/>
    </x:row>
    <x:row r="111">
      <x:c r="A111" s="556"/>
      <x:c r="B111" s="556"/>
      <x:c r="C111" s="556"/>
      <x:c r="D111" s="556"/>
      <x:c r="E111" s="556"/>
    </x:row>
    <x:row r="112">
      <x:c r="A112" s="556"/>
      <x:c r="B112" s="556"/>
      <x:c r="C112" s="556"/>
      <x:c r="D112" s="556"/>
      <x:c r="E112" s="556"/>
    </x:row>
    <x:row r="113">
      <x:c r="A113" s="556"/>
      <x:c r="B113" s="556"/>
      <x:c r="C113" s="556"/>
      <x:c r="D113" s="556"/>
      <x:c r="E113" s="556"/>
    </x:row>
    <x:row r="114">
      <x:c r="A114" s="556"/>
      <x:c r="B114" s="556"/>
      <x:c r="C114" s="556"/>
      <x:c r="D114" s="556"/>
      <x:c r="E114" s="556"/>
    </x:row>
    <x:row r="115">
      <x:c r="A115" s="556"/>
      <x:c r="B115" s="556"/>
      <x:c r="C115" s="556"/>
      <x:c r="D115" s="556"/>
      <x:c r="E115" s="556"/>
    </x:row>
    <x:row r="116">
      <x:c r="A116" s="556"/>
      <x:c r="B116" s="556"/>
      <x:c r="C116" s="556"/>
      <x:c r="D116" s="556"/>
      <x:c r="E116" s="556"/>
    </x:row>
    <x:row r="117">
      <x:c r="A117" s="556"/>
      <x:c r="B117" s="556"/>
      <x:c r="C117" s="556"/>
      <x:c r="D117" s="556"/>
      <x:c r="E117" s="556"/>
    </x:row>
    <x:row r="118">
      <x:c r="A118" s="556"/>
      <x:c r="B118" s="556"/>
      <x:c r="C118" s="556"/>
      <x:c r="D118" s="556"/>
      <x:c r="E118" s="556"/>
    </x:row>
    <x:row r="119">
      <x:c r="A119" s="556"/>
      <x:c r="B119" s="556"/>
      <x:c r="C119" s="556"/>
      <x:c r="D119" s="556"/>
      <x:c r="E119" s="556"/>
    </x:row>
    <x:row r="120">
      <x:c r="A120" s="556"/>
      <x:c r="B120" s="556"/>
      <x:c r="C120" s="556"/>
      <x:c r="D120" s="556"/>
      <x:c r="E120" s="556"/>
    </x:row>
    <x:row r="121">
      <x:c r="A121" s="556"/>
      <x:c r="B121" s="556"/>
      <x:c r="C121" s="556"/>
      <x:c r="D121" s="556"/>
      <x:c r="E121" s="556"/>
    </x:row>
    <x:row r="122">
      <x:c r="A122" s="556"/>
      <x:c r="B122" s="556"/>
      <x:c r="C122" s="556"/>
      <x:c r="D122" s="556"/>
      <x:c r="E122" s="556"/>
    </x:row>
    <x:row r="123">
      <x:c r="A123" s="556"/>
      <x:c r="B123" s="556"/>
      <x:c r="C123" s="556"/>
      <x:c r="D123" s="556"/>
      <x:c r="E123" s="556"/>
    </x:row>
    <x:row r="124">
      <x:c r="A124" s="556"/>
      <x:c r="B124" s="556"/>
      <x:c r="C124" s="556"/>
      <x:c r="D124" s="556"/>
      <x:c r="E124" s="556"/>
    </x:row>
    <x:row r="125">
      <x:c r="A125" s="556"/>
      <x:c r="B125" s="556"/>
      <x:c r="C125" s="556"/>
      <x:c r="D125" s="556"/>
      <x:c r="E125" s="556"/>
    </x:row>
    <x:row r="126">
      <x:c r="A126" s="556"/>
      <x:c r="B126" s="556"/>
      <x:c r="C126" s="556"/>
      <x:c r="D126" s="556"/>
      <x:c r="E126" s="556"/>
    </x:row>
    <x:row r="127">
      <x:c r="A127" s="556"/>
      <x:c r="B127" s="556"/>
      <x:c r="C127" s="556"/>
      <x:c r="D127" s="556"/>
      <x:c r="E127" s="556"/>
    </x:row>
    <x:row r="128">
      <x:c r="A128" s="556"/>
      <x:c r="B128" s="556"/>
      <x:c r="C128" s="556"/>
      <x:c r="D128" s="556"/>
      <x:c r="E128" s="556"/>
    </x:row>
    <x:row r="129">
      <x:c r="A129" s="556"/>
      <x:c r="B129" s="556"/>
      <x:c r="C129" s="556"/>
      <x:c r="D129" s="556"/>
      <x:c r="E129" s="556"/>
    </x:row>
    <x:row r="130">
      <x:c r="A130" s="556"/>
      <x:c r="B130" s="556"/>
      <x:c r="C130" s="556"/>
      <x:c r="D130" s="556"/>
      <x:c r="E130" s="556"/>
    </x:row>
    <x:row r="131">
      <x:c r="A131" s="556"/>
      <x:c r="B131" s="556"/>
      <x:c r="C131" s="556"/>
      <x:c r="D131" s="556"/>
      <x:c r="E131" s="556"/>
    </x:row>
    <x:row r="132">
      <x:c r="A132" s="556"/>
      <x:c r="B132" s="556"/>
      <x:c r="C132" s="556"/>
      <x:c r="D132" s="556"/>
      <x:c r="E132" s="556"/>
    </x:row>
    <x:row r="133">
      <x:c r="A133" s="556"/>
      <x:c r="B133" s="556"/>
      <x:c r="C133" s="556"/>
      <x:c r="D133" s="556"/>
      <x:c r="E133" s="556"/>
    </x:row>
    <x:row r="134">
      <x:c r="A134" s="556"/>
      <x:c r="B134" s="556"/>
      <x:c r="C134" s="556"/>
      <x:c r="D134" s="556"/>
      <x:c r="E134" s="556"/>
    </x:row>
    <x:row r="135">
      <x:c r="A135" s="556"/>
      <x:c r="B135" s="556"/>
      <x:c r="C135" s="556"/>
      <x:c r="D135" s="556"/>
      <x:c r="E135" s="556"/>
    </x:row>
    <x:row r="136">
      <x:c r="A136" s="556"/>
      <x:c r="B136" s="556"/>
      <x:c r="C136" s="556"/>
      <x:c r="D136" s="556"/>
      <x:c r="E136" s="556"/>
    </x:row>
    <x:row r="137">
      <x:c r="A137" s="556"/>
      <x:c r="B137" s="556"/>
      <x:c r="C137" s="556"/>
      <x:c r="D137" s="556"/>
      <x:c r="E137" s="556"/>
    </x:row>
    <x:row r="138">
      <x:c r="A138" s="556"/>
      <x:c r="B138" s="556"/>
      <x:c r="C138" s="556"/>
      <x:c r="D138" s="556"/>
      <x:c r="E138" s="556"/>
    </x:row>
    <x:row r="139">
      <x:c r="A139" s="556"/>
      <x:c r="B139" s="556"/>
      <x:c r="C139" s="556"/>
      <x:c r="D139" s="556"/>
      <x:c r="E139" s="556"/>
    </x:row>
    <x:row r="140">
      <x:c r="A140" s="556"/>
      <x:c r="B140" s="556"/>
      <x:c r="C140" s="556"/>
      <x:c r="D140" s="556"/>
      <x:c r="E140" s="556"/>
    </x:row>
    <x:row r="141">
      <x:c r="A141" s="556"/>
      <x:c r="B141" s="556"/>
      <x:c r="C141" s="556"/>
      <x:c r="D141" s="556"/>
      <x:c r="E141" s="556"/>
    </x:row>
    <x:row r="142">
      <x:c r="A142" s="556"/>
      <x:c r="B142" s="556"/>
      <x:c r="C142" s="556"/>
      <x:c r="D142" s="556"/>
      <x:c r="E142" s="556"/>
    </x:row>
    <x:row r="143">
      <x:c r="A143" s="556"/>
      <x:c r="B143" s="556"/>
      <x:c r="C143" s="556"/>
      <x:c r="D143" s="556"/>
      <x:c r="E143" s="556"/>
    </x:row>
    <x:row r="144">
      <x:c r="A144" s="556"/>
      <x:c r="B144" s="556"/>
      <x:c r="C144" s="556"/>
      <x:c r="D144" s="556"/>
      <x:c r="E144" s="556"/>
    </x:row>
    <x:row r="145">
      <x:c r="A145" s="556"/>
      <x:c r="B145" s="556"/>
      <x:c r="C145" s="556"/>
      <x:c r="D145" s="556"/>
      <x:c r="E145" s="556"/>
    </x:row>
    <x:row r="146">
      <x:c r="A146" s="556"/>
      <x:c r="B146" s="556"/>
      <x:c r="C146" s="556"/>
      <x:c r="D146" s="556"/>
      <x:c r="E146" s="556"/>
    </x:row>
    <x:row r="147">
      <x:c r="A147" s="556"/>
      <x:c r="B147" s="556"/>
      <x:c r="C147" s="556"/>
      <x:c r="D147" s="556"/>
      <x:c r="E147" s="556"/>
    </x:row>
    <x:row r="148">
      <x:c r="A148" s="556"/>
      <x:c r="B148" s="556"/>
      <x:c r="C148" s="556"/>
      <x:c r="D148" s="556"/>
      <x:c r="E148" s="556"/>
    </x:row>
    <x:row r="149">
      <x:c r="A149" s="556"/>
      <x:c r="B149" s="556"/>
      <x:c r="C149" s="556"/>
      <x:c r="D149" s="556"/>
      <x:c r="E149" s="556"/>
    </x:row>
    <x:row r="150">
      <x:c r="A150" s="556"/>
      <x:c r="B150" s="556"/>
      <x:c r="C150" s="556"/>
      <x:c r="D150" s="556"/>
      <x:c r="E150" s="556"/>
    </x:row>
    <x:row r="151">
      <x:c r="A151" s="556"/>
      <x:c r="B151" s="556"/>
      <x:c r="C151" s="556"/>
      <x:c r="D151" s="556"/>
      <x:c r="E151" s="556"/>
    </x:row>
    <x:row r="152">
      <x:c r="A152" s="556"/>
      <x:c r="B152" s="556"/>
      <x:c r="C152" s="556"/>
      <x:c r="D152" s="556"/>
      <x:c r="E152" s="556"/>
    </x:row>
    <x:row r="153">
      <x:c r="A153" s="556"/>
      <x:c r="B153" s="556"/>
      <x:c r="C153" s="556"/>
      <x:c r="D153" s="556"/>
      <x:c r="E153" s="556"/>
    </x:row>
    <x:row r="154">
      <x:c r="A154" s="556"/>
      <x:c r="B154" s="556"/>
      <x:c r="C154" s="556"/>
      <x:c r="D154" s="556"/>
      <x:c r="E154" s="556"/>
    </x:row>
    <x:row r="155">
      <x:c r="A155" s="556"/>
      <x:c r="B155" s="556"/>
      <x:c r="C155" s="556"/>
      <x:c r="D155" s="556"/>
      <x:c r="E155" s="556"/>
    </x:row>
    <x:row r="156">
      <x:c r="A156" s="556"/>
      <x:c r="B156" s="556"/>
      <x:c r="C156" s="556"/>
      <x:c r="D156" s="556"/>
      <x:c r="E156" s="556"/>
    </x:row>
    <x:row r="157">
      <x:c r="A157" s="556"/>
      <x:c r="B157" s="556"/>
      <x:c r="C157" s="556"/>
      <x:c r="D157" s="556"/>
      <x:c r="E157" s="556"/>
    </x:row>
    <x:row r="158">
      <x:c r="A158" s="556"/>
      <x:c r="B158" s="556"/>
      <x:c r="C158" s="556"/>
      <x:c r="D158" s="556"/>
      <x:c r="E158" s="556"/>
    </x:row>
    <x:row r="159">
      <x:c r="A159" s="556"/>
      <x:c r="B159" s="556"/>
      <x:c r="C159" s="556"/>
      <x:c r="D159" s="556"/>
      <x:c r="E159" s="556"/>
    </x:row>
    <x:row r="160">
      <x:c r="A160" s="556"/>
      <x:c r="B160" s="556"/>
      <x:c r="C160" s="556"/>
      <x:c r="D160" s="556"/>
      <x:c r="E160" s="556"/>
    </x:row>
    <x:row r="161">
      <x:c r="A161" s="556"/>
      <x:c r="B161" s="556"/>
      <x:c r="C161" s="556"/>
      <x:c r="D161" s="556"/>
      <x:c r="E161" s="556"/>
    </x:row>
    <x:row r="162">
      <x:c r="A162" s="556"/>
      <x:c r="B162" s="556"/>
      <x:c r="C162" s="556"/>
      <x:c r="D162" s="556"/>
      <x:c r="E162" s="556"/>
    </x:row>
    <x:row r="163">
      <x:c r="A163" s="556"/>
      <x:c r="B163" s="556"/>
      <x:c r="C163" s="556"/>
      <x:c r="D163" s="556"/>
      <x:c r="E163" s="556"/>
    </x:row>
    <x:row r="164">
      <x:c r="A164" s="556"/>
      <x:c r="B164" s="556"/>
      <x:c r="C164" s="556"/>
      <x:c r="D164" s="556"/>
      <x:c r="E164" s="556"/>
    </x:row>
    <x:row r="165">
      <x:c r="A165" s="556"/>
      <x:c r="B165" s="556"/>
      <x:c r="C165" s="556"/>
      <x:c r="D165" s="556"/>
      <x:c r="E165" s="556"/>
    </x:row>
    <x:row r="166">
      <x:c r="A166" s="556"/>
      <x:c r="B166" s="556"/>
      <x:c r="C166" s="556"/>
      <x:c r="D166" s="556"/>
      <x:c r="E166" s="556"/>
    </x:row>
    <x:row r="167">
      <x:c r="A167" s="556"/>
      <x:c r="B167" s="556"/>
      <x:c r="C167" s="556"/>
      <x:c r="D167" s="556"/>
      <x:c r="E167" s="556"/>
    </x:row>
    <x:row r="168">
      <x:c r="A168" s="556"/>
      <x:c r="B168" s="556"/>
      <x:c r="C168" s="556"/>
      <x:c r="D168" s="556"/>
      <x:c r="E168" s="556"/>
    </x:row>
    <x:row r="169">
      <x:c r="A169" s="556"/>
      <x:c r="B169" s="556"/>
      <x:c r="C169" s="556"/>
      <x:c r="D169" s="556"/>
      <x:c r="E169" s="556"/>
    </x:row>
    <x:row r="170">
      <x:c r="A170" s="556"/>
      <x:c r="B170" s="556"/>
      <x:c r="C170" s="556"/>
      <x:c r="D170" s="556"/>
      <x:c r="E170" s="556"/>
    </x:row>
    <x:row r="171">
      <x:c r="A171" s="556"/>
      <x:c r="B171" s="556"/>
      <x:c r="C171" s="556"/>
      <x:c r="D171" s="556"/>
      <x:c r="E171" s="556"/>
    </x:row>
    <x:row r="172">
      <x:c r="A172" s="556"/>
      <x:c r="B172" s="556"/>
      <x:c r="C172" s="556"/>
      <x:c r="D172" s="556"/>
      <x:c r="E172" s="556"/>
    </x:row>
    <x:row r="173">
      <x:c r="A173" s="556"/>
      <x:c r="B173" s="556"/>
      <x:c r="C173" s="556"/>
      <x:c r="D173" s="556"/>
      <x:c r="E173" s="556"/>
    </x:row>
    <x:row r="174">
      <x:c r="A174" s="556"/>
      <x:c r="B174" s="556"/>
      <x:c r="C174" s="556"/>
      <x:c r="D174" s="556"/>
      <x:c r="E174" s="556"/>
    </x:row>
    <x:row r="175">
      <x:c r="A175" s="556"/>
      <x:c r="B175" s="556"/>
      <x:c r="C175" s="556"/>
      <x:c r="D175" s="556"/>
      <x:c r="E175" s="556"/>
    </x:row>
    <x:row r="176">
      <x:c r="A176" s="556"/>
      <x:c r="B176" s="556"/>
      <x:c r="C176" s="556"/>
      <x:c r="D176" s="556"/>
      <x:c r="E176" s="556"/>
    </x:row>
    <x:row r="177">
      <x:c r="A177" s="556"/>
      <x:c r="B177" s="556"/>
      <x:c r="C177" s="556"/>
      <x:c r="D177" s="556"/>
      <x:c r="E177" s="556"/>
    </x:row>
    <x:row r="178">
      <x:c r="A178" s="556"/>
      <x:c r="B178" s="556"/>
      <x:c r="C178" s="556"/>
      <x:c r="D178" s="556"/>
      <x:c r="E178" s="556"/>
    </x:row>
    <x:row r="179">
      <x:c r="A179" s="556"/>
      <x:c r="B179" s="556"/>
      <x:c r="C179" s="556"/>
      <x:c r="D179" s="556"/>
      <x:c r="E179" s="556"/>
    </x:row>
    <x:row r="180">
      <x:c r="A180" s="556"/>
      <x:c r="B180" s="556"/>
      <x:c r="C180" s="556"/>
      <x:c r="D180" s="556"/>
      <x:c r="E180" s="556"/>
    </x:row>
    <x:row r="181">
      <x:c r="A181" s="556"/>
      <x:c r="B181" s="556"/>
      <x:c r="C181" s="556"/>
      <x:c r="D181" s="556"/>
      <x:c r="E181" s="556"/>
    </x:row>
    <x:row r="182">
      <x:c r="A182" s="556"/>
      <x:c r="B182" s="556"/>
      <x:c r="C182" s="556"/>
      <x:c r="D182" s="556"/>
      <x:c r="E182" s="556"/>
    </x:row>
    <x:row r="183">
      <x:c r="A183" s="556"/>
      <x:c r="B183" s="556"/>
      <x:c r="C183" s="556"/>
      <x:c r="D183" s="556"/>
      <x:c r="E183" s="556"/>
    </x:row>
    <x:row r="184">
      <x:c r="A184" s="556"/>
      <x:c r="B184" s="556"/>
      <x:c r="C184" s="556"/>
      <x:c r="D184" s="556"/>
      <x:c r="E184" s="556"/>
    </x:row>
    <x:row r="185">
      <x:c r="A185" s="556"/>
      <x:c r="B185" s="556"/>
      <x:c r="C185" s="556"/>
      <x:c r="D185" s="556"/>
      <x:c r="E185" s="556"/>
    </x:row>
    <x:row r="186">
      <x:c r="A186" s="556"/>
      <x:c r="B186" s="556"/>
      <x:c r="C186" s="556"/>
      <x:c r="D186" s="556"/>
      <x:c r="E186" s="556"/>
    </x:row>
    <x:row r="187">
      <x:c r="A187" s="556"/>
      <x:c r="B187" s="556"/>
      <x:c r="C187" s="556"/>
      <x:c r="D187" s="556"/>
      <x:c r="E187" s="556"/>
    </x:row>
    <x:row r="188">
      <x:c r="A188" s="556"/>
      <x:c r="B188" s="556"/>
      <x:c r="C188" s="556"/>
      <x:c r="D188" s="556"/>
      <x:c r="E188" s="556"/>
    </x:row>
    <x:row r="189">
      <x:c r="A189" s="556"/>
      <x:c r="B189" s="556"/>
      <x:c r="C189" s="556"/>
      <x:c r="D189" s="556"/>
      <x:c r="E189" s="556"/>
    </x:row>
    <x:row r="190">
      <x:c r="A190" s="556"/>
      <x:c r="B190" s="556"/>
      <x:c r="C190" s="556"/>
      <x:c r="D190" s="556"/>
      <x:c r="E190" s="556"/>
    </x:row>
    <x:row r="191">
      <x:c r="A191" s="556"/>
      <x:c r="B191" s="556"/>
      <x:c r="C191" s="556"/>
      <x:c r="D191" s="556"/>
      <x:c r="E191" s="556"/>
    </x:row>
    <x:row r="192">
      <x:c r="A192" s="556"/>
      <x:c r="B192" s="556"/>
      <x:c r="C192" s="556"/>
      <x:c r="D192" s="556"/>
      <x:c r="E192" s="556"/>
    </x:row>
    <x:row r="193">
      <x:c r="A193" s="556"/>
      <x:c r="B193" s="556"/>
      <x:c r="C193" s="556"/>
      <x:c r="D193" s="556"/>
      <x:c r="E193" s="556"/>
    </x:row>
    <x:row r="194">
      <x:c r="A194" s="556"/>
      <x:c r="B194" s="556"/>
      <x:c r="C194" s="556"/>
      <x:c r="D194" s="556"/>
      <x:c r="E194" s="556"/>
    </x:row>
    <x:row r="195">
      <x:c r="A195" s="556"/>
      <x:c r="B195" s="556"/>
      <x:c r="C195" s="556"/>
      <x:c r="D195" s="556"/>
      <x:c r="E195" s="556"/>
    </x:row>
    <x:row r="196">
      <x:c r="A196" s="556"/>
      <x:c r="B196" s="556"/>
      <x:c r="C196" s="556"/>
      <x:c r="D196" s="556"/>
      <x:c r="E196" s="556"/>
    </x:row>
    <x:row r="197">
      <x:c r="A197" s="556"/>
      <x:c r="B197" s="556"/>
      <x:c r="C197" s="556"/>
      <x:c r="D197" s="556"/>
      <x:c r="E197" s="556"/>
    </x:row>
    <x:row r="198">
      <x:c r="A198" s="556"/>
      <x:c r="B198" s="556"/>
      <x:c r="C198" s="556"/>
      <x:c r="D198" s="556"/>
      <x:c r="E198" s="556"/>
    </x:row>
    <x:row r="199">
      <x:c r="A199" s="556"/>
      <x:c r="B199" s="556"/>
      <x:c r="C199" s="556"/>
      <x:c r="D199" s="556"/>
      <x:c r="E199" s="556"/>
    </x:row>
    <x:row r="200">
      <x:c r="A200" s="556"/>
      <x:c r="B200" s="556"/>
      <x:c r="C200" s="556"/>
      <x:c r="D200" s="556"/>
      <x:c r="E200" s="556"/>
    </x:row>
    <x:row r="201">
      <x:c r="A201" s="556"/>
      <x:c r="B201" s="556"/>
      <x:c r="C201" s="556"/>
      <x:c r="D201" s="556"/>
      <x:c r="E201" s="556"/>
    </x:row>
    <x:row r="202">
      <x:c r="A202" s="556"/>
      <x:c r="B202" s="556"/>
      <x:c r="C202" s="556"/>
      <x:c r="D202" s="556"/>
      <x:c r="E202" s="556"/>
    </x:row>
    <x:row r="203">
      <x:c r="A203" s="556"/>
      <x:c r="B203" s="556"/>
      <x:c r="C203" s="556"/>
      <x:c r="D203" s="556"/>
      <x:c r="E203" s="556"/>
    </x:row>
    <x:row r="204">
      <x:c r="A204" s="556"/>
      <x:c r="B204" s="556"/>
      <x:c r="C204" s="556"/>
      <x:c r="D204" s="556"/>
      <x:c r="E204" s="556"/>
    </x:row>
    <x:row r="205">
      <x:c r="A205" s="556"/>
      <x:c r="B205" s="556"/>
      <x:c r="C205" s="556"/>
      <x:c r="D205" s="556"/>
      <x:c r="E205" s="556"/>
    </x:row>
    <x:row r="206">
      <x:c r="A206" s="556"/>
      <x:c r="B206" s="556"/>
      <x:c r="C206" s="556"/>
      <x:c r="D206" s="556"/>
      <x:c r="E206" s="556"/>
    </x:row>
    <x:row r="207">
      <x:c r="A207" s="556"/>
      <x:c r="B207" s="556"/>
      <x:c r="C207" s="556"/>
      <x:c r="D207" s="556"/>
      <x:c r="E207" s="556"/>
    </x:row>
    <x:row r="208">
      <x:c r="A208" s="556"/>
      <x:c r="B208" s="556"/>
      <x:c r="C208" s="556"/>
      <x:c r="D208" s="556"/>
      <x:c r="E208" s="556"/>
    </x:row>
    <x:row r="209">
      <x:c r="A209" s="556"/>
      <x:c r="B209" s="556"/>
      <x:c r="C209" s="556"/>
      <x:c r="D209" s="556"/>
      <x:c r="E209" s="556"/>
    </x:row>
    <x:row r="210">
      <x:c r="A210" s="556"/>
      <x:c r="B210" s="556"/>
      <x:c r="C210" s="556"/>
      <x:c r="D210" s="556"/>
      <x:c r="E210" s="556"/>
    </x:row>
    <x:row r="211">
      <x:c r="A211" s="556"/>
      <x:c r="B211" s="556"/>
      <x:c r="C211" s="556"/>
      <x:c r="D211" s="556"/>
      <x:c r="E211" s="556"/>
    </x:row>
    <x:row r="212">
      <x:c r="A212" s="556"/>
      <x:c r="B212" s="556"/>
      <x:c r="C212" s="556"/>
      <x:c r="D212" s="556"/>
      <x:c r="E212" s="556"/>
    </x:row>
    <x:row r="213">
      <x:c r="A213" s="556"/>
      <x:c r="B213" s="556"/>
      <x:c r="C213" s="556"/>
      <x:c r="D213" s="556"/>
      <x:c r="E213" s="556"/>
    </x:row>
    <x:row r="214">
      <x:c r="A214" s="556"/>
      <x:c r="B214" s="556"/>
      <x:c r="C214" s="556"/>
      <x:c r="D214" s="556"/>
      <x:c r="E214" s="556"/>
    </x:row>
    <x:row r="215">
      <x:c r="A215" s="556"/>
      <x:c r="B215" s="556"/>
      <x:c r="C215" s="556"/>
      <x:c r="D215" s="556"/>
      <x:c r="E215" s="556"/>
    </x:row>
    <x:row r="216">
      <x:c r="A216" s="556"/>
      <x:c r="B216" s="556"/>
      <x:c r="C216" s="556"/>
      <x:c r="D216" s="556"/>
      <x:c r="E216" s="556"/>
    </x:row>
    <x:row r="217">
      <x:c r="A217" s="556"/>
      <x:c r="B217" s="556"/>
      <x:c r="C217" s="556"/>
      <x:c r="D217" s="556"/>
      <x:c r="E217" s="556"/>
    </x:row>
    <x:row r="218">
      <x:c r="A218" s="556"/>
      <x:c r="B218" s="556"/>
      <x:c r="C218" s="556"/>
      <x:c r="D218" s="556"/>
      <x:c r="E218" s="556"/>
    </x:row>
    <x:row r="219">
      <x:c r="A219" s="556"/>
      <x:c r="B219" s="556"/>
      <x:c r="C219" s="556"/>
      <x:c r="D219" s="556"/>
      <x:c r="E219" s="556"/>
    </x:row>
    <x:row r="220">
      <x:c r="A220" s="556"/>
      <x:c r="B220" s="556"/>
      <x:c r="C220" s="556"/>
      <x:c r="D220" s="556"/>
      <x:c r="E220" s="556"/>
    </x:row>
  </x:sheetData>
  <x:mergeCells>
    <x:mergeCell ref="A3:E3"/>
  </x:mergeCells>
  <x:dataValidations count="1">
    <x:dataValidation type="list" sqref="D6:D220">
      <x:formula1>"Not Started,In Progress,Done,Not Applicable"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44" hidden="0" customWidth="1"/>
    <x:col min="5" max="5" width="18" hidden="0" customWidth="1"/>
    <x:col min="6" max="6" width="20" hidden="0" customWidth="1"/>
  </x:cols>
  <x:sheetData>
    <x:row r="1">
      <x:c r="A1" s="571" t="str">
        <x:v>🧭 Travel OS RC3 Navigation</x:v>
      </x:c>
      <x:c r="B1" s="571"/>
      <x:c r="C1" s="571"/>
      <x:c r="D1" s="571"/>
      <x:c r="E1" s="571"/>
      <x:c r="F1" s="571"/>
    </x:row>
    <x:row r="2">
      <x:c r="A2" s="571"/>
      <x:c r="B2" s="571"/>
      <x:c r="C2" s="571"/>
      <x:c r="D2" s="571"/>
      <x:c r="E2" s="571"/>
      <x:c r="F2" s="571"/>
    </x:row>
    <x:row r="3">
      <x:c r="A3" s="572" t="str">
        <x:v>Hilda remains in the bottom bar. The left drawer gives complete access without crowding the main navigation.</x:v>
      </x:c>
      <x:c r="B3" s="572"/>
      <x:c r="C3" s="572"/>
      <x:c r="D3" s="572"/>
      <x:c r="E3" s="572"/>
      <x:c r="F3" s="572"/>
    </x:row>
    <x:row r="4">
      <x:c r="A4" s="568"/>
      <x:c r="B4" s="568"/>
      <x:c r="C4" s="568"/>
      <x:c r="D4" s="568"/>
      <x:c r="E4" s="568"/>
      <x:c r="F4" s="568"/>
    </x:row>
    <x:row r="5">
      <x:c r="A5" s="575" t="str">
        <x:v>Area</x:v>
      </x:c>
      <x:c r="B5" s="575" t="str">
        <x:v>Item</x:v>
      </x:c>
      <x:c r="C5" s="575" t="str">
        <x:v>Route</x:v>
      </x:c>
      <x:c r="D5" s="575" t="str">
        <x:v>Purpose</x:v>
      </x:c>
      <x:c r="E5" s="575" t="str">
        <x:v>Bottom Bar?</x:v>
      </x:c>
      <x:c r="F5" s="575" t="str">
        <x:v>Swipe Group</x:v>
      </x:c>
    </x:row>
    <x:row r="6">
      <x:c r="A6" s="576" t="str">
        <x:v>Main</x:v>
      </x:c>
      <x:c r="B6" s="576" t="str">
        <x:v>Home</x:v>
      </x:c>
      <x:c r="C6" s="576" t="str">
        <x:v>home</x:v>
      </x:c>
      <x:c r="D6" s="576" t="str">
        <x:v>Dashboard and system status</x:v>
      </x:c>
      <x:c r="E6" s="576" t="str">
        <x:v>Yes</x:v>
      </x:c>
      <x:c r="F6" s="576" t="str">
        <x:v>Main</x:v>
      </x:c>
    </x:row>
    <x:row r="7">
      <x:c r="A7" s="576" t="str">
        <x:v>Main</x:v>
      </x:c>
      <x:c r="B7" s="576" t="str">
        <x:v>Today</x:v>
      </x:c>
      <x:c r="C7" s="576" t="str">
        <x:v>today</x:v>
      </x:c>
      <x:c r="D7" s="576" t="str">
        <x:v>Daily plan</x:v>
      </x:c>
      <x:c r="E7" s="576" t="str">
        <x:v>Yes</x:v>
      </x:c>
      <x:c r="F7" s="576" t="str">
        <x:v>Main</x:v>
      </x:c>
    </x:row>
    <x:row r="8">
      <x:c r="A8" s="576" t="str">
        <x:v>Main</x:v>
      </x:c>
      <x:c r="B8" s="576" t="str">
        <x:v>Hilda</x:v>
      </x:c>
      <x:c r="C8" s="576" t="str">
        <x:v>hilda</x:v>
      </x:c>
      <x:c r="D8" s="576" t="str">
        <x:v>Simple plan and help</x:v>
      </x:c>
      <x:c r="E8" s="576" t="str">
        <x:v>Yes</x:v>
      </x:c>
      <x:c r="F8" s="576" t="str">
        <x:v>Main / Travelers</x:v>
      </x:c>
    </x:row>
    <x:row r="9">
      <x:c r="A9" s="576" t="str">
        <x:v>Main</x:v>
      </x:c>
      <x:c r="B9" s="576" t="str">
        <x:v>Travelers</x:v>
      </x:c>
      <x:c r="C9" s="576" t="str">
        <x:v>travelers</x:v>
      </x:c>
      <x:c r="D9" s="576" t="str">
        <x:v>Traveler dashboards</x:v>
      </x:c>
      <x:c r="E9" s="576" t="str">
        <x:v>Yes</x:v>
      </x:c>
      <x:c r="F9" s="576" t="str">
        <x:v>Main</x:v>
      </x:c>
    </x:row>
    <x:row r="10">
      <x:c r="A10" s="576" t="str">
        <x:v>Main</x:v>
      </x:c>
      <x:c r="B10" s="576" t="str">
        <x:v>SOS</x:v>
      </x:c>
      <x:c r="C10" s="576" t="str">
        <x:v>sos</x:v>
      </x:c>
      <x:c r="D10" s="576" t="str">
        <x:v>Emergency access</x:v>
      </x:c>
      <x:c r="E10" s="576" t="str">
        <x:v>Yes</x:v>
      </x:c>
      <x:c r="F10" s="576" t="str">
        <x:v>Main</x:v>
      </x:c>
    </x:row>
    <x:row r="11">
      <x:c r="A11" s="576" t="str">
        <x:v>Main</x:v>
      </x:c>
      <x:c r="B11" s="576" t="str">
        <x:v>More</x:v>
      </x:c>
      <x:c r="C11" s="576" t="str">
        <x:v>drawer</x:v>
      </x:c>
      <x:c r="D11" s="576" t="str">
        <x:v>Open complete menu</x:v>
      </x:c>
      <x:c r="E11" s="576" t="str">
        <x:v>Yes</x:v>
      </x:c>
      <x:c r="F11" s="576" t="str">
        <x:v>None</x:v>
      </x:c>
    </x:row>
    <x:row r="12">
      <x:c r="A12" s="576" t="str">
        <x:v>Traveler</x:v>
      </x:c>
      <x:c r="B12" s="576" t="str">
        <x:v>David</x:v>
      </x:c>
      <x:c r="C12" s="576" t="str">
        <x:v>david</x:v>
      </x:c>
      <x:c r="D12" s="576" t="str">
        <x:v>Planning and logistics</x:v>
      </x:c>
      <x:c r="E12" s="576" t="str">
        <x:v>No</x:v>
      </x:c>
      <x:c r="F12" s="576" t="str">
        <x:v>Travelers</x:v>
      </x:c>
    </x:row>
    <x:row r="13">
      <x:c r="A13" s="576" t="str">
        <x:v>Traveler</x:v>
      </x:c>
      <x:c r="B13" s="576" t="str">
        <x:v>Noelle</x:v>
      </x:c>
      <x:c r="C13" s="576" t="str">
        <x:v>noelle</x:v>
      </x:c>
      <x:c r="D13" s="576" t="str">
        <x:v>Food, shopping, and planning</x:v>
      </x:c>
      <x:c r="E13" s="576" t="str">
        <x:v>No</x:v>
      </x:c>
      <x:c r="F13" s="576" t="str">
        <x:v>Travelers</x:v>
      </x:c>
    </x:row>
    <x:row r="14">
      <x:c r="A14" s="576" t="str">
        <x:v>Traveler</x:v>
      </x:c>
      <x:c r="B14" s="576" t="str">
        <x:v>Nick</x:v>
      </x:c>
      <x:c r="C14" s="576" t="str">
        <x:v>nick</x:v>
      </x:c>
      <x:c r="D14" s="576" t="str">
        <x:v>First-time Japan dashboard</x:v>
      </x:c>
      <x:c r="E14" s="576" t="str">
        <x:v>No</x:v>
      </x:c>
      <x:c r="F14" s="576" t="str">
        <x:v>Travelers</x:v>
      </x:c>
    </x:row>
    <x:row r="15">
      <x:c r="A15" s="576" t="str">
        <x:v>Destination</x:v>
      </x:c>
      <x:c r="B15" s="576" t="str">
        <x:v>Tokyo</x:v>
      </x:c>
      <x:c r="C15" s="576" t="str">
        <x:v>tokyo</x:v>
      </x:c>
      <x:c r="D15" s="576" t="str">
        <x:v>Tokyo dashboard</x:v>
      </x:c>
      <x:c r="E15" s="576" t="str">
        <x:v>No</x:v>
      </x:c>
      <x:c r="F15" s="576" t="str">
        <x:v>Destinations</x:v>
      </x:c>
    </x:row>
    <x:row r="16">
      <x:c r="A16" s="576" t="str">
        <x:v>Destination</x:v>
      </x:c>
      <x:c r="B16" s="576" t="str">
        <x:v>Hakone</x:v>
      </x:c>
      <x:c r="C16" s="576" t="str">
        <x:v>hakone</x:v>
      </x:c>
      <x:c r="D16" s="576" t="str">
        <x:v>Hakone and ryokan dashboard</x:v>
      </x:c>
      <x:c r="E16" s="576" t="str">
        <x:v>No</x:v>
      </x:c>
      <x:c r="F16" s="576" t="str">
        <x:v>Destinations</x:v>
      </x:c>
    </x:row>
    <x:row r="17">
      <x:c r="A17" s="576" t="str">
        <x:v>Destination</x:v>
      </x:c>
      <x:c r="B17" s="576" t="str">
        <x:v>Kyoto</x:v>
      </x:c>
      <x:c r="C17" s="576" t="str">
        <x:v>kyoto</x:v>
      </x:c>
      <x:c r="D17" s="576" t="str">
        <x:v>Kyoto dashboard</x:v>
      </x:c>
      <x:c r="E17" s="576" t="str">
        <x:v>No</x:v>
      </x:c>
      <x:c r="F17" s="576" t="str">
        <x:v>Destinations</x:v>
      </x:c>
    </x:row>
    <x:row r="18">
      <x:c r="A18" s="576" t="str">
        <x:v>Destination</x:v>
      </x:c>
      <x:c r="B18" s="576" t="str">
        <x:v>Osaka</x:v>
      </x:c>
      <x:c r="C18" s="576" t="str">
        <x:v>osaka</x:v>
      </x:c>
      <x:c r="D18" s="576" t="str">
        <x:v>Two-day Osaka dashboard</x:v>
      </x:c>
      <x:c r="E18" s="576" t="str">
        <x:v>No</x:v>
      </x:c>
      <x:c r="F18" s="576" t="str">
        <x:v>Destinations</x:v>
      </x:c>
    </x:row>
    <x:row r="19">
      <x:c r="A19" s="576" t="str">
        <x:v>Destination</x:v>
      </x:c>
      <x:c r="B19" s="576" t="str">
        <x:v>Nara</x:v>
      </x:c>
      <x:c r="C19" s="576" t="str">
        <x:v>nara</x:v>
      </x:c>
      <x:c r="D19" s="576" t="str">
        <x:v>Nara day-trip dashboard</x:v>
      </x:c>
      <x:c r="E19" s="576" t="str">
        <x:v>No</x:v>
      </x:c>
      <x:c r="F19" s="576" t="str">
        <x:v>Destinations</x:v>
      </x:c>
    </x:row>
    <x:row r="20">
      <x:c r="A20" s="568"/>
      <x:c r="B20" s="568"/>
      <x:c r="C20" s="568"/>
      <x:c r="D20" s="568"/>
      <x:c r="E20" s="568"/>
      <x:c r="F20" s="568"/>
    </x:row>
    <x:row r="21">
      <x:c r="A21" s="568"/>
      <x:c r="B21" s="568"/>
      <x:c r="C21" s="568"/>
      <x:c r="D21" s="568"/>
      <x:c r="E21" s="568"/>
      <x:c r="F21" s="568"/>
    </x:row>
    <x:row r="22">
      <x:c r="A22" s="568"/>
      <x:c r="B22" s="568"/>
      <x:c r="C22" s="568"/>
      <x:c r="D22" s="568"/>
      <x:c r="E22" s="568"/>
      <x:c r="F22" s="568"/>
    </x:row>
    <x:row r="23">
      <x:c r="A23" s="568"/>
      <x:c r="B23" s="568"/>
      <x:c r="C23" s="568"/>
      <x:c r="D23" s="568"/>
      <x:c r="E23" s="568"/>
      <x:c r="F23" s="568"/>
    </x:row>
    <x:row r="24">
      <x:c r="A24" s="568"/>
      <x:c r="B24" s="568"/>
      <x:c r="C24" s="568"/>
      <x:c r="D24" s="568"/>
      <x:c r="E24" s="568"/>
      <x:c r="F24" s="568"/>
    </x:row>
    <x:row r="25">
      <x:c r="A25" s="568"/>
      <x:c r="B25" s="568"/>
      <x:c r="C25" s="568"/>
      <x:c r="D25" s="568"/>
      <x:c r="E25" s="568"/>
      <x:c r="F25" s="568"/>
    </x:row>
    <x:row r="26">
      <x:c r="A26" s="568"/>
      <x:c r="B26" s="568"/>
      <x:c r="C26" s="568"/>
      <x:c r="D26" s="568"/>
      <x:c r="E26" s="568"/>
      <x:c r="F26" s="568"/>
    </x:row>
    <x:row r="27">
      <x:c r="A27" s="568"/>
      <x:c r="B27" s="568"/>
      <x:c r="C27" s="568"/>
      <x:c r="D27" s="568"/>
      <x:c r="E27" s="568"/>
      <x:c r="F27" s="568"/>
    </x:row>
    <x:row r="28">
      <x:c r="A28" s="568"/>
      <x:c r="B28" s="568"/>
      <x:c r="C28" s="568"/>
      <x:c r="D28" s="568"/>
      <x:c r="E28" s="568"/>
      <x:c r="F28" s="568"/>
    </x:row>
    <x:row r="29">
      <x:c r="A29" s="568"/>
      <x:c r="B29" s="568"/>
      <x:c r="C29" s="568"/>
      <x:c r="D29" s="568"/>
      <x:c r="E29" s="568"/>
      <x:c r="F29" s="568"/>
    </x:row>
    <x:row r="30">
      <x:c r="A30" s="568"/>
      <x:c r="B30" s="568"/>
      <x:c r="C30" s="568"/>
      <x:c r="D30" s="568"/>
      <x:c r="E30" s="568"/>
      <x:c r="F30" s="568"/>
    </x:row>
    <x:row r="31">
      <x:c r="A31" s="568"/>
      <x:c r="B31" s="568"/>
      <x:c r="C31" s="568"/>
      <x:c r="D31" s="568"/>
      <x:c r="E31" s="568"/>
      <x:c r="F31" s="568"/>
    </x:row>
    <x:row r="32">
      <x:c r="A32" s="568"/>
      <x:c r="B32" s="568"/>
      <x:c r="C32" s="568"/>
      <x:c r="D32" s="568"/>
      <x:c r="E32" s="568"/>
      <x:c r="F32" s="568"/>
    </x:row>
    <x:row r="33">
      <x:c r="A33" s="568"/>
      <x:c r="B33" s="568"/>
      <x:c r="C33" s="568"/>
      <x:c r="D33" s="568"/>
      <x:c r="E33" s="568"/>
      <x:c r="F33" s="568"/>
    </x:row>
    <x:row r="34">
      <x:c r="A34" s="568"/>
      <x:c r="B34" s="568"/>
      <x:c r="C34" s="568"/>
      <x:c r="D34" s="568"/>
      <x:c r="E34" s="568"/>
      <x:c r="F34" s="568"/>
    </x:row>
    <x:row r="35">
      <x:c r="A35" s="568"/>
      <x:c r="B35" s="568"/>
      <x:c r="C35" s="568"/>
      <x:c r="D35" s="568"/>
      <x:c r="E35" s="568"/>
      <x:c r="F35" s="568"/>
    </x:row>
    <x:row r="36">
      <x:c r="A36" s="568"/>
      <x:c r="B36" s="568"/>
      <x:c r="C36" s="568"/>
      <x:c r="D36" s="568"/>
      <x:c r="E36" s="568"/>
      <x:c r="F36" s="568"/>
    </x:row>
    <x:row r="37">
      <x:c r="A37" s="568"/>
      <x:c r="B37" s="568"/>
      <x:c r="C37" s="568"/>
      <x:c r="D37" s="568"/>
      <x:c r="E37" s="568"/>
      <x:c r="F37" s="568"/>
    </x:row>
    <x:row r="38">
      <x:c r="A38" s="568"/>
      <x:c r="B38" s="568"/>
      <x:c r="C38" s="568"/>
      <x:c r="D38" s="568"/>
      <x:c r="E38" s="568"/>
      <x:c r="F38" s="568"/>
    </x:row>
    <x:row r="39">
      <x:c r="A39" s="568"/>
      <x:c r="B39" s="568"/>
      <x:c r="C39" s="568"/>
      <x:c r="D39" s="568"/>
      <x:c r="E39" s="568"/>
      <x:c r="F39" s="568"/>
    </x:row>
    <x:row r="40">
      <x:c r="A40" s="568"/>
      <x:c r="B40" s="568"/>
      <x:c r="C40" s="568"/>
      <x:c r="D40" s="568"/>
      <x:c r="E40" s="568"/>
      <x:c r="F40" s="568"/>
    </x:row>
    <x:row r="41">
      <x:c r="A41" s="568"/>
      <x:c r="B41" s="568"/>
      <x:c r="C41" s="568"/>
      <x:c r="D41" s="568"/>
      <x:c r="E41" s="568"/>
      <x:c r="F41" s="568"/>
    </x:row>
    <x:row r="42">
      <x:c r="A42" s="568"/>
      <x:c r="B42" s="568"/>
      <x:c r="C42" s="568"/>
      <x:c r="D42" s="568"/>
      <x:c r="E42" s="568"/>
      <x:c r="F42" s="568"/>
    </x:row>
    <x:row r="43">
      <x:c r="A43" s="568"/>
      <x:c r="B43" s="568"/>
      <x:c r="C43" s="568"/>
      <x:c r="D43" s="568"/>
      <x:c r="E43" s="568"/>
      <x:c r="F43" s="568"/>
    </x:row>
    <x:row r="44">
      <x:c r="A44" s="568"/>
      <x:c r="B44" s="568"/>
      <x:c r="C44" s="568"/>
      <x:c r="D44" s="568"/>
      <x:c r="E44" s="568"/>
      <x:c r="F44" s="568"/>
    </x:row>
    <x:row r="45">
      <x:c r="A45" s="568"/>
      <x:c r="B45" s="568"/>
      <x:c r="C45" s="568"/>
      <x:c r="D45" s="568"/>
      <x:c r="E45" s="568"/>
      <x:c r="F45" s="568"/>
    </x:row>
    <x:row r="46">
      <x:c r="A46" s="568"/>
      <x:c r="B46" s="568"/>
      <x:c r="C46" s="568"/>
      <x:c r="D46" s="568"/>
      <x:c r="E46" s="568"/>
      <x:c r="F46" s="568"/>
    </x:row>
    <x:row r="47">
      <x:c r="A47" s="568"/>
      <x:c r="B47" s="568"/>
      <x:c r="C47" s="568"/>
      <x:c r="D47" s="568"/>
      <x:c r="E47" s="568"/>
      <x:c r="F47" s="568"/>
    </x:row>
    <x:row r="48">
      <x:c r="A48" s="568"/>
      <x:c r="B48" s="568"/>
      <x:c r="C48" s="568"/>
      <x:c r="D48" s="568"/>
      <x:c r="E48" s="568"/>
      <x:c r="F48" s="568"/>
    </x:row>
    <x:row r="49">
      <x:c r="A49" s="568"/>
      <x:c r="B49" s="568"/>
      <x:c r="C49" s="568"/>
      <x:c r="D49" s="568"/>
      <x:c r="E49" s="568"/>
      <x:c r="F49" s="568"/>
    </x:row>
    <x:row r="50">
      <x:c r="A50" s="568"/>
      <x:c r="B50" s="568"/>
      <x:c r="C50" s="568"/>
      <x:c r="D50" s="568"/>
      <x:c r="E50" s="568"/>
      <x:c r="F50" s="568"/>
    </x:row>
    <x:row r="51">
      <x:c r="A51" s="568"/>
      <x:c r="B51" s="568"/>
      <x:c r="C51" s="568"/>
      <x:c r="D51" s="568"/>
      <x:c r="E51" s="568"/>
      <x:c r="F51" s="568"/>
    </x:row>
    <x:row r="52">
      <x:c r="A52" s="568"/>
      <x:c r="B52" s="568"/>
      <x:c r="C52" s="568"/>
      <x:c r="D52" s="568"/>
      <x:c r="E52" s="568"/>
      <x:c r="F52" s="568"/>
    </x:row>
    <x:row r="53">
      <x:c r="A53" s="568"/>
      <x:c r="B53" s="568"/>
      <x:c r="C53" s="568"/>
      <x:c r="D53" s="568"/>
      <x:c r="E53" s="568"/>
      <x:c r="F53" s="568"/>
    </x:row>
    <x:row r="54">
      <x:c r="A54" s="568"/>
      <x:c r="B54" s="568"/>
      <x:c r="C54" s="568"/>
      <x:c r="D54" s="568"/>
      <x:c r="E54" s="568"/>
      <x:c r="F54" s="568"/>
    </x:row>
    <x:row r="55">
      <x:c r="A55" s="568"/>
      <x:c r="B55" s="568"/>
      <x:c r="C55" s="568"/>
      <x:c r="D55" s="568"/>
      <x:c r="E55" s="568"/>
      <x:c r="F55" s="568"/>
    </x:row>
    <x:row r="56">
      <x:c r="A56" s="568"/>
      <x:c r="B56" s="568"/>
      <x:c r="C56" s="568"/>
      <x:c r="D56" s="568"/>
      <x:c r="E56" s="568"/>
      <x:c r="F56" s="568"/>
    </x:row>
    <x:row r="57">
      <x:c r="A57" s="568"/>
      <x:c r="B57" s="568"/>
      <x:c r="C57" s="568"/>
      <x:c r="D57" s="568"/>
      <x:c r="E57" s="568"/>
      <x:c r="F57" s="568"/>
    </x:row>
    <x:row r="58">
      <x:c r="A58" s="568"/>
      <x:c r="B58" s="568"/>
      <x:c r="C58" s="568"/>
      <x:c r="D58" s="568"/>
      <x:c r="E58" s="568"/>
      <x:c r="F58" s="568"/>
    </x:row>
    <x:row r="59">
      <x:c r="A59" s="568"/>
      <x:c r="B59" s="568"/>
      <x:c r="C59" s="568"/>
      <x:c r="D59" s="568"/>
      <x:c r="E59" s="568"/>
      <x:c r="F59" s="568"/>
    </x:row>
    <x:row r="60">
      <x:c r="A60" s="568"/>
      <x:c r="B60" s="568"/>
      <x:c r="C60" s="568"/>
      <x:c r="D60" s="568"/>
      <x:c r="E60" s="568"/>
      <x:c r="F60" s="568"/>
    </x:row>
    <x:row r="61">
      <x:c r="A61" s="568"/>
      <x:c r="B61" s="568"/>
      <x:c r="C61" s="568"/>
      <x:c r="D61" s="568"/>
      <x:c r="E61" s="568"/>
      <x:c r="F61" s="568"/>
    </x:row>
    <x:row r="62">
      <x:c r="A62" s="568"/>
      <x:c r="B62" s="568"/>
      <x:c r="C62" s="568"/>
      <x:c r="D62" s="568"/>
      <x:c r="E62" s="568"/>
      <x:c r="F62" s="568"/>
    </x:row>
    <x:row r="63">
      <x:c r="A63" s="568"/>
      <x:c r="B63" s="568"/>
      <x:c r="C63" s="568"/>
      <x:c r="D63" s="568"/>
      <x:c r="E63" s="568"/>
      <x:c r="F63" s="568"/>
    </x:row>
    <x:row r="64">
      <x:c r="A64" s="568"/>
      <x:c r="B64" s="568"/>
      <x:c r="C64" s="568"/>
      <x:c r="D64" s="568"/>
      <x:c r="E64" s="568"/>
      <x:c r="F64" s="568"/>
    </x:row>
    <x:row r="65">
      <x:c r="A65" s="568"/>
      <x:c r="B65" s="568"/>
      <x:c r="C65" s="568"/>
      <x:c r="D65" s="568"/>
      <x:c r="E65" s="568"/>
      <x:c r="F65" s="568"/>
    </x:row>
    <x:row r="66">
      <x:c r="A66" s="568"/>
      <x:c r="B66" s="568"/>
      <x:c r="C66" s="568"/>
      <x:c r="D66" s="568"/>
      <x:c r="E66" s="568"/>
      <x:c r="F66" s="568"/>
    </x:row>
    <x:row r="67">
      <x:c r="A67" s="568"/>
      <x:c r="B67" s="568"/>
      <x:c r="C67" s="568"/>
      <x:c r="D67" s="568"/>
      <x:c r="E67" s="568"/>
      <x:c r="F67" s="568"/>
    </x:row>
    <x:row r="68">
      <x:c r="A68" s="568"/>
      <x:c r="B68" s="568"/>
      <x:c r="C68" s="568"/>
      <x:c r="D68" s="568"/>
      <x:c r="E68" s="568"/>
      <x:c r="F68" s="568"/>
    </x:row>
    <x:row r="69">
      <x:c r="A69" s="568"/>
      <x:c r="B69" s="568"/>
      <x:c r="C69" s="568"/>
      <x:c r="D69" s="568"/>
      <x:c r="E69" s="568"/>
      <x:c r="F69" s="568"/>
    </x:row>
    <x:row r="70">
      <x:c r="A70" s="568"/>
      <x:c r="B70" s="568"/>
      <x:c r="C70" s="568"/>
      <x:c r="D70" s="568"/>
      <x:c r="E70" s="568"/>
      <x:c r="F70" s="568"/>
    </x:row>
    <x:row r="71">
      <x:c r="A71" s="568"/>
      <x:c r="B71" s="568"/>
      <x:c r="C71" s="568"/>
      <x:c r="D71" s="568"/>
      <x:c r="E71" s="568"/>
      <x:c r="F71" s="568"/>
    </x:row>
    <x:row r="72">
      <x:c r="A72" s="568"/>
      <x:c r="B72" s="568"/>
      <x:c r="C72" s="568"/>
      <x:c r="D72" s="568"/>
      <x:c r="E72" s="568"/>
      <x:c r="F72" s="568"/>
    </x:row>
    <x:row r="73">
      <x:c r="A73" s="568"/>
      <x:c r="B73" s="568"/>
      <x:c r="C73" s="568"/>
      <x:c r="D73" s="568"/>
      <x:c r="E73" s="568"/>
      <x:c r="F73" s="568"/>
    </x:row>
    <x:row r="74">
      <x:c r="A74" s="568"/>
      <x:c r="B74" s="568"/>
      <x:c r="C74" s="568"/>
      <x:c r="D74" s="568"/>
      <x:c r="E74" s="568"/>
      <x:c r="F74" s="568"/>
    </x:row>
    <x:row r="75">
      <x:c r="A75" s="568"/>
      <x:c r="B75" s="568"/>
      <x:c r="C75" s="568"/>
      <x:c r="D75" s="568"/>
      <x:c r="E75" s="568"/>
      <x:c r="F75" s="568"/>
    </x:row>
    <x:row r="76">
      <x:c r="A76" s="568"/>
      <x:c r="B76" s="568"/>
      <x:c r="C76" s="568"/>
      <x:c r="D76" s="568"/>
      <x:c r="E76" s="568"/>
      <x:c r="F76" s="568"/>
    </x:row>
    <x:row r="77">
      <x:c r="A77" s="568"/>
      <x:c r="B77" s="568"/>
      <x:c r="C77" s="568"/>
      <x:c r="D77" s="568"/>
      <x:c r="E77" s="568"/>
      <x:c r="F77" s="568"/>
    </x:row>
    <x:row r="78">
      <x:c r="A78" s="568"/>
      <x:c r="B78" s="568"/>
      <x:c r="C78" s="568"/>
      <x:c r="D78" s="568"/>
      <x:c r="E78" s="568"/>
      <x:c r="F78" s="568"/>
    </x:row>
    <x:row r="79">
      <x:c r="A79" s="568"/>
      <x:c r="B79" s="568"/>
      <x:c r="C79" s="568"/>
      <x:c r="D79" s="568"/>
      <x:c r="E79" s="568"/>
      <x:c r="F79" s="568"/>
    </x:row>
    <x:row r="80">
      <x:c r="A80" s="568"/>
      <x:c r="B80" s="568"/>
      <x:c r="C80" s="568"/>
      <x:c r="D80" s="568"/>
      <x:c r="E80" s="568"/>
      <x:c r="F80" s="568"/>
    </x:row>
    <x:row r="81">
      <x:c r="A81" s="568"/>
      <x:c r="B81" s="568"/>
      <x:c r="C81" s="568"/>
      <x:c r="D81" s="568"/>
      <x:c r="E81" s="568"/>
      <x:c r="F81" s="568"/>
    </x:row>
    <x:row r="82">
      <x:c r="A82" s="568"/>
      <x:c r="B82" s="568"/>
      <x:c r="C82" s="568"/>
      <x:c r="D82" s="568"/>
      <x:c r="E82" s="568"/>
      <x:c r="F82" s="568"/>
    </x:row>
    <x:row r="83">
      <x:c r="A83" s="568"/>
      <x:c r="B83" s="568"/>
      <x:c r="C83" s="568"/>
      <x:c r="D83" s="568"/>
      <x:c r="E83" s="568"/>
      <x:c r="F83" s="568"/>
    </x:row>
    <x:row r="84">
      <x:c r="A84" s="568"/>
      <x:c r="B84" s="568"/>
      <x:c r="C84" s="568"/>
      <x:c r="D84" s="568"/>
      <x:c r="E84" s="568"/>
      <x:c r="F84" s="568"/>
    </x:row>
    <x:row r="85">
      <x:c r="A85" s="568"/>
      <x:c r="B85" s="568"/>
      <x:c r="C85" s="568"/>
      <x:c r="D85" s="568"/>
      <x:c r="E85" s="568"/>
      <x:c r="F85" s="568"/>
    </x:row>
    <x:row r="86">
      <x:c r="A86" s="568"/>
      <x:c r="B86" s="568"/>
      <x:c r="C86" s="568"/>
      <x:c r="D86" s="568"/>
      <x:c r="E86" s="568"/>
      <x:c r="F86" s="568"/>
    </x:row>
    <x:row r="87">
      <x:c r="A87" s="568"/>
      <x:c r="B87" s="568"/>
      <x:c r="C87" s="568"/>
      <x:c r="D87" s="568"/>
      <x:c r="E87" s="568"/>
      <x:c r="F87" s="568"/>
    </x:row>
    <x:row r="88">
      <x:c r="A88" s="568"/>
      <x:c r="B88" s="568"/>
      <x:c r="C88" s="568"/>
      <x:c r="D88" s="568"/>
      <x:c r="E88" s="568"/>
      <x:c r="F88" s="568"/>
    </x:row>
    <x:row r="89">
      <x:c r="A89" s="568"/>
      <x:c r="B89" s="568"/>
      <x:c r="C89" s="568"/>
      <x:c r="D89" s="568"/>
      <x:c r="E89" s="568"/>
      <x:c r="F89" s="568"/>
    </x:row>
    <x:row r="90">
      <x:c r="A90" s="568"/>
      <x:c r="B90" s="568"/>
      <x:c r="C90" s="568"/>
      <x:c r="D90" s="568"/>
      <x:c r="E90" s="568"/>
      <x:c r="F90" s="568"/>
    </x:row>
    <x:row r="91">
      <x:c r="A91" s="568"/>
      <x:c r="B91" s="568"/>
      <x:c r="C91" s="568"/>
      <x:c r="D91" s="568"/>
      <x:c r="E91" s="568"/>
      <x:c r="F91" s="568"/>
    </x:row>
    <x:row r="92">
      <x:c r="A92" s="568"/>
      <x:c r="B92" s="568"/>
      <x:c r="C92" s="568"/>
      <x:c r="D92" s="568"/>
      <x:c r="E92" s="568"/>
      <x:c r="F92" s="568"/>
    </x:row>
    <x:row r="93">
      <x:c r="A93" s="568"/>
      <x:c r="B93" s="568"/>
      <x:c r="C93" s="568"/>
      <x:c r="D93" s="568"/>
      <x:c r="E93" s="568"/>
      <x:c r="F93" s="568"/>
    </x:row>
    <x:row r="94">
      <x:c r="A94" s="568"/>
      <x:c r="B94" s="568"/>
      <x:c r="C94" s="568"/>
      <x:c r="D94" s="568"/>
      <x:c r="E94" s="568"/>
      <x:c r="F94" s="568"/>
    </x:row>
    <x:row r="95">
      <x:c r="A95" s="568"/>
      <x:c r="B95" s="568"/>
      <x:c r="C95" s="568"/>
      <x:c r="D95" s="568"/>
      <x:c r="E95" s="568"/>
      <x:c r="F95" s="568"/>
    </x:row>
    <x:row r="96">
      <x:c r="A96" s="568"/>
      <x:c r="B96" s="568"/>
      <x:c r="C96" s="568"/>
      <x:c r="D96" s="568"/>
      <x:c r="E96" s="568"/>
      <x:c r="F96" s="568"/>
    </x:row>
    <x:row r="97">
      <x:c r="A97" s="568"/>
      <x:c r="B97" s="568"/>
      <x:c r="C97" s="568"/>
      <x:c r="D97" s="568"/>
      <x:c r="E97" s="568"/>
      <x:c r="F97" s="568"/>
    </x:row>
    <x:row r="98">
      <x:c r="A98" s="568"/>
      <x:c r="B98" s="568"/>
      <x:c r="C98" s="568"/>
      <x:c r="D98" s="568"/>
      <x:c r="E98" s="568"/>
      <x:c r="F98" s="568"/>
    </x:row>
    <x:row r="99">
      <x:c r="A99" s="568"/>
      <x:c r="B99" s="568"/>
      <x:c r="C99" s="568"/>
      <x:c r="D99" s="568"/>
      <x:c r="E99" s="568"/>
      <x:c r="F99" s="568"/>
    </x:row>
    <x:row r="100">
      <x:c r="A100" s="568"/>
      <x:c r="B100" s="568"/>
      <x:c r="C100" s="568"/>
      <x:c r="D100" s="568"/>
      <x:c r="E100" s="568"/>
      <x:c r="F100" s="568"/>
    </x:row>
    <x:row r="101">
      <x:c r="A101" s="568"/>
      <x:c r="B101" s="568"/>
      <x:c r="C101" s="568"/>
      <x:c r="D101" s="568"/>
      <x:c r="E101" s="568"/>
      <x:c r="F101" s="568"/>
    </x:row>
    <x:row r="102">
      <x:c r="A102" s="568"/>
      <x:c r="B102" s="568"/>
      <x:c r="C102" s="568"/>
      <x:c r="D102" s="568"/>
      <x:c r="E102" s="568"/>
      <x:c r="F102" s="568"/>
    </x:row>
    <x:row r="103">
      <x:c r="A103" s="568"/>
      <x:c r="B103" s="568"/>
      <x:c r="C103" s="568"/>
      <x:c r="D103" s="568"/>
      <x:c r="E103" s="568"/>
      <x:c r="F103" s="568"/>
    </x:row>
    <x:row r="104">
      <x:c r="A104" s="568"/>
      <x:c r="B104" s="568"/>
      <x:c r="C104" s="568"/>
      <x:c r="D104" s="568"/>
      <x:c r="E104" s="568"/>
      <x:c r="F104" s="568"/>
    </x:row>
    <x:row r="105">
      <x:c r="A105" s="568"/>
      <x:c r="B105" s="568"/>
      <x:c r="C105" s="568"/>
      <x:c r="D105" s="568"/>
      <x:c r="E105" s="568"/>
      <x:c r="F105" s="568"/>
    </x:row>
    <x:row r="106">
      <x:c r="A106" s="568"/>
      <x:c r="B106" s="568"/>
      <x:c r="C106" s="568"/>
      <x:c r="D106" s="568"/>
      <x:c r="E106" s="568"/>
      <x:c r="F106" s="568"/>
    </x:row>
    <x:row r="107">
      <x:c r="A107" s="568"/>
      <x:c r="B107" s="568"/>
      <x:c r="C107" s="568"/>
      <x:c r="D107" s="568"/>
      <x:c r="E107" s="568"/>
      <x:c r="F107" s="568"/>
    </x:row>
    <x:row r="108">
      <x:c r="A108" s="568"/>
      <x:c r="B108" s="568"/>
      <x:c r="C108" s="568"/>
      <x:c r="D108" s="568"/>
      <x:c r="E108" s="568"/>
      <x:c r="F108" s="568"/>
    </x:row>
    <x:row r="109">
      <x:c r="A109" s="568"/>
      <x:c r="B109" s="568"/>
      <x:c r="C109" s="568"/>
      <x:c r="D109" s="568"/>
      <x:c r="E109" s="568"/>
      <x:c r="F109" s="568"/>
    </x:row>
    <x:row r="110">
      <x:c r="A110" s="568"/>
      <x:c r="B110" s="568"/>
      <x:c r="C110" s="568"/>
      <x:c r="D110" s="568"/>
      <x:c r="E110" s="568"/>
      <x:c r="F110" s="568"/>
    </x:row>
    <x:row r="111">
      <x:c r="A111" s="568"/>
      <x:c r="B111" s="568"/>
      <x:c r="C111" s="568"/>
      <x:c r="D111" s="568"/>
      <x:c r="E111" s="568"/>
      <x:c r="F111" s="568"/>
    </x:row>
    <x:row r="112">
      <x:c r="A112" s="568"/>
      <x:c r="B112" s="568"/>
      <x:c r="C112" s="568"/>
      <x:c r="D112" s="568"/>
      <x:c r="E112" s="568"/>
      <x:c r="F112" s="568"/>
    </x:row>
    <x:row r="113">
      <x:c r="A113" s="568"/>
      <x:c r="B113" s="568"/>
      <x:c r="C113" s="568"/>
      <x:c r="D113" s="568"/>
      <x:c r="E113" s="568"/>
      <x:c r="F113" s="568"/>
    </x:row>
    <x:row r="114">
      <x:c r="A114" s="568"/>
      <x:c r="B114" s="568"/>
      <x:c r="C114" s="568"/>
      <x:c r="D114" s="568"/>
      <x:c r="E114" s="568"/>
      <x:c r="F114" s="568"/>
    </x:row>
    <x:row r="115">
      <x:c r="A115" s="568"/>
      <x:c r="B115" s="568"/>
      <x:c r="C115" s="568"/>
      <x:c r="D115" s="568"/>
      <x:c r="E115" s="568"/>
      <x:c r="F115" s="568"/>
    </x:row>
    <x:row r="116">
      <x:c r="A116" s="568"/>
      <x:c r="B116" s="568"/>
      <x:c r="C116" s="568"/>
      <x:c r="D116" s="568"/>
      <x:c r="E116" s="568"/>
      <x:c r="F116" s="568"/>
    </x:row>
    <x:row r="117">
      <x:c r="A117" s="568"/>
      <x:c r="B117" s="568"/>
      <x:c r="C117" s="568"/>
      <x:c r="D117" s="568"/>
      <x:c r="E117" s="568"/>
      <x:c r="F117" s="568"/>
    </x:row>
    <x:row r="118">
      <x:c r="A118" s="568"/>
      <x:c r="B118" s="568"/>
      <x:c r="C118" s="568"/>
      <x:c r="D118" s="568"/>
      <x:c r="E118" s="568"/>
      <x:c r="F118" s="568"/>
    </x:row>
    <x:row r="119">
      <x:c r="A119" s="568"/>
      <x:c r="B119" s="568"/>
      <x:c r="C119" s="568"/>
      <x:c r="D119" s="568"/>
      <x:c r="E119" s="568"/>
      <x:c r="F119" s="568"/>
    </x:row>
    <x:row r="120">
      <x:c r="A120" s="568"/>
      <x:c r="B120" s="568"/>
      <x:c r="C120" s="568"/>
      <x:c r="D120" s="568"/>
      <x:c r="E120" s="568"/>
      <x:c r="F120" s="568"/>
    </x:row>
    <x:row r="121">
      <x:c r="A121" s="568"/>
      <x:c r="B121" s="568"/>
      <x:c r="C121" s="568"/>
      <x:c r="D121" s="568"/>
      <x:c r="E121" s="568"/>
      <x:c r="F121" s="568"/>
    </x:row>
    <x:row r="122">
      <x:c r="A122" s="568"/>
      <x:c r="B122" s="568"/>
      <x:c r="C122" s="568"/>
      <x:c r="D122" s="568"/>
      <x:c r="E122" s="568"/>
      <x:c r="F122" s="568"/>
    </x:row>
    <x:row r="123">
      <x:c r="A123" s="568"/>
      <x:c r="B123" s="568"/>
      <x:c r="C123" s="568"/>
      <x:c r="D123" s="568"/>
      <x:c r="E123" s="568"/>
      <x:c r="F123" s="568"/>
    </x:row>
    <x:row r="124">
      <x:c r="A124" s="568"/>
      <x:c r="B124" s="568"/>
      <x:c r="C124" s="568"/>
      <x:c r="D124" s="568"/>
      <x:c r="E124" s="568"/>
      <x:c r="F124" s="568"/>
    </x:row>
    <x:row r="125">
      <x:c r="A125" s="568"/>
      <x:c r="B125" s="568"/>
      <x:c r="C125" s="568"/>
      <x:c r="D125" s="568"/>
      <x:c r="E125" s="568"/>
      <x:c r="F125" s="568"/>
    </x:row>
    <x:row r="126">
      <x:c r="A126" s="568"/>
      <x:c r="B126" s="568"/>
      <x:c r="C126" s="568"/>
      <x:c r="D126" s="568"/>
      <x:c r="E126" s="568"/>
      <x:c r="F126" s="568"/>
    </x:row>
    <x:row r="127">
      <x:c r="A127" s="568"/>
      <x:c r="B127" s="568"/>
      <x:c r="C127" s="568"/>
      <x:c r="D127" s="568"/>
      <x:c r="E127" s="568"/>
      <x:c r="F127" s="568"/>
    </x:row>
    <x:row r="128">
      <x:c r="A128" s="568"/>
      <x:c r="B128" s="568"/>
      <x:c r="C128" s="568"/>
      <x:c r="D128" s="568"/>
      <x:c r="E128" s="568"/>
      <x:c r="F128" s="568"/>
    </x:row>
    <x:row r="129">
      <x:c r="A129" s="568"/>
      <x:c r="B129" s="568"/>
      <x:c r="C129" s="568"/>
      <x:c r="D129" s="568"/>
      <x:c r="E129" s="568"/>
      <x:c r="F129" s="568"/>
    </x:row>
    <x:row r="130">
      <x:c r="A130" s="568"/>
      <x:c r="B130" s="568"/>
      <x:c r="C130" s="568"/>
      <x:c r="D130" s="568"/>
      <x:c r="E130" s="568"/>
      <x:c r="F130" s="568"/>
    </x:row>
    <x:row r="131">
      <x:c r="A131" s="568"/>
      <x:c r="B131" s="568"/>
      <x:c r="C131" s="568"/>
      <x:c r="D131" s="568"/>
      <x:c r="E131" s="568"/>
      <x:c r="F131" s="568"/>
    </x:row>
    <x:row r="132">
      <x:c r="A132" s="568"/>
      <x:c r="B132" s="568"/>
      <x:c r="C132" s="568"/>
      <x:c r="D132" s="568"/>
      <x:c r="E132" s="568"/>
      <x:c r="F132" s="568"/>
    </x:row>
    <x:row r="133">
      <x:c r="A133" s="568"/>
      <x:c r="B133" s="568"/>
      <x:c r="C133" s="568"/>
      <x:c r="D133" s="568"/>
      <x:c r="E133" s="568"/>
      <x:c r="F133" s="568"/>
    </x:row>
    <x:row r="134">
      <x:c r="A134" s="568"/>
      <x:c r="B134" s="568"/>
      <x:c r="C134" s="568"/>
      <x:c r="D134" s="568"/>
      <x:c r="E134" s="568"/>
      <x:c r="F134" s="568"/>
    </x:row>
    <x:row r="135">
      <x:c r="A135" s="568"/>
      <x:c r="B135" s="568"/>
      <x:c r="C135" s="568"/>
      <x:c r="D135" s="568"/>
      <x:c r="E135" s="568"/>
      <x:c r="F135" s="568"/>
    </x:row>
    <x:row r="136">
      <x:c r="A136" s="568"/>
      <x:c r="B136" s="568"/>
      <x:c r="C136" s="568"/>
      <x:c r="D136" s="568"/>
      <x:c r="E136" s="568"/>
      <x:c r="F136" s="568"/>
    </x:row>
    <x:row r="137">
      <x:c r="A137" s="568"/>
      <x:c r="B137" s="568"/>
      <x:c r="C137" s="568"/>
      <x:c r="D137" s="568"/>
      <x:c r="E137" s="568"/>
      <x:c r="F137" s="568"/>
    </x:row>
    <x:row r="138">
      <x:c r="A138" s="568"/>
      <x:c r="B138" s="568"/>
      <x:c r="C138" s="568"/>
      <x:c r="D138" s="568"/>
      <x:c r="E138" s="568"/>
      <x:c r="F138" s="568"/>
    </x:row>
    <x:row r="139">
      <x:c r="A139" s="568"/>
      <x:c r="B139" s="568"/>
      <x:c r="C139" s="568"/>
      <x:c r="D139" s="568"/>
      <x:c r="E139" s="568"/>
      <x:c r="F139" s="568"/>
    </x:row>
    <x:row r="140">
      <x:c r="A140" s="568"/>
      <x:c r="B140" s="568"/>
      <x:c r="C140" s="568"/>
      <x:c r="D140" s="568"/>
      <x:c r="E140" s="568"/>
      <x:c r="F140" s="568"/>
    </x:row>
    <x:row r="141">
      <x:c r="A141" s="568"/>
      <x:c r="B141" s="568"/>
      <x:c r="C141" s="568"/>
      <x:c r="D141" s="568"/>
      <x:c r="E141" s="568"/>
      <x:c r="F141" s="568"/>
    </x:row>
    <x:row r="142">
      <x:c r="A142" s="568"/>
      <x:c r="B142" s="568"/>
      <x:c r="C142" s="568"/>
      <x:c r="D142" s="568"/>
      <x:c r="E142" s="568"/>
      <x:c r="F142" s="568"/>
    </x:row>
    <x:row r="143">
      <x:c r="A143" s="568"/>
      <x:c r="B143" s="568"/>
      <x:c r="C143" s="568"/>
      <x:c r="D143" s="568"/>
      <x:c r="E143" s="568"/>
      <x:c r="F143" s="568"/>
    </x:row>
    <x:row r="144">
      <x:c r="A144" s="568"/>
      <x:c r="B144" s="568"/>
      <x:c r="C144" s="568"/>
      <x:c r="D144" s="568"/>
      <x:c r="E144" s="568"/>
      <x:c r="F144" s="568"/>
    </x:row>
    <x:row r="145">
      <x:c r="A145" s="568"/>
      <x:c r="B145" s="568"/>
      <x:c r="C145" s="568"/>
      <x:c r="D145" s="568"/>
      <x:c r="E145" s="568"/>
      <x:c r="F145" s="568"/>
    </x:row>
    <x:row r="146">
      <x:c r="A146" s="568"/>
      <x:c r="B146" s="568"/>
      <x:c r="C146" s="568"/>
      <x:c r="D146" s="568"/>
      <x:c r="E146" s="568"/>
      <x:c r="F146" s="568"/>
    </x:row>
    <x:row r="147">
      <x:c r="A147" s="568"/>
      <x:c r="B147" s="568"/>
      <x:c r="C147" s="568"/>
      <x:c r="D147" s="568"/>
      <x:c r="E147" s="568"/>
      <x:c r="F147" s="568"/>
    </x:row>
    <x:row r="148">
      <x:c r="A148" s="568"/>
      <x:c r="B148" s="568"/>
      <x:c r="C148" s="568"/>
      <x:c r="D148" s="568"/>
      <x:c r="E148" s="568"/>
      <x:c r="F148" s="568"/>
    </x:row>
    <x:row r="149">
      <x:c r="A149" s="568"/>
      <x:c r="B149" s="568"/>
      <x:c r="C149" s="568"/>
      <x:c r="D149" s="568"/>
      <x:c r="E149" s="568"/>
      <x:c r="F149" s="568"/>
    </x:row>
    <x:row r="150">
      <x:c r="A150" s="568"/>
      <x:c r="B150" s="568"/>
      <x:c r="C150" s="568"/>
      <x:c r="D150" s="568"/>
      <x:c r="E150" s="568"/>
      <x:c r="F150" s="568"/>
    </x:row>
    <x:row r="151">
      <x:c r="A151" s="568"/>
      <x:c r="B151" s="568"/>
      <x:c r="C151" s="568"/>
      <x:c r="D151" s="568"/>
      <x:c r="E151" s="568"/>
      <x:c r="F151" s="568"/>
    </x:row>
    <x:row r="152">
      <x:c r="A152" s="568"/>
      <x:c r="B152" s="568"/>
      <x:c r="C152" s="568"/>
      <x:c r="D152" s="568"/>
      <x:c r="E152" s="568"/>
      <x:c r="F152" s="568"/>
    </x:row>
    <x:row r="153">
      <x:c r="A153" s="568"/>
      <x:c r="B153" s="568"/>
      <x:c r="C153" s="568"/>
      <x:c r="D153" s="568"/>
      <x:c r="E153" s="568"/>
      <x:c r="F153" s="568"/>
    </x:row>
    <x:row r="154">
      <x:c r="A154" s="568"/>
      <x:c r="B154" s="568"/>
      <x:c r="C154" s="568"/>
      <x:c r="D154" s="568"/>
      <x:c r="E154" s="568"/>
      <x:c r="F154" s="568"/>
    </x:row>
    <x:row r="155">
      <x:c r="A155" s="568"/>
      <x:c r="B155" s="568"/>
      <x:c r="C155" s="568"/>
      <x:c r="D155" s="568"/>
      <x:c r="E155" s="568"/>
      <x:c r="F155" s="568"/>
    </x:row>
    <x:row r="156">
      <x:c r="A156" s="568"/>
      <x:c r="B156" s="568"/>
      <x:c r="C156" s="568"/>
      <x:c r="D156" s="568"/>
      <x:c r="E156" s="568"/>
      <x:c r="F156" s="568"/>
    </x:row>
    <x:row r="157">
      <x:c r="A157" s="568"/>
      <x:c r="B157" s="568"/>
      <x:c r="C157" s="568"/>
      <x:c r="D157" s="568"/>
      <x:c r="E157" s="568"/>
      <x:c r="F157" s="568"/>
    </x:row>
    <x:row r="158">
      <x:c r="A158" s="568"/>
      <x:c r="B158" s="568"/>
      <x:c r="C158" s="568"/>
      <x:c r="D158" s="568"/>
      <x:c r="E158" s="568"/>
      <x:c r="F158" s="568"/>
    </x:row>
    <x:row r="159">
      <x:c r="A159" s="568"/>
      <x:c r="B159" s="568"/>
      <x:c r="C159" s="568"/>
      <x:c r="D159" s="568"/>
      <x:c r="E159" s="568"/>
      <x:c r="F159" s="568"/>
    </x:row>
    <x:row r="160">
      <x:c r="A160" s="568"/>
      <x:c r="B160" s="568"/>
      <x:c r="C160" s="568"/>
      <x:c r="D160" s="568"/>
      <x:c r="E160" s="568"/>
      <x:c r="F160" s="568"/>
    </x:row>
    <x:row r="161">
      <x:c r="A161" s="568"/>
      <x:c r="B161" s="568"/>
      <x:c r="C161" s="568"/>
      <x:c r="D161" s="568"/>
      <x:c r="E161" s="568"/>
      <x:c r="F161" s="568"/>
    </x:row>
    <x:row r="162">
      <x:c r="A162" s="568"/>
      <x:c r="B162" s="568"/>
      <x:c r="C162" s="568"/>
      <x:c r="D162" s="568"/>
      <x:c r="E162" s="568"/>
      <x:c r="F162" s="568"/>
    </x:row>
    <x:row r="163">
      <x:c r="A163" s="568"/>
      <x:c r="B163" s="568"/>
      <x:c r="C163" s="568"/>
      <x:c r="D163" s="568"/>
      <x:c r="E163" s="568"/>
      <x:c r="F163" s="568"/>
    </x:row>
    <x:row r="164">
      <x:c r="A164" s="568"/>
      <x:c r="B164" s="568"/>
      <x:c r="C164" s="568"/>
      <x:c r="D164" s="568"/>
      <x:c r="E164" s="568"/>
      <x:c r="F164" s="568"/>
    </x:row>
    <x:row r="165">
      <x:c r="A165" s="568"/>
      <x:c r="B165" s="568"/>
      <x:c r="C165" s="568"/>
      <x:c r="D165" s="568"/>
      <x:c r="E165" s="568"/>
      <x:c r="F165" s="568"/>
    </x:row>
    <x:row r="166">
      <x:c r="A166" s="568"/>
      <x:c r="B166" s="568"/>
      <x:c r="C166" s="568"/>
      <x:c r="D166" s="568"/>
      <x:c r="E166" s="568"/>
      <x:c r="F166" s="568"/>
    </x:row>
    <x:row r="167">
      <x:c r="A167" s="568"/>
      <x:c r="B167" s="568"/>
      <x:c r="C167" s="568"/>
      <x:c r="D167" s="568"/>
      <x:c r="E167" s="568"/>
      <x:c r="F167" s="568"/>
    </x:row>
    <x:row r="168">
      <x:c r="A168" s="568"/>
      <x:c r="B168" s="568"/>
      <x:c r="C168" s="568"/>
      <x:c r="D168" s="568"/>
      <x:c r="E168" s="568"/>
      <x:c r="F168" s="568"/>
    </x:row>
    <x:row r="169">
      <x:c r="A169" s="568"/>
      <x:c r="B169" s="568"/>
      <x:c r="C169" s="568"/>
      <x:c r="D169" s="568"/>
      <x:c r="E169" s="568"/>
      <x:c r="F169" s="568"/>
    </x:row>
    <x:row r="170">
      <x:c r="A170" s="568"/>
      <x:c r="B170" s="568"/>
      <x:c r="C170" s="568"/>
      <x:c r="D170" s="568"/>
      <x:c r="E170" s="568"/>
      <x:c r="F170" s="568"/>
    </x:row>
    <x:row r="171">
      <x:c r="A171" s="568"/>
      <x:c r="B171" s="568"/>
      <x:c r="C171" s="568"/>
      <x:c r="D171" s="568"/>
      <x:c r="E171" s="568"/>
      <x:c r="F171" s="568"/>
    </x:row>
    <x:row r="172">
      <x:c r="A172" s="568"/>
      <x:c r="B172" s="568"/>
      <x:c r="C172" s="568"/>
      <x:c r="D172" s="568"/>
      <x:c r="E172" s="568"/>
      <x:c r="F172" s="568"/>
    </x:row>
    <x:row r="173">
      <x:c r="A173" s="568"/>
      <x:c r="B173" s="568"/>
      <x:c r="C173" s="568"/>
      <x:c r="D173" s="568"/>
      <x:c r="E173" s="568"/>
      <x:c r="F173" s="568"/>
    </x:row>
    <x:row r="174">
      <x:c r="A174" s="568"/>
      <x:c r="B174" s="568"/>
      <x:c r="C174" s="568"/>
      <x:c r="D174" s="568"/>
      <x:c r="E174" s="568"/>
      <x:c r="F174" s="568"/>
    </x:row>
    <x:row r="175">
      <x:c r="A175" s="568"/>
      <x:c r="B175" s="568"/>
      <x:c r="C175" s="568"/>
      <x:c r="D175" s="568"/>
      <x:c r="E175" s="568"/>
      <x:c r="F175" s="568"/>
    </x:row>
    <x:row r="176">
      <x:c r="A176" s="568"/>
      <x:c r="B176" s="568"/>
      <x:c r="C176" s="568"/>
      <x:c r="D176" s="568"/>
      <x:c r="E176" s="568"/>
      <x:c r="F176" s="568"/>
    </x:row>
    <x:row r="177">
      <x:c r="A177" s="568"/>
      <x:c r="B177" s="568"/>
      <x:c r="C177" s="568"/>
      <x:c r="D177" s="568"/>
      <x:c r="E177" s="568"/>
      <x:c r="F177" s="568"/>
    </x:row>
    <x:row r="178">
      <x:c r="A178" s="568"/>
      <x:c r="B178" s="568"/>
      <x:c r="C178" s="568"/>
      <x:c r="D178" s="568"/>
      <x:c r="E178" s="568"/>
      <x:c r="F178" s="568"/>
    </x:row>
    <x:row r="179">
      <x:c r="A179" s="568"/>
      <x:c r="B179" s="568"/>
      <x:c r="C179" s="568"/>
      <x:c r="D179" s="568"/>
      <x:c r="E179" s="568"/>
      <x:c r="F179" s="568"/>
    </x:row>
    <x:row r="180">
      <x:c r="A180" s="568"/>
      <x:c r="B180" s="568"/>
      <x:c r="C180" s="568"/>
      <x:c r="D180" s="568"/>
      <x:c r="E180" s="568"/>
      <x:c r="F180" s="568"/>
    </x:row>
    <x:row r="181">
      <x:c r="A181" s="568"/>
      <x:c r="B181" s="568"/>
      <x:c r="C181" s="568"/>
      <x:c r="D181" s="568"/>
      <x:c r="E181" s="568"/>
      <x:c r="F181" s="568"/>
    </x:row>
    <x:row r="182">
      <x:c r="A182" s="568"/>
      <x:c r="B182" s="568"/>
      <x:c r="C182" s="568"/>
      <x:c r="D182" s="568"/>
      <x:c r="E182" s="568"/>
      <x:c r="F182" s="568"/>
    </x:row>
    <x:row r="183">
      <x:c r="A183" s="568"/>
      <x:c r="B183" s="568"/>
      <x:c r="C183" s="568"/>
      <x:c r="D183" s="568"/>
      <x:c r="E183" s="568"/>
      <x:c r="F183" s="568"/>
    </x:row>
    <x:row r="184">
      <x:c r="A184" s="568"/>
      <x:c r="B184" s="568"/>
      <x:c r="C184" s="568"/>
      <x:c r="D184" s="568"/>
      <x:c r="E184" s="568"/>
      <x:c r="F184" s="568"/>
    </x:row>
    <x:row r="185">
      <x:c r="A185" s="568"/>
      <x:c r="B185" s="568"/>
      <x:c r="C185" s="568"/>
      <x:c r="D185" s="568"/>
      <x:c r="E185" s="568"/>
      <x:c r="F185" s="568"/>
    </x:row>
    <x:row r="186">
      <x:c r="A186" s="568"/>
      <x:c r="B186" s="568"/>
      <x:c r="C186" s="568"/>
      <x:c r="D186" s="568"/>
      <x:c r="E186" s="568"/>
      <x:c r="F186" s="568"/>
    </x:row>
    <x:row r="187">
      <x:c r="A187" s="568"/>
      <x:c r="B187" s="568"/>
      <x:c r="C187" s="568"/>
      <x:c r="D187" s="568"/>
      <x:c r="E187" s="568"/>
      <x:c r="F187" s="568"/>
    </x:row>
    <x:row r="188">
      <x:c r="A188" s="568"/>
      <x:c r="B188" s="568"/>
      <x:c r="C188" s="568"/>
      <x:c r="D188" s="568"/>
      <x:c r="E188" s="568"/>
      <x:c r="F188" s="568"/>
    </x:row>
    <x:row r="189">
      <x:c r="A189" s="568"/>
      <x:c r="B189" s="568"/>
      <x:c r="C189" s="568"/>
      <x:c r="D189" s="568"/>
      <x:c r="E189" s="568"/>
      <x:c r="F189" s="568"/>
    </x:row>
    <x:row r="190">
      <x:c r="A190" s="568"/>
      <x:c r="B190" s="568"/>
      <x:c r="C190" s="568"/>
      <x:c r="D190" s="568"/>
      <x:c r="E190" s="568"/>
      <x:c r="F190" s="568"/>
    </x:row>
    <x:row r="191">
      <x:c r="A191" s="568"/>
      <x:c r="B191" s="568"/>
      <x:c r="C191" s="568"/>
      <x:c r="D191" s="568"/>
      <x:c r="E191" s="568"/>
      <x:c r="F191" s="568"/>
    </x:row>
    <x:row r="192">
      <x:c r="A192" s="568"/>
      <x:c r="B192" s="568"/>
      <x:c r="C192" s="568"/>
      <x:c r="D192" s="568"/>
      <x:c r="E192" s="568"/>
      <x:c r="F192" s="568"/>
    </x:row>
    <x:row r="193">
      <x:c r="A193" s="568"/>
      <x:c r="B193" s="568"/>
      <x:c r="C193" s="568"/>
      <x:c r="D193" s="568"/>
      <x:c r="E193" s="568"/>
      <x:c r="F193" s="568"/>
    </x:row>
    <x:row r="194">
      <x:c r="A194" s="568"/>
      <x:c r="B194" s="568"/>
      <x:c r="C194" s="568"/>
      <x:c r="D194" s="568"/>
      <x:c r="E194" s="568"/>
      <x:c r="F194" s="568"/>
    </x:row>
    <x:row r="195">
      <x:c r="A195" s="568"/>
      <x:c r="B195" s="568"/>
      <x:c r="C195" s="568"/>
      <x:c r="D195" s="568"/>
      <x:c r="E195" s="568"/>
      <x:c r="F195" s="568"/>
    </x:row>
    <x:row r="196">
      <x:c r="A196" s="568"/>
      <x:c r="B196" s="568"/>
      <x:c r="C196" s="568"/>
      <x:c r="D196" s="568"/>
      <x:c r="E196" s="568"/>
      <x:c r="F196" s="568"/>
    </x:row>
    <x:row r="197">
      <x:c r="A197" s="568"/>
      <x:c r="B197" s="568"/>
      <x:c r="C197" s="568"/>
      <x:c r="D197" s="568"/>
      <x:c r="E197" s="568"/>
      <x:c r="F197" s="568"/>
    </x:row>
    <x:row r="198">
      <x:c r="A198" s="568"/>
      <x:c r="B198" s="568"/>
      <x:c r="C198" s="568"/>
      <x:c r="D198" s="568"/>
      <x:c r="E198" s="568"/>
      <x:c r="F198" s="568"/>
    </x:row>
    <x:row r="199">
      <x:c r="A199" s="568"/>
      <x:c r="B199" s="568"/>
      <x:c r="C199" s="568"/>
      <x:c r="D199" s="568"/>
      <x:c r="E199" s="568"/>
      <x:c r="F199" s="568"/>
    </x:row>
    <x:row r="200">
      <x:c r="A200" s="568"/>
      <x:c r="B200" s="568"/>
      <x:c r="C200" s="568"/>
      <x:c r="D200" s="568"/>
      <x:c r="E200" s="568"/>
      <x:c r="F200" s="568"/>
    </x:row>
    <x:row r="201">
      <x:c r="A201" s="568"/>
      <x:c r="B201" s="568"/>
      <x:c r="C201" s="568"/>
      <x:c r="D201" s="568"/>
      <x:c r="E201" s="568"/>
      <x:c r="F201" s="568"/>
    </x:row>
    <x:row r="202">
      <x:c r="A202" s="568"/>
      <x:c r="B202" s="568"/>
      <x:c r="C202" s="568"/>
      <x:c r="D202" s="568"/>
      <x:c r="E202" s="568"/>
      <x:c r="F202" s="568"/>
    </x:row>
    <x:row r="203">
      <x:c r="A203" s="568"/>
      <x:c r="B203" s="568"/>
      <x:c r="C203" s="568"/>
      <x:c r="D203" s="568"/>
      <x:c r="E203" s="568"/>
      <x:c r="F203" s="568"/>
    </x:row>
    <x:row r="204">
      <x:c r="A204" s="568"/>
      <x:c r="B204" s="568"/>
      <x:c r="C204" s="568"/>
      <x:c r="D204" s="568"/>
      <x:c r="E204" s="568"/>
      <x:c r="F204" s="568"/>
    </x:row>
    <x:row r="205">
      <x:c r="A205" s="568"/>
      <x:c r="B205" s="568"/>
      <x:c r="C205" s="568"/>
      <x:c r="D205" s="568"/>
      <x:c r="E205" s="568"/>
      <x:c r="F205" s="568"/>
    </x:row>
    <x:row r="206">
      <x:c r="A206" s="568"/>
      <x:c r="B206" s="568"/>
      <x:c r="C206" s="568"/>
      <x:c r="D206" s="568"/>
      <x:c r="E206" s="568"/>
      <x:c r="F206" s="568"/>
    </x:row>
    <x:row r="207">
      <x:c r="A207" s="568"/>
      <x:c r="B207" s="568"/>
      <x:c r="C207" s="568"/>
      <x:c r="D207" s="568"/>
      <x:c r="E207" s="568"/>
      <x:c r="F207" s="568"/>
    </x:row>
    <x:row r="208">
      <x:c r="A208" s="568"/>
      <x:c r="B208" s="568"/>
      <x:c r="C208" s="568"/>
      <x:c r="D208" s="568"/>
      <x:c r="E208" s="568"/>
      <x:c r="F208" s="568"/>
    </x:row>
    <x:row r="209">
      <x:c r="A209" s="568"/>
      <x:c r="B209" s="568"/>
      <x:c r="C209" s="568"/>
      <x:c r="D209" s="568"/>
      <x:c r="E209" s="568"/>
      <x:c r="F209" s="568"/>
    </x:row>
    <x:row r="210">
      <x:c r="A210" s="568"/>
      <x:c r="B210" s="568"/>
      <x:c r="C210" s="568"/>
      <x:c r="D210" s="568"/>
      <x:c r="E210" s="568"/>
      <x:c r="F210" s="568"/>
    </x:row>
    <x:row r="211">
      <x:c r="A211" s="568"/>
      <x:c r="B211" s="568"/>
      <x:c r="C211" s="568"/>
      <x:c r="D211" s="568"/>
      <x:c r="E211" s="568"/>
      <x:c r="F211" s="568"/>
    </x:row>
    <x:row r="212">
      <x:c r="A212" s="568"/>
      <x:c r="B212" s="568"/>
      <x:c r="C212" s="568"/>
      <x:c r="D212" s="568"/>
      <x:c r="E212" s="568"/>
      <x:c r="F212" s="568"/>
    </x:row>
    <x:row r="213">
      <x:c r="A213" s="568"/>
      <x:c r="B213" s="568"/>
      <x:c r="C213" s="568"/>
      <x:c r="D213" s="568"/>
      <x:c r="E213" s="568"/>
      <x:c r="F213" s="568"/>
    </x:row>
    <x:row r="214">
      <x:c r="A214" s="568"/>
      <x:c r="B214" s="568"/>
      <x:c r="C214" s="568"/>
      <x:c r="D214" s="568"/>
      <x:c r="E214" s="568"/>
      <x:c r="F214" s="568"/>
    </x:row>
    <x:row r="215">
      <x:c r="A215" s="568"/>
      <x:c r="B215" s="568"/>
      <x:c r="C215" s="568"/>
      <x:c r="D215" s="568"/>
      <x:c r="E215" s="568"/>
      <x:c r="F215" s="568"/>
    </x:row>
    <x:row r="216">
      <x:c r="A216" s="568"/>
      <x:c r="B216" s="568"/>
      <x:c r="C216" s="568"/>
      <x:c r="D216" s="568"/>
      <x:c r="E216" s="568"/>
      <x:c r="F216" s="568"/>
    </x:row>
    <x:row r="217">
      <x:c r="A217" s="568"/>
      <x:c r="B217" s="568"/>
      <x:c r="C217" s="568"/>
      <x:c r="D217" s="568"/>
      <x:c r="E217" s="568"/>
      <x:c r="F217" s="568"/>
    </x:row>
    <x:row r="218">
      <x:c r="A218" s="568"/>
      <x:c r="B218" s="568"/>
      <x:c r="C218" s="568"/>
      <x:c r="D218" s="568"/>
      <x:c r="E218" s="568"/>
      <x:c r="F218" s="568"/>
    </x:row>
    <x:row r="219">
      <x:c r="A219" s="568"/>
      <x:c r="B219" s="568"/>
      <x:c r="C219" s="568"/>
      <x:c r="D219" s="568"/>
      <x:c r="E219" s="568"/>
      <x:c r="F219" s="568"/>
    </x:row>
    <x:row r="220">
      <x:c r="A220" s="568"/>
      <x:c r="B220" s="568"/>
      <x:c r="C220" s="568"/>
      <x:c r="D220" s="568"/>
      <x:c r="E220" s="568"/>
      <x:c r="F220" s="568"/>
    </x:row>
  </x:sheetData>
  <x:mergeCells>
    <x:mergeCell ref="A3:F3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0" hidden="0" customWidth="1"/>
    <x:col min="4" max="4" width="18" hidden="0" customWidth="1"/>
    <x:col min="5" max="5" width="42" hidden="0" customWidth="1"/>
    <x:col min="6" max="6" width="24" hidden="0" customWidth="1"/>
    <x:col min="7" max="7" width="48" hidden="0" customWidth="1"/>
    <x:col min="8" max="8" width="18" hidden="0" customWidth="1"/>
  </x:cols>
  <x:sheetData>
    <x:row r="1">
      <x:c r="A1" s="571" t="str">
        <x:v>🌃 Osaka — Two-Day Guide</x:v>
      </x:c>
      <x:c r="B1" s="571"/>
      <x:c r="C1" s="571"/>
      <x:c r="D1" s="571"/>
      <x:c r="E1" s="571"/>
      <x:c r="F1" s="571"/>
      <x:c r="G1" s="571"/>
      <x:c r="H1" s="571"/>
    </x:row>
    <x:row r="2">
      <x:c r="A2" s="571"/>
      <x:c r="B2" s="571"/>
      <x:c r="C2" s="571"/>
      <x:c r="D2" s="571"/>
      <x:c r="E2" s="571"/>
      <x:c r="F2" s="571"/>
      <x:c r="G2" s="571"/>
      <x:c r="H2" s="571"/>
    </x:row>
    <x:row r="3">
      <x:c r="A3" s="572" t="str">
        <x:v>Use this as the starting content for the Osaka destination dashboard. Refine it after selecting hotels and reservations.</x:v>
      </x:c>
      <x:c r="B3" s="572"/>
      <x:c r="C3" s="572"/>
      <x:c r="D3" s="572"/>
      <x:c r="E3" s="572"/>
      <x:c r="F3" s="572"/>
      <x:c r="G3" s="572"/>
      <x:c r="H3" s="572"/>
    </x:row>
    <x:row r="4">
      <x:c r="A4" s="568"/>
      <x:c r="B4" s="568"/>
      <x:c r="C4" s="568"/>
      <x:c r="D4" s="568"/>
      <x:c r="E4" s="568"/>
      <x:c r="F4" s="568"/>
      <x:c r="G4" s="568"/>
      <x:c r="H4" s="568"/>
    </x:row>
    <x:row r="5">
      <x:c r="A5" s="575" t="str">
        <x:v>Day / Category</x:v>
      </x:c>
      <x:c r="B5" s="575" t="str">
        <x:v>Area</x:v>
      </x:c>
      <x:c r="C5" s="575" t="str">
        <x:v>Plan / Place</x:v>
      </x:c>
      <x:c r="D5" s="575" t="str">
        <x:v>Best Time</x:v>
      </x:c>
      <x:c r="E5" s="575" t="str">
        <x:v>Food / Notes</x:v>
      </x:c>
      <x:c r="F5" s="575" t="str">
        <x:v>Transit / Access</x:v>
      </x:c>
      <x:c r="G5" s="575" t="str">
        <x:v>Map Link</x:v>
      </x:c>
      <x:c r="H5" s="575" t="str">
        <x:v>Status</x:v>
      </x:c>
    </x:row>
    <x:row r="6">
      <x:c r="A6" s="576" t="str">
        <x:v>Day 1</x:v>
      </x:c>
      <x:c r="B6" s="576" t="str">
        <x:v>Namba</x:v>
      </x:c>
      <x:c r="C6" s="576" t="str">
        <x:v>Kuromon Market</x:v>
      </x:c>
      <x:c r="D6" s="576" t="str">
        <x:v>Morning</x:v>
      </x:c>
      <x:c r="E6" s="576" t="str">
        <x:v>Breakfast/snacks; verify GF items individually</x:v>
      </x:c>
      <x:c r="F6" s="576" t="str">
        <x:v>Subway / walk</x:v>
      </x:c>
      <x:c r="G6" s="576" t="str"/>
      <x:c r="H6" s="576" t="str">
        <x:v>Planned</x:v>
      </x:c>
    </x:row>
    <x:row r="7">
      <x:c r="A7" s="576" t="str">
        <x:v>Day 1</x:v>
      </x:c>
      <x:c r="B7" s="576" t="str">
        <x:v>Shinsaibashi</x:v>
      </x:c>
      <x:c r="C7" s="576" t="str">
        <x:v>Shopping streets</x:v>
      </x:c>
      <x:c r="D7" s="576" t="str">
        <x:v>Afternoon</x:v>
      </x:c>
      <x:c r="E7" s="576" t="str">
        <x:v>Shopping and cafés</x:v>
      </x:c>
      <x:c r="F7" s="576" t="str">
        <x:v>Walk from Namba</x:v>
      </x:c>
      <x:c r="G7" s="576" t="str"/>
      <x:c r="H7" s="576" t="str">
        <x:v>Planned</x:v>
      </x:c>
    </x:row>
    <x:row r="8">
      <x:c r="A8" s="576" t="str">
        <x:v>Day 1</x:v>
      </x:c>
      <x:c r="B8" s="576" t="str">
        <x:v>Dotonbori</x:v>
      </x:c>
      <x:c r="C8" s="576" t="str">
        <x:v>Canal and food district</x:v>
      </x:c>
      <x:c r="D8" s="576" t="str">
        <x:v>Evening</x:v>
      </x:c>
      <x:c r="E8" s="576" t="str">
        <x:v>Takoyaki, okonomiyaki, signage and night atmosphere</x:v>
      </x:c>
      <x:c r="F8" s="576" t="str">
        <x:v>Walk</x:v>
      </x:c>
      <x:c r="G8" s="576" t="str"/>
      <x:c r="H8" s="576" t="str">
        <x:v>Planned</x:v>
      </x:c>
    </x:row>
    <x:row r="9">
      <x:c r="A9" s="576" t="str">
        <x:v>Day 1</x:v>
      </x:c>
      <x:c r="B9" s="576" t="str">
        <x:v>Hozenji Yokocho</x:v>
      </x:c>
      <x:c r="C9" s="576" t="str">
        <x:v>Short atmospheric stop</x:v>
      </x:c>
      <x:c r="D9" s="576" t="str">
        <x:v>Evening</x:v>
      </x:c>
      <x:c r="E9" s="576" t="str">
        <x:v>Quiet contrast to Dotonbori</x:v>
      </x:c>
      <x:c r="F9" s="576" t="str">
        <x:v>Walk</x:v>
      </x:c>
      <x:c r="G9" s="576" t="str"/>
      <x:c r="H9" s="576" t="str">
        <x:v>Optional</x:v>
      </x:c>
    </x:row>
    <x:row r="10">
      <x:c r="A10" s="576" t="str">
        <x:v>Day 2</x:v>
      </x:c>
      <x:c r="B10" s="576" t="str">
        <x:v>Central Osaka</x:v>
      </x:c>
      <x:c r="C10" s="576" t="str">
        <x:v>Osaka Castle or museum</x:v>
      </x:c>
      <x:c r="D10" s="576" t="str">
        <x:v>Morning</x:v>
      </x:c>
      <x:c r="E10" s="576" t="str">
        <x:v>Choose based on weather/interest</x:v>
      </x:c>
      <x:c r="F10" s="576" t="str">
        <x:v>Metro</x:v>
      </x:c>
      <x:c r="G10" s="576" t="str"/>
      <x:c r="H10" s="576" t="str">
        <x:v>Planned</x:v>
      </x:c>
    </x:row>
    <x:row r="11">
      <x:c r="A11" s="576" t="str">
        <x:v>Day 2</x:v>
      </x:c>
      <x:c r="B11" s="576" t="str">
        <x:v>Umeda</x:v>
      </x:c>
      <x:c r="C11" s="576" t="str">
        <x:v>Shopping / skyline</x:v>
      </x:c>
      <x:c r="D11" s="576" t="str">
        <x:v>Afternoon</x:v>
      </x:c>
      <x:c r="E11" s="576" t="str">
        <x:v>Grand Front, department stores, Pokémon Center area</x:v>
      </x:c>
      <x:c r="F11" s="576" t="str">
        <x:v>JR / Metro</x:v>
      </x:c>
      <x:c r="G11" s="576" t="str"/>
      <x:c r="H11" s="576" t="str">
        <x:v>Planned</x:v>
      </x:c>
    </x:row>
    <x:row r="12">
      <x:c r="A12" s="576" t="str">
        <x:v>Day 2</x:v>
      </x:c>
      <x:c r="B12" s="576" t="str">
        <x:v>Umeda or Namba</x:v>
      </x:c>
      <x:c r="C12" s="576" t="str">
        <x:v>Food crawl / final dinner</x:v>
      </x:c>
      <x:c r="D12" s="576" t="str">
        <x:v>Evening</x:v>
      </x:c>
      <x:c r="E12" s="576" t="str">
        <x:v>Choose from vetted restaurant list</x:v>
      </x:c>
      <x:c r="F12" s="576" t="str">
        <x:v>Metro</x:v>
      </x:c>
      <x:c r="G12" s="576" t="str"/>
      <x:c r="H12" s="576" t="str">
        <x:v>Planned</x:v>
      </x:c>
    </x:row>
    <x:row r="13">
      <x:c r="A13" s="576" t="str">
        <x:v>Rain</x:v>
      </x:c>
      <x:c r="B13" s="576" t="str">
        <x:v>Umeda / Namba</x:v>
      </x:c>
      <x:c r="C13" s="576" t="str">
        <x:v>Department stores, aquarium, museums</x:v>
      </x:c>
      <x:c r="D13" s="576" t="str">
        <x:v>Any</x:v>
      </x:c>
      <x:c r="E13" s="576" t="str">
        <x:v>Indoor backup</x:v>
      </x:c>
      <x:c r="F13" s="576" t="str">
        <x:v>Metro</x:v>
      </x:c>
      <x:c r="G13" s="576" t="str"/>
      <x:c r="H13" s="576" t="str">
        <x:v>Backup</x:v>
      </x:c>
    </x:row>
    <x:row r="14">
      <x:c r="A14" s="568"/>
      <x:c r="B14" s="568"/>
      <x:c r="C14" s="568"/>
      <x:c r="D14" s="568"/>
      <x:c r="E14" s="568"/>
      <x:c r="F14" s="568"/>
      <x:c r="G14" s="568"/>
      <x:c r="H14" s="568"/>
    </x:row>
    <x:row r="15">
      <x:c r="A15" s="568"/>
      <x:c r="B15" s="568"/>
      <x:c r="C15" s="568"/>
      <x:c r="D15" s="568"/>
      <x:c r="E15" s="568"/>
      <x:c r="F15" s="568"/>
      <x:c r="G15" s="568"/>
      <x:c r="H15" s="568"/>
    </x:row>
    <x:row r="16">
      <x:c r="A16" s="568"/>
      <x:c r="B16" s="568"/>
      <x:c r="C16" s="568"/>
      <x:c r="D16" s="568"/>
      <x:c r="E16" s="568"/>
      <x:c r="F16" s="568"/>
      <x:c r="G16" s="568"/>
      <x:c r="H16" s="568"/>
    </x:row>
    <x:row r="17">
      <x:c r="A17" s="568"/>
      <x:c r="B17" s="568"/>
      <x:c r="C17" s="568"/>
      <x:c r="D17" s="568"/>
      <x:c r="E17" s="568"/>
      <x:c r="F17" s="568"/>
      <x:c r="G17" s="568"/>
      <x:c r="H17" s="568"/>
    </x:row>
    <x:row r="18">
      <x:c r="A18" s="568"/>
      <x:c r="B18" s="568"/>
      <x:c r="C18" s="568"/>
      <x:c r="D18" s="568"/>
      <x:c r="E18" s="568"/>
      <x:c r="F18" s="568"/>
      <x:c r="G18" s="568"/>
      <x:c r="H18" s="568"/>
    </x:row>
    <x:row r="19">
      <x:c r="A19" s="568"/>
      <x:c r="B19" s="568"/>
      <x:c r="C19" s="568"/>
      <x:c r="D19" s="568"/>
      <x:c r="E19" s="568"/>
      <x:c r="F19" s="568"/>
      <x:c r="G19" s="568"/>
      <x:c r="H19" s="568"/>
    </x:row>
    <x:row r="20">
      <x:c r="A20" s="568"/>
      <x:c r="B20" s="568"/>
      <x:c r="C20" s="568"/>
      <x:c r="D20" s="568"/>
      <x:c r="E20" s="568"/>
      <x:c r="F20" s="568"/>
      <x:c r="G20" s="568"/>
      <x:c r="H20" s="568"/>
    </x:row>
    <x:row r="21">
      <x:c r="A21" s="568"/>
      <x:c r="B21" s="568"/>
      <x:c r="C21" s="568"/>
      <x:c r="D21" s="568"/>
      <x:c r="E21" s="568"/>
      <x:c r="F21" s="568"/>
      <x:c r="G21" s="568"/>
      <x:c r="H21" s="568"/>
    </x:row>
    <x:row r="22">
      <x:c r="A22" s="568"/>
      <x:c r="B22" s="568"/>
      <x:c r="C22" s="568"/>
      <x:c r="D22" s="568"/>
      <x:c r="E22" s="568"/>
      <x:c r="F22" s="568"/>
      <x:c r="G22" s="568"/>
      <x:c r="H22" s="568"/>
    </x:row>
    <x:row r="23">
      <x:c r="A23" s="568"/>
      <x:c r="B23" s="568"/>
      <x:c r="C23" s="568"/>
      <x:c r="D23" s="568"/>
      <x:c r="E23" s="568"/>
      <x:c r="F23" s="568"/>
      <x:c r="G23" s="568"/>
      <x:c r="H23" s="568"/>
    </x:row>
    <x:row r="24">
      <x:c r="A24" s="568"/>
      <x:c r="B24" s="568"/>
      <x:c r="C24" s="568"/>
      <x:c r="D24" s="568"/>
      <x:c r="E24" s="568"/>
      <x:c r="F24" s="568"/>
      <x:c r="G24" s="568"/>
      <x:c r="H24" s="568"/>
    </x:row>
    <x:row r="25">
      <x:c r="A25" s="568"/>
      <x:c r="B25" s="568"/>
      <x:c r="C25" s="568"/>
      <x:c r="D25" s="568"/>
      <x:c r="E25" s="568"/>
      <x:c r="F25" s="568"/>
      <x:c r="G25" s="568"/>
      <x:c r="H25" s="568"/>
    </x:row>
    <x:row r="26">
      <x:c r="A26" s="568"/>
      <x:c r="B26" s="568"/>
      <x:c r="C26" s="568"/>
      <x:c r="D26" s="568"/>
      <x:c r="E26" s="568"/>
      <x:c r="F26" s="568"/>
      <x:c r="G26" s="568"/>
      <x:c r="H26" s="568"/>
    </x:row>
    <x:row r="27">
      <x:c r="A27" s="568"/>
      <x:c r="B27" s="568"/>
      <x:c r="C27" s="568"/>
      <x:c r="D27" s="568"/>
      <x:c r="E27" s="568"/>
      <x:c r="F27" s="568"/>
      <x:c r="G27" s="568"/>
      <x:c r="H27" s="568"/>
    </x:row>
    <x:row r="28">
      <x:c r="A28" s="568"/>
      <x:c r="B28" s="568"/>
      <x:c r="C28" s="568"/>
      <x:c r="D28" s="568"/>
      <x:c r="E28" s="568"/>
      <x:c r="F28" s="568"/>
      <x:c r="G28" s="568"/>
      <x:c r="H28" s="568"/>
    </x:row>
    <x:row r="29">
      <x:c r="A29" s="568"/>
      <x:c r="B29" s="568"/>
      <x:c r="C29" s="568"/>
      <x:c r="D29" s="568"/>
      <x:c r="E29" s="568"/>
      <x:c r="F29" s="568"/>
      <x:c r="G29" s="568"/>
      <x:c r="H29" s="568"/>
    </x:row>
    <x:row r="30">
      <x:c r="A30" s="568"/>
      <x:c r="B30" s="568"/>
      <x:c r="C30" s="568"/>
      <x:c r="D30" s="568"/>
      <x:c r="E30" s="568"/>
      <x:c r="F30" s="568"/>
      <x:c r="G30" s="568"/>
      <x:c r="H30" s="568"/>
    </x:row>
    <x:row r="31">
      <x:c r="A31" s="568"/>
      <x:c r="B31" s="568"/>
      <x:c r="C31" s="568"/>
      <x:c r="D31" s="568"/>
      <x:c r="E31" s="568"/>
      <x:c r="F31" s="568"/>
      <x:c r="G31" s="568"/>
      <x:c r="H31" s="568"/>
    </x:row>
    <x:row r="32">
      <x:c r="A32" s="568"/>
      <x:c r="B32" s="568"/>
      <x:c r="C32" s="568"/>
      <x:c r="D32" s="568"/>
      <x:c r="E32" s="568"/>
      <x:c r="F32" s="568"/>
      <x:c r="G32" s="568"/>
      <x:c r="H32" s="568"/>
    </x:row>
    <x:row r="33">
      <x:c r="A33" s="568"/>
      <x:c r="B33" s="568"/>
      <x:c r="C33" s="568"/>
      <x:c r="D33" s="568"/>
      <x:c r="E33" s="568"/>
      <x:c r="F33" s="568"/>
      <x:c r="G33" s="568"/>
      <x:c r="H33" s="568"/>
    </x:row>
    <x:row r="34">
      <x:c r="A34" s="568"/>
      <x:c r="B34" s="568"/>
      <x:c r="C34" s="568"/>
      <x:c r="D34" s="568"/>
      <x:c r="E34" s="568"/>
      <x:c r="F34" s="568"/>
      <x:c r="G34" s="568"/>
      <x:c r="H34" s="568"/>
    </x:row>
    <x:row r="35">
      <x:c r="A35" s="568"/>
      <x:c r="B35" s="568"/>
      <x:c r="C35" s="568"/>
      <x:c r="D35" s="568"/>
      <x:c r="E35" s="568"/>
      <x:c r="F35" s="568"/>
      <x:c r="G35" s="568"/>
      <x:c r="H35" s="568"/>
    </x:row>
    <x:row r="36">
      <x:c r="A36" s="568"/>
      <x:c r="B36" s="568"/>
      <x:c r="C36" s="568"/>
      <x:c r="D36" s="568"/>
      <x:c r="E36" s="568"/>
      <x:c r="F36" s="568"/>
      <x:c r="G36" s="568"/>
      <x:c r="H36" s="568"/>
    </x:row>
    <x:row r="37">
      <x:c r="A37" s="568"/>
      <x:c r="B37" s="568"/>
      <x:c r="C37" s="568"/>
      <x:c r="D37" s="568"/>
      <x:c r="E37" s="568"/>
      <x:c r="F37" s="568"/>
      <x:c r="G37" s="568"/>
      <x:c r="H37" s="568"/>
    </x:row>
    <x:row r="38">
      <x:c r="A38" s="568"/>
      <x:c r="B38" s="568"/>
      <x:c r="C38" s="568"/>
      <x:c r="D38" s="568"/>
      <x:c r="E38" s="568"/>
      <x:c r="F38" s="568"/>
      <x:c r="G38" s="568"/>
      <x:c r="H38" s="568"/>
    </x:row>
    <x:row r="39">
      <x:c r="A39" s="568"/>
      <x:c r="B39" s="568"/>
      <x:c r="C39" s="568"/>
      <x:c r="D39" s="568"/>
      <x:c r="E39" s="568"/>
      <x:c r="F39" s="568"/>
      <x:c r="G39" s="568"/>
      <x:c r="H39" s="568"/>
    </x:row>
    <x:row r="40">
      <x:c r="A40" s="568"/>
      <x:c r="B40" s="568"/>
      <x:c r="C40" s="568"/>
      <x:c r="D40" s="568"/>
      <x:c r="E40" s="568"/>
      <x:c r="F40" s="568"/>
      <x:c r="G40" s="568"/>
      <x:c r="H40" s="568"/>
    </x:row>
    <x:row r="41">
      <x:c r="A41" s="568"/>
      <x:c r="B41" s="568"/>
      <x:c r="C41" s="568"/>
      <x:c r="D41" s="568"/>
      <x:c r="E41" s="568"/>
      <x:c r="F41" s="568"/>
      <x:c r="G41" s="568"/>
      <x:c r="H41" s="568"/>
    </x:row>
    <x:row r="42">
      <x:c r="A42" s="568"/>
      <x:c r="B42" s="568"/>
      <x:c r="C42" s="568"/>
      <x:c r="D42" s="568"/>
      <x:c r="E42" s="568"/>
      <x:c r="F42" s="568"/>
      <x:c r="G42" s="568"/>
      <x:c r="H42" s="568"/>
    </x:row>
    <x:row r="43">
      <x:c r="A43" s="568"/>
      <x:c r="B43" s="568"/>
      <x:c r="C43" s="568"/>
      <x:c r="D43" s="568"/>
      <x:c r="E43" s="568"/>
      <x:c r="F43" s="568"/>
      <x:c r="G43" s="568"/>
      <x:c r="H43" s="568"/>
    </x:row>
    <x:row r="44">
      <x:c r="A44" s="568"/>
      <x:c r="B44" s="568"/>
      <x:c r="C44" s="568"/>
      <x:c r="D44" s="568"/>
      <x:c r="E44" s="568"/>
      <x:c r="F44" s="568"/>
      <x:c r="G44" s="568"/>
      <x:c r="H44" s="568"/>
    </x:row>
    <x:row r="45">
      <x:c r="A45" s="568"/>
      <x:c r="B45" s="568"/>
      <x:c r="C45" s="568"/>
      <x:c r="D45" s="568"/>
      <x:c r="E45" s="568"/>
      <x:c r="F45" s="568"/>
      <x:c r="G45" s="568"/>
      <x:c r="H45" s="568"/>
    </x:row>
    <x:row r="46">
      <x:c r="A46" s="568"/>
      <x:c r="B46" s="568"/>
      <x:c r="C46" s="568"/>
      <x:c r="D46" s="568"/>
      <x:c r="E46" s="568"/>
      <x:c r="F46" s="568"/>
      <x:c r="G46" s="568"/>
      <x:c r="H46" s="568"/>
    </x:row>
    <x:row r="47">
      <x:c r="A47" s="568"/>
      <x:c r="B47" s="568"/>
      <x:c r="C47" s="568"/>
      <x:c r="D47" s="568"/>
      <x:c r="E47" s="568"/>
      <x:c r="F47" s="568"/>
      <x:c r="G47" s="568"/>
      <x:c r="H47" s="568"/>
    </x:row>
    <x:row r="48">
      <x:c r="A48" s="568"/>
      <x:c r="B48" s="568"/>
      <x:c r="C48" s="568"/>
      <x:c r="D48" s="568"/>
      <x:c r="E48" s="568"/>
      <x:c r="F48" s="568"/>
      <x:c r="G48" s="568"/>
      <x:c r="H48" s="568"/>
    </x:row>
    <x:row r="49">
      <x:c r="A49" s="568"/>
      <x:c r="B49" s="568"/>
      <x:c r="C49" s="568"/>
      <x:c r="D49" s="568"/>
      <x:c r="E49" s="568"/>
      <x:c r="F49" s="568"/>
      <x:c r="G49" s="568"/>
      <x:c r="H49" s="568"/>
    </x:row>
    <x:row r="50">
      <x:c r="A50" s="568"/>
      <x:c r="B50" s="568"/>
      <x:c r="C50" s="568"/>
      <x:c r="D50" s="568"/>
      <x:c r="E50" s="568"/>
      <x:c r="F50" s="568"/>
      <x:c r="G50" s="568"/>
      <x:c r="H50" s="568"/>
    </x:row>
    <x:row r="51">
      <x:c r="A51" s="568"/>
      <x:c r="B51" s="568"/>
      <x:c r="C51" s="568"/>
      <x:c r="D51" s="568"/>
      <x:c r="E51" s="568"/>
      <x:c r="F51" s="568"/>
      <x:c r="G51" s="568"/>
      <x:c r="H51" s="568"/>
    </x:row>
    <x:row r="52">
      <x:c r="A52" s="568"/>
      <x:c r="B52" s="568"/>
      <x:c r="C52" s="568"/>
      <x:c r="D52" s="568"/>
      <x:c r="E52" s="568"/>
      <x:c r="F52" s="568"/>
      <x:c r="G52" s="568"/>
      <x:c r="H52" s="568"/>
    </x:row>
    <x:row r="53">
      <x:c r="A53" s="568"/>
      <x:c r="B53" s="568"/>
      <x:c r="C53" s="568"/>
      <x:c r="D53" s="568"/>
      <x:c r="E53" s="568"/>
      <x:c r="F53" s="568"/>
      <x:c r="G53" s="568"/>
      <x:c r="H53" s="568"/>
    </x:row>
    <x:row r="54">
      <x:c r="A54" s="568"/>
      <x:c r="B54" s="568"/>
      <x:c r="C54" s="568"/>
      <x:c r="D54" s="568"/>
      <x:c r="E54" s="568"/>
      <x:c r="F54" s="568"/>
      <x:c r="G54" s="568"/>
      <x:c r="H54" s="568"/>
    </x:row>
    <x:row r="55">
      <x:c r="A55" s="568"/>
      <x:c r="B55" s="568"/>
      <x:c r="C55" s="568"/>
      <x:c r="D55" s="568"/>
      <x:c r="E55" s="568"/>
      <x:c r="F55" s="568"/>
      <x:c r="G55" s="568"/>
      <x:c r="H55" s="568"/>
    </x:row>
    <x:row r="56">
      <x:c r="A56" s="568"/>
      <x:c r="B56" s="568"/>
      <x:c r="C56" s="568"/>
      <x:c r="D56" s="568"/>
      <x:c r="E56" s="568"/>
      <x:c r="F56" s="568"/>
      <x:c r="G56" s="568"/>
      <x:c r="H56" s="568"/>
    </x:row>
    <x:row r="57">
      <x:c r="A57" s="568"/>
      <x:c r="B57" s="568"/>
      <x:c r="C57" s="568"/>
      <x:c r="D57" s="568"/>
      <x:c r="E57" s="568"/>
      <x:c r="F57" s="568"/>
      <x:c r="G57" s="568"/>
      <x:c r="H57" s="568"/>
    </x:row>
    <x:row r="58">
      <x:c r="A58" s="568"/>
      <x:c r="B58" s="568"/>
      <x:c r="C58" s="568"/>
      <x:c r="D58" s="568"/>
      <x:c r="E58" s="568"/>
      <x:c r="F58" s="568"/>
      <x:c r="G58" s="568"/>
      <x:c r="H58" s="568"/>
    </x:row>
    <x:row r="59">
      <x:c r="A59" s="568"/>
      <x:c r="B59" s="568"/>
      <x:c r="C59" s="568"/>
      <x:c r="D59" s="568"/>
      <x:c r="E59" s="568"/>
      <x:c r="F59" s="568"/>
      <x:c r="G59" s="568"/>
      <x:c r="H59" s="568"/>
    </x:row>
    <x:row r="60">
      <x:c r="A60" s="568"/>
      <x:c r="B60" s="568"/>
      <x:c r="C60" s="568"/>
      <x:c r="D60" s="568"/>
      <x:c r="E60" s="568"/>
      <x:c r="F60" s="568"/>
      <x:c r="G60" s="568"/>
      <x:c r="H60" s="568"/>
    </x:row>
    <x:row r="61">
      <x:c r="A61" s="568"/>
      <x:c r="B61" s="568"/>
      <x:c r="C61" s="568"/>
      <x:c r="D61" s="568"/>
      <x:c r="E61" s="568"/>
      <x:c r="F61" s="568"/>
      <x:c r="G61" s="568"/>
      <x:c r="H61" s="568"/>
    </x:row>
    <x:row r="62">
      <x:c r="A62" s="568"/>
      <x:c r="B62" s="568"/>
      <x:c r="C62" s="568"/>
      <x:c r="D62" s="568"/>
      <x:c r="E62" s="568"/>
      <x:c r="F62" s="568"/>
      <x:c r="G62" s="568"/>
      <x:c r="H62" s="568"/>
    </x:row>
    <x:row r="63">
      <x:c r="A63" s="568"/>
      <x:c r="B63" s="568"/>
      <x:c r="C63" s="568"/>
      <x:c r="D63" s="568"/>
      <x:c r="E63" s="568"/>
      <x:c r="F63" s="568"/>
      <x:c r="G63" s="568"/>
      <x:c r="H63" s="568"/>
    </x:row>
    <x:row r="64">
      <x:c r="A64" s="568"/>
      <x:c r="B64" s="568"/>
      <x:c r="C64" s="568"/>
      <x:c r="D64" s="568"/>
      <x:c r="E64" s="568"/>
      <x:c r="F64" s="568"/>
      <x:c r="G64" s="568"/>
      <x:c r="H64" s="568"/>
    </x:row>
    <x:row r="65">
      <x:c r="A65" s="568"/>
      <x:c r="B65" s="568"/>
      <x:c r="C65" s="568"/>
      <x:c r="D65" s="568"/>
      <x:c r="E65" s="568"/>
      <x:c r="F65" s="568"/>
      <x:c r="G65" s="568"/>
      <x:c r="H65" s="568"/>
    </x:row>
    <x:row r="66">
      <x:c r="A66" s="568"/>
      <x:c r="B66" s="568"/>
      <x:c r="C66" s="568"/>
      <x:c r="D66" s="568"/>
      <x:c r="E66" s="568"/>
      <x:c r="F66" s="568"/>
      <x:c r="G66" s="568"/>
      <x:c r="H66" s="568"/>
    </x:row>
    <x:row r="67">
      <x:c r="A67" s="568"/>
      <x:c r="B67" s="568"/>
      <x:c r="C67" s="568"/>
      <x:c r="D67" s="568"/>
      <x:c r="E67" s="568"/>
      <x:c r="F67" s="568"/>
      <x:c r="G67" s="568"/>
      <x:c r="H67" s="568"/>
    </x:row>
    <x:row r="68">
      <x:c r="A68" s="568"/>
      <x:c r="B68" s="568"/>
      <x:c r="C68" s="568"/>
      <x:c r="D68" s="568"/>
      <x:c r="E68" s="568"/>
      <x:c r="F68" s="568"/>
      <x:c r="G68" s="568"/>
      <x:c r="H68" s="568"/>
    </x:row>
    <x:row r="69">
      <x:c r="A69" s="568"/>
      <x:c r="B69" s="568"/>
      <x:c r="C69" s="568"/>
      <x:c r="D69" s="568"/>
      <x:c r="E69" s="568"/>
      <x:c r="F69" s="568"/>
      <x:c r="G69" s="568"/>
      <x:c r="H69" s="568"/>
    </x:row>
    <x:row r="70">
      <x:c r="A70" s="568"/>
      <x:c r="B70" s="568"/>
      <x:c r="C70" s="568"/>
      <x:c r="D70" s="568"/>
      <x:c r="E70" s="568"/>
      <x:c r="F70" s="568"/>
      <x:c r="G70" s="568"/>
      <x:c r="H70" s="568"/>
    </x:row>
    <x:row r="71">
      <x:c r="A71" s="568"/>
      <x:c r="B71" s="568"/>
      <x:c r="C71" s="568"/>
      <x:c r="D71" s="568"/>
      <x:c r="E71" s="568"/>
      <x:c r="F71" s="568"/>
      <x:c r="G71" s="568"/>
      <x:c r="H71" s="568"/>
    </x:row>
    <x:row r="72">
      <x:c r="A72" s="568"/>
      <x:c r="B72" s="568"/>
      <x:c r="C72" s="568"/>
      <x:c r="D72" s="568"/>
      <x:c r="E72" s="568"/>
      <x:c r="F72" s="568"/>
      <x:c r="G72" s="568"/>
      <x:c r="H72" s="568"/>
    </x:row>
    <x:row r="73">
      <x:c r="A73" s="568"/>
      <x:c r="B73" s="568"/>
      <x:c r="C73" s="568"/>
      <x:c r="D73" s="568"/>
      <x:c r="E73" s="568"/>
      <x:c r="F73" s="568"/>
      <x:c r="G73" s="568"/>
      <x:c r="H73" s="568"/>
    </x:row>
    <x:row r="74">
      <x:c r="A74" s="568"/>
      <x:c r="B74" s="568"/>
      <x:c r="C74" s="568"/>
      <x:c r="D74" s="568"/>
      <x:c r="E74" s="568"/>
      <x:c r="F74" s="568"/>
      <x:c r="G74" s="568"/>
      <x:c r="H74" s="568"/>
    </x:row>
    <x:row r="75">
      <x:c r="A75" s="568"/>
      <x:c r="B75" s="568"/>
      <x:c r="C75" s="568"/>
      <x:c r="D75" s="568"/>
      <x:c r="E75" s="568"/>
      <x:c r="F75" s="568"/>
      <x:c r="G75" s="568"/>
      <x:c r="H75" s="568"/>
    </x:row>
    <x:row r="76">
      <x:c r="A76" s="568"/>
      <x:c r="B76" s="568"/>
      <x:c r="C76" s="568"/>
      <x:c r="D76" s="568"/>
      <x:c r="E76" s="568"/>
      <x:c r="F76" s="568"/>
      <x:c r="G76" s="568"/>
      <x:c r="H76" s="568"/>
    </x:row>
    <x:row r="77">
      <x:c r="A77" s="568"/>
      <x:c r="B77" s="568"/>
      <x:c r="C77" s="568"/>
      <x:c r="D77" s="568"/>
      <x:c r="E77" s="568"/>
      <x:c r="F77" s="568"/>
      <x:c r="G77" s="568"/>
      <x:c r="H77" s="568"/>
    </x:row>
    <x:row r="78">
      <x:c r="A78" s="568"/>
      <x:c r="B78" s="568"/>
      <x:c r="C78" s="568"/>
      <x:c r="D78" s="568"/>
      <x:c r="E78" s="568"/>
      <x:c r="F78" s="568"/>
      <x:c r="G78" s="568"/>
      <x:c r="H78" s="568"/>
    </x:row>
    <x:row r="79">
      <x:c r="A79" s="568"/>
      <x:c r="B79" s="568"/>
      <x:c r="C79" s="568"/>
      <x:c r="D79" s="568"/>
      <x:c r="E79" s="568"/>
      <x:c r="F79" s="568"/>
      <x:c r="G79" s="568"/>
      <x:c r="H79" s="568"/>
    </x:row>
    <x:row r="80">
      <x:c r="A80" s="568"/>
      <x:c r="B80" s="568"/>
      <x:c r="C80" s="568"/>
      <x:c r="D80" s="568"/>
      <x:c r="E80" s="568"/>
      <x:c r="F80" s="568"/>
      <x:c r="G80" s="568"/>
      <x:c r="H80" s="568"/>
    </x:row>
    <x:row r="81">
      <x:c r="A81" s="568"/>
      <x:c r="B81" s="568"/>
      <x:c r="C81" s="568"/>
      <x:c r="D81" s="568"/>
      <x:c r="E81" s="568"/>
      <x:c r="F81" s="568"/>
      <x:c r="G81" s="568"/>
      <x:c r="H81" s="568"/>
    </x:row>
    <x:row r="82">
      <x:c r="A82" s="568"/>
      <x:c r="B82" s="568"/>
      <x:c r="C82" s="568"/>
      <x:c r="D82" s="568"/>
      <x:c r="E82" s="568"/>
      <x:c r="F82" s="568"/>
      <x:c r="G82" s="568"/>
      <x:c r="H82" s="568"/>
    </x:row>
    <x:row r="83">
      <x:c r="A83" s="568"/>
      <x:c r="B83" s="568"/>
      <x:c r="C83" s="568"/>
      <x:c r="D83" s="568"/>
      <x:c r="E83" s="568"/>
      <x:c r="F83" s="568"/>
      <x:c r="G83" s="568"/>
      <x:c r="H83" s="568"/>
    </x:row>
    <x:row r="84">
      <x:c r="A84" s="568"/>
      <x:c r="B84" s="568"/>
      <x:c r="C84" s="568"/>
      <x:c r="D84" s="568"/>
      <x:c r="E84" s="568"/>
      <x:c r="F84" s="568"/>
      <x:c r="G84" s="568"/>
      <x:c r="H84" s="568"/>
    </x:row>
    <x:row r="85">
      <x:c r="A85" s="568"/>
      <x:c r="B85" s="568"/>
      <x:c r="C85" s="568"/>
      <x:c r="D85" s="568"/>
      <x:c r="E85" s="568"/>
      <x:c r="F85" s="568"/>
      <x:c r="G85" s="568"/>
      <x:c r="H85" s="568"/>
    </x:row>
    <x:row r="86">
      <x:c r="A86" s="568"/>
      <x:c r="B86" s="568"/>
      <x:c r="C86" s="568"/>
      <x:c r="D86" s="568"/>
      <x:c r="E86" s="568"/>
      <x:c r="F86" s="568"/>
      <x:c r="G86" s="568"/>
      <x:c r="H86" s="568"/>
    </x:row>
    <x:row r="87">
      <x:c r="A87" s="568"/>
      <x:c r="B87" s="568"/>
      <x:c r="C87" s="568"/>
      <x:c r="D87" s="568"/>
      <x:c r="E87" s="568"/>
      <x:c r="F87" s="568"/>
      <x:c r="G87" s="568"/>
      <x:c r="H87" s="568"/>
    </x:row>
    <x:row r="88">
      <x:c r="A88" s="568"/>
      <x:c r="B88" s="568"/>
      <x:c r="C88" s="568"/>
      <x:c r="D88" s="568"/>
      <x:c r="E88" s="568"/>
      <x:c r="F88" s="568"/>
      <x:c r="G88" s="568"/>
      <x:c r="H88" s="568"/>
    </x:row>
    <x:row r="89">
      <x:c r="A89" s="568"/>
      <x:c r="B89" s="568"/>
      <x:c r="C89" s="568"/>
      <x:c r="D89" s="568"/>
      <x:c r="E89" s="568"/>
      <x:c r="F89" s="568"/>
      <x:c r="G89" s="568"/>
      <x:c r="H89" s="568"/>
    </x:row>
    <x:row r="90">
      <x:c r="A90" s="568"/>
      <x:c r="B90" s="568"/>
      <x:c r="C90" s="568"/>
      <x:c r="D90" s="568"/>
      <x:c r="E90" s="568"/>
      <x:c r="F90" s="568"/>
      <x:c r="G90" s="568"/>
      <x:c r="H90" s="568"/>
    </x:row>
    <x:row r="91">
      <x:c r="A91" s="568"/>
      <x:c r="B91" s="568"/>
      <x:c r="C91" s="568"/>
      <x:c r="D91" s="568"/>
      <x:c r="E91" s="568"/>
      <x:c r="F91" s="568"/>
      <x:c r="G91" s="568"/>
      <x:c r="H91" s="568"/>
    </x:row>
    <x:row r="92">
      <x:c r="A92" s="568"/>
      <x:c r="B92" s="568"/>
      <x:c r="C92" s="568"/>
      <x:c r="D92" s="568"/>
      <x:c r="E92" s="568"/>
      <x:c r="F92" s="568"/>
      <x:c r="G92" s="568"/>
      <x:c r="H92" s="568"/>
    </x:row>
    <x:row r="93">
      <x:c r="A93" s="568"/>
      <x:c r="B93" s="568"/>
      <x:c r="C93" s="568"/>
      <x:c r="D93" s="568"/>
      <x:c r="E93" s="568"/>
      <x:c r="F93" s="568"/>
      <x:c r="G93" s="568"/>
      <x:c r="H93" s="568"/>
    </x:row>
    <x:row r="94">
      <x:c r="A94" s="568"/>
      <x:c r="B94" s="568"/>
      <x:c r="C94" s="568"/>
      <x:c r="D94" s="568"/>
      <x:c r="E94" s="568"/>
      <x:c r="F94" s="568"/>
      <x:c r="G94" s="568"/>
      <x:c r="H94" s="568"/>
    </x:row>
    <x:row r="95">
      <x:c r="A95" s="568"/>
      <x:c r="B95" s="568"/>
      <x:c r="C95" s="568"/>
      <x:c r="D95" s="568"/>
      <x:c r="E95" s="568"/>
      <x:c r="F95" s="568"/>
      <x:c r="G95" s="568"/>
      <x:c r="H95" s="568"/>
    </x:row>
    <x:row r="96">
      <x:c r="A96" s="568"/>
      <x:c r="B96" s="568"/>
      <x:c r="C96" s="568"/>
      <x:c r="D96" s="568"/>
      <x:c r="E96" s="568"/>
      <x:c r="F96" s="568"/>
      <x:c r="G96" s="568"/>
      <x:c r="H96" s="568"/>
    </x:row>
    <x:row r="97">
      <x:c r="A97" s="568"/>
      <x:c r="B97" s="568"/>
      <x:c r="C97" s="568"/>
      <x:c r="D97" s="568"/>
      <x:c r="E97" s="568"/>
      <x:c r="F97" s="568"/>
      <x:c r="G97" s="568"/>
      <x:c r="H97" s="568"/>
    </x:row>
    <x:row r="98">
      <x:c r="A98" s="568"/>
      <x:c r="B98" s="568"/>
      <x:c r="C98" s="568"/>
      <x:c r="D98" s="568"/>
      <x:c r="E98" s="568"/>
      <x:c r="F98" s="568"/>
      <x:c r="G98" s="568"/>
      <x:c r="H98" s="568"/>
    </x:row>
    <x:row r="99">
      <x:c r="A99" s="568"/>
      <x:c r="B99" s="568"/>
      <x:c r="C99" s="568"/>
      <x:c r="D99" s="568"/>
      <x:c r="E99" s="568"/>
      <x:c r="F99" s="568"/>
      <x:c r="G99" s="568"/>
      <x:c r="H99" s="568"/>
    </x:row>
    <x:row r="100">
      <x:c r="A100" s="568"/>
      <x:c r="B100" s="568"/>
      <x:c r="C100" s="568"/>
      <x:c r="D100" s="568"/>
      <x:c r="E100" s="568"/>
      <x:c r="F100" s="568"/>
      <x:c r="G100" s="568"/>
      <x:c r="H100" s="568"/>
    </x:row>
    <x:row r="101">
      <x:c r="A101" s="568"/>
      <x:c r="B101" s="568"/>
      <x:c r="C101" s="568"/>
      <x:c r="D101" s="568"/>
      <x:c r="E101" s="568"/>
      <x:c r="F101" s="568"/>
      <x:c r="G101" s="568"/>
      <x:c r="H101" s="568"/>
    </x:row>
    <x:row r="102">
      <x:c r="A102" s="568"/>
      <x:c r="B102" s="568"/>
      <x:c r="C102" s="568"/>
      <x:c r="D102" s="568"/>
      <x:c r="E102" s="568"/>
      <x:c r="F102" s="568"/>
      <x:c r="G102" s="568"/>
      <x:c r="H102" s="568"/>
    </x:row>
    <x:row r="103">
      <x:c r="A103" s="568"/>
      <x:c r="B103" s="568"/>
      <x:c r="C103" s="568"/>
      <x:c r="D103" s="568"/>
      <x:c r="E103" s="568"/>
      <x:c r="F103" s="568"/>
      <x:c r="G103" s="568"/>
      <x:c r="H103" s="568"/>
    </x:row>
    <x:row r="104">
      <x:c r="A104" s="568"/>
      <x:c r="B104" s="568"/>
      <x:c r="C104" s="568"/>
      <x:c r="D104" s="568"/>
      <x:c r="E104" s="568"/>
      <x:c r="F104" s="568"/>
      <x:c r="G104" s="568"/>
      <x:c r="H104" s="568"/>
    </x:row>
    <x:row r="105">
      <x:c r="A105" s="568"/>
      <x:c r="B105" s="568"/>
      <x:c r="C105" s="568"/>
      <x:c r="D105" s="568"/>
      <x:c r="E105" s="568"/>
      <x:c r="F105" s="568"/>
      <x:c r="G105" s="568"/>
      <x:c r="H105" s="568"/>
    </x:row>
    <x:row r="106">
      <x:c r="A106" s="568"/>
      <x:c r="B106" s="568"/>
      <x:c r="C106" s="568"/>
      <x:c r="D106" s="568"/>
      <x:c r="E106" s="568"/>
      <x:c r="F106" s="568"/>
      <x:c r="G106" s="568"/>
      <x:c r="H106" s="568"/>
    </x:row>
    <x:row r="107">
      <x:c r="A107" s="568"/>
      <x:c r="B107" s="568"/>
      <x:c r="C107" s="568"/>
      <x:c r="D107" s="568"/>
      <x:c r="E107" s="568"/>
      <x:c r="F107" s="568"/>
      <x:c r="G107" s="568"/>
      <x:c r="H107" s="568"/>
    </x:row>
    <x:row r="108">
      <x:c r="A108" s="568"/>
      <x:c r="B108" s="568"/>
      <x:c r="C108" s="568"/>
      <x:c r="D108" s="568"/>
      <x:c r="E108" s="568"/>
      <x:c r="F108" s="568"/>
      <x:c r="G108" s="568"/>
      <x:c r="H108" s="568"/>
    </x:row>
    <x:row r="109">
      <x:c r="A109" s="568"/>
      <x:c r="B109" s="568"/>
      <x:c r="C109" s="568"/>
      <x:c r="D109" s="568"/>
      <x:c r="E109" s="568"/>
      <x:c r="F109" s="568"/>
      <x:c r="G109" s="568"/>
      <x:c r="H109" s="568"/>
    </x:row>
    <x:row r="110">
      <x:c r="A110" s="568"/>
      <x:c r="B110" s="568"/>
      <x:c r="C110" s="568"/>
      <x:c r="D110" s="568"/>
      <x:c r="E110" s="568"/>
      <x:c r="F110" s="568"/>
      <x:c r="G110" s="568"/>
      <x:c r="H110" s="568"/>
    </x:row>
    <x:row r="111">
      <x:c r="A111" s="568"/>
      <x:c r="B111" s="568"/>
      <x:c r="C111" s="568"/>
      <x:c r="D111" s="568"/>
      <x:c r="E111" s="568"/>
      <x:c r="F111" s="568"/>
      <x:c r="G111" s="568"/>
      <x:c r="H111" s="568"/>
    </x:row>
    <x:row r="112">
      <x:c r="A112" s="568"/>
      <x:c r="B112" s="568"/>
      <x:c r="C112" s="568"/>
      <x:c r="D112" s="568"/>
      <x:c r="E112" s="568"/>
      <x:c r="F112" s="568"/>
      <x:c r="G112" s="568"/>
      <x:c r="H112" s="568"/>
    </x:row>
    <x:row r="113">
      <x:c r="A113" s="568"/>
      <x:c r="B113" s="568"/>
      <x:c r="C113" s="568"/>
      <x:c r="D113" s="568"/>
      <x:c r="E113" s="568"/>
      <x:c r="F113" s="568"/>
      <x:c r="G113" s="568"/>
      <x:c r="H113" s="568"/>
    </x:row>
    <x:row r="114">
      <x:c r="A114" s="568"/>
      <x:c r="B114" s="568"/>
      <x:c r="C114" s="568"/>
      <x:c r="D114" s="568"/>
      <x:c r="E114" s="568"/>
      <x:c r="F114" s="568"/>
      <x:c r="G114" s="568"/>
      <x:c r="H114" s="568"/>
    </x:row>
    <x:row r="115">
      <x:c r="A115" s="568"/>
      <x:c r="B115" s="568"/>
      <x:c r="C115" s="568"/>
      <x:c r="D115" s="568"/>
      <x:c r="E115" s="568"/>
      <x:c r="F115" s="568"/>
      <x:c r="G115" s="568"/>
      <x:c r="H115" s="568"/>
    </x:row>
    <x:row r="116">
      <x:c r="A116" s="568"/>
      <x:c r="B116" s="568"/>
      <x:c r="C116" s="568"/>
      <x:c r="D116" s="568"/>
      <x:c r="E116" s="568"/>
      <x:c r="F116" s="568"/>
      <x:c r="G116" s="568"/>
      <x:c r="H116" s="568"/>
    </x:row>
    <x:row r="117">
      <x:c r="A117" s="568"/>
      <x:c r="B117" s="568"/>
      <x:c r="C117" s="568"/>
      <x:c r="D117" s="568"/>
      <x:c r="E117" s="568"/>
      <x:c r="F117" s="568"/>
      <x:c r="G117" s="568"/>
      <x:c r="H117" s="568"/>
    </x:row>
    <x:row r="118">
      <x:c r="A118" s="568"/>
      <x:c r="B118" s="568"/>
      <x:c r="C118" s="568"/>
      <x:c r="D118" s="568"/>
      <x:c r="E118" s="568"/>
      <x:c r="F118" s="568"/>
      <x:c r="G118" s="568"/>
      <x:c r="H118" s="568"/>
    </x:row>
    <x:row r="119">
      <x:c r="A119" s="568"/>
      <x:c r="B119" s="568"/>
      <x:c r="C119" s="568"/>
      <x:c r="D119" s="568"/>
      <x:c r="E119" s="568"/>
      <x:c r="F119" s="568"/>
      <x:c r="G119" s="568"/>
      <x:c r="H119" s="568"/>
    </x:row>
    <x:row r="120">
      <x:c r="A120" s="568"/>
      <x:c r="B120" s="568"/>
      <x:c r="C120" s="568"/>
      <x:c r="D120" s="568"/>
      <x:c r="E120" s="568"/>
      <x:c r="F120" s="568"/>
      <x:c r="G120" s="568"/>
      <x:c r="H120" s="568"/>
    </x:row>
    <x:row r="121">
      <x:c r="A121" s="568"/>
      <x:c r="B121" s="568"/>
      <x:c r="C121" s="568"/>
      <x:c r="D121" s="568"/>
      <x:c r="E121" s="568"/>
      <x:c r="F121" s="568"/>
      <x:c r="G121" s="568"/>
      <x:c r="H121" s="568"/>
    </x:row>
    <x:row r="122">
      <x:c r="A122" s="568"/>
      <x:c r="B122" s="568"/>
      <x:c r="C122" s="568"/>
      <x:c r="D122" s="568"/>
      <x:c r="E122" s="568"/>
      <x:c r="F122" s="568"/>
      <x:c r="G122" s="568"/>
      <x:c r="H122" s="568"/>
    </x:row>
    <x:row r="123">
      <x:c r="A123" s="568"/>
      <x:c r="B123" s="568"/>
      <x:c r="C123" s="568"/>
      <x:c r="D123" s="568"/>
      <x:c r="E123" s="568"/>
      <x:c r="F123" s="568"/>
      <x:c r="G123" s="568"/>
      <x:c r="H123" s="568"/>
    </x:row>
    <x:row r="124">
      <x:c r="A124" s="568"/>
      <x:c r="B124" s="568"/>
      <x:c r="C124" s="568"/>
      <x:c r="D124" s="568"/>
      <x:c r="E124" s="568"/>
      <x:c r="F124" s="568"/>
      <x:c r="G124" s="568"/>
      <x:c r="H124" s="568"/>
    </x:row>
    <x:row r="125">
      <x:c r="A125" s="568"/>
      <x:c r="B125" s="568"/>
      <x:c r="C125" s="568"/>
      <x:c r="D125" s="568"/>
      <x:c r="E125" s="568"/>
      <x:c r="F125" s="568"/>
      <x:c r="G125" s="568"/>
      <x:c r="H125" s="568"/>
    </x:row>
    <x:row r="126">
      <x:c r="A126" s="568"/>
      <x:c r="B126" s="568"/>
      <x:c r="C126" s="568"/>
      <x:c r="D126" s="568"/>
      <x:c r="E126" s="568"/>
      <x:c r="F126" s="568"/>
      <x:c r="G126" s="568"/>
      <x:c r="H126" s="568"/>
    </x:row>
    <x:row r="127">
      <x:c r="A127" s="568"/>
      <x:c r="B127" s="568"/>
      <x:c r="C127" s="568"/>
      <x:c r="D127" s="568"/>
      <x:c r="E127" s="568"/>
      <x:c r="F127" s="568"/>
      <x:c r="G127" s="568"/>
      <x:c r="H127" s="568"/>
    </x:row>
    <x:row r="128">
      <x:c r="A128" s="568"/>
      <x:c r="B128" s="568"/>
      <x:c r="C128" s="568"/>
      <x:c r="D128" s="568"/>
      <x:c r="E128" s="568"/>
      <x:c r="F128" s="568"/>
      <x:c r="G128" s="568"/>
      <x:c r="H128" s="568"/>
    </x:row>
    <x:row r="129">
      <x:c r="A129" s="568"/>
      <x:c r="B129" s="568"/>
      <x:c r="C129" s="568"/>
      <x:c r="D129" s="568"/>
      <x:c r="E129" s="568"/>
      <x:c r="F129" s="568"/>
      <x:c r="G129" s="568"/>
      <x:c r="H129" s="568"/>
    </x:row>
    <x:row r="130">
      <x:c r="A130" s="568"/>
      <x:c r="B130" s="568"/>
      <x:c r="C130" s="568"/>
      <x:c r="D130" s="568"/>
      <x:c r="E130" s="568"/>
      <x:c r="F130" s="568"/>
      <x:c r="G130" s="568"/>
      <x:c r="H130" s="568"/>
    </x:row>
    <x:row r="131">
      <x:c r="A131" s="568"/>
      <x:c r="B131" s="568"/>
      <x:c r="C131" s="568"/>
      <x:c r="D131" s="568"/>
      <x:c r="E131" s="568"/>
      <x:c r="F131" s="568"/>
      <x:c r="G131" s="568"/>
      <x:c r="H131" s="568"/>
    </x:row>
    <x:row r="132">
      <x:c r="A132" s="568"/>
      <x:c r="B132" s="568"/>
      <x:c r="C132" s="568"/>
      <x:c r="D132" s="568"/>
      <x:c r="E132" s="568"/>
      <x:c r="F132" s="568"/>
      <x:c r="G132" s="568"/>
      <x:c r="H132" s="568"/>
    </x:row>
    <x:row r="133">
      <x:c r="A133" s="568"/>
      <x:c r="B133" s="568"/>
      <x:c r="C133" s="568"/>
      <x:c r="D133" s="568"/>
      <x:c r="E133" s="568"/>
      <x:c r="F133" s="568"/>
      <x:c r="G133" s="568"/>
      <x:c r="H133" s="568"/>
    </x:row>
    <x:row r="134">
      <x:c r="A134" s="568"/>
      <x:c r="B134" s="568"/>
      <x:c r="C134" s="568"/>
      <x:c r="D134" s="568"/>
      <x:c r="E134" s="568"/>
      <x:c r="F134" s="568"/>
      <x:c r="G134" s="568"/>
      <x:c r="H134" s="568"/>
    </x:row>
    <x:row r="135">
      <x:c r="A135" s="568"/>
      <x:c r="B135" s="568"/>
      <x:c r="C135" s="568"/>
      <x:c r="D135" s="568"/>
      <x:c r="E135" s="568"/>
      <x:c r="F135" s="568"/>
      <x:c r="G135" s="568"/>
      <x:c r="H135" s="568"/>
    </x:row>
    <x:row r="136">
      <x:c r="A136" s="568"/>
      <x:c r="B136" s="568"/>
      <x:c r="C136" s="568"/>
      <x:c r="D136" s="568"/>
      <x:c r="E136" s="568"/>
      <x:c r="F136" s="568"/>
      <x:c r="G136" s="568"/>
      <x:c r="H136" s="568"/>
    </x:row>
    <x:row r="137">
      <x:c r="A137" s="568"/>
      <x:c r="B137" s="568"/>
      <x:c r="C137" s="568"/>
      <x:c r="D137" s="568"/>
      <x:c r="E137" s="568"/>
      <x:c r="F137" s="568"/>
      <x:c r="G137" s="568"/>
      <x:c r="H137" s="568"/>
    </x:row>
    <x:row r="138">
      <x:c r="A138" s="568"/>
      <x:c r="B138" s="568"/>
      <x:c r="C138" s="568"/>
      <x:c r="D138" s="568"/>
      <x:c r="E138" s="568"/>
      <x:c r="F138" s="568"/>
      <x:c r="G138" s="568"/>
      <x:c r="H138" s="568"/>
    </x:row>
    <x:row r="139">
      <x:c r="A139" s="568"/>
      <x:c r="B139" s="568"/>
      <x:c r="C139" s="568"/>
      <x:c r="D139" s="568"/>
      <x:c r="E139" s="568"/>
      <x:c r="F139" s="568"/>
      <x:c r="G139" s="568"/>
      <x:c r="H139" s="568"/>
    </x:row>
    <x:row r="140">
      <x:c r="A140" s="568"/>
      <x:c r="B140" s="568"/>
      <x:c r="C140" s="568"/>
      <x:c r="D140" s="568"/>
      <x:c r="E140" s="568"/>
      <x:c r="F140" s="568"/>
      <x:c r="G140" s="568"/>
      <x:c r="H140" s="568"/>
    </x:row>
    <x:row r="141">
      <x:c r="A141" s="568"/>
      <x:c r="B141" s="568"/>
      <x:c r="C141" s="568"/>
      <x:c r="D141" s="568"/>
      <x:c r="E141" s="568"/>
      <x:c r="F141" s="568"/>
      <x:c r="G141" s="568"/>
      <x:c r="H141" s="568"/>
    </x:row>
    <x:row r="142">
      <x:c r="A142" s="568"/>
      <x:c r="B142" s="568"/>
      <x:c r="C142" s="568"/>
      <x:c r="D142" s="568"/>
      <x:c r="E142" s="568"/>
      <x:c r="F142" s="568"/>
      <x:c r="G142" s="568"/>
      <x:c r="H142" s="568"/>
    </x:row>
    <x:row r="143">
      <x:c r="A143" s="568"/>
      <x:c r="B143" s="568"/>
      <x:c r="C143" s="568"/>
      <x:c r="D143" s="568"/>
      <x:c r="E143" s="568"/>
      <x:c r="F143" s="568"/>
      <x:c r="G143" s="568"/>
      <x:c r="H143" s="568"/>
    </x:row>
    <x:row r="144">
      <x:c r="A144" s="568"/>
      <x:c r="B144" s="568"/>
      <x:c r="C144" s="568"/>
      <x:c r="D144" s="568"/>
      <x:c r="E144" s="568"/>
      <x:c r="F144" s="568"/>
      <x:c r="G144" s="568"/>
      <x:c r="H144" s="568"/>
    </x:row>
    <x:row r="145">
      <x:c r="A145" s="568"/>
      <x:c r="B145" s="568"/>
      <x:c r="C145" s="568"/>
      <x:c r="D145" s="568"/>
      <x:c r="E145" s="568"/>
      <x:c r="F145" s="568"/>
      <x:c r="G145" s="568"/>
      <x:c r="H145" s="568"/>
    </x:row>
    <x:row r="146">
      <x:c r="A146" s="568"/>
      <x:c r="B146" s="568"/>
      <x:c r="C146" s="568"/>
      <x:c r="D146" s="568"/>
      <x:c r="E146" s="568"/>
      <x:c r="F146" s="568"/>
      <x:c r="G146" s="568"/>
      <x:c r="H146" s="568"/>
    </x:row>
    <x:row r="147">
      <x:c r="A147" s="568"/>
      <x:c r="B147" s="568"/>
      <x:c r="C147" s="568"/>
      <x:c r="D147" s="568"/>
      <x:c r="E147" s="568"/>
      <x:c r="F147" s="568"/>
      <x:c r="G147" s="568"/>
      <x:c r="H147" s="568"/>
    </x:row>
    <x:row r="148">
      <x:c r="A148" s="568"/>
      <x:c r="B148" s="568"/>
      <x:c r="C148" s="568"/>
      <x:c r="D148" s="568"/>
      <x:c r="E148" s="568"/>
      <x:c r="F148" s="568"/>
      <x:c r="G148" s="568"/>
      <x:c r="H148" s="568"/>
    </x:row>
    <x:row r="149">
      <x:c r="A149" s="568"/>
      <x:c r="B149" s="568"/>
      <x:c r="C149" s="568"/>
      <x:c r="D149" s="568"/>
      <x:c r="E149" s="568"/>
      <x:c r="F149" s="568"/>
      <x:c r="G149" s="568"/>
      <x:c r="H149" s="568"/>
    </x:row>
    <x:row r="150">
      <x:c r="A150" s="568"/>
      <x:c r="B150" s="568"/>
      <x:c r="C150" s="568"/>
      <x:c r="D150" s="568"/>
      <x:c r="E150" s="568"/>
      <x:c r="F150" s="568"/>
      <x:c r="G150" s="568"/>
      <x:c r="H150" s="568"/>
    </x:row>
    <x:row r="151">
      <x:c r="A151" s="568"/>
      <x:c r="B151" s="568"/>
      <x:c r="C151" s="568"/>
      <x:c r="D151" s="568"/>
      <x:c r="E151" s="568"/>
      <x:c r="F151" s="568"/>
      <x:c r="G151" s="568"/>
      <x:c r="H151" s="568"/>
    </x:row>
    <x:row r="152">
      <x:c r="A152" s="568"/>
      <x:c r="B152" s="568"/>
      <x:c r="C152" s="568"/>
      <x:c r="D152" s="568"/>
      <x:c r="E152" s="568"/>
      <x:c r="F152" s="568"/>
      <x:c r="G152" s="568"/>
      <x:c r="H152" s="568"/>
    </x:row>
    <x:row r="153">
      <x:c r="A153" s="568"/>
      <x:c r="B153" s="568"/>
      <x:c r="C153" s="568"/>
      <x:c r="D153" s="568"/>
      <x:c r="E153" s="568"/>
      <x:c r="F153" s="568"/>
      <x:c r="G153" s="568"/>
      <x:c r="H153" s="568"/>
    </x:row>
    <x:row r="154">
      <x:c r="A154" s="568"/>
      <x:c r="B154" s="568"/>
      <x:c r="C154" s="568"/>
      <x:c r="D154" s="568"/>
      <x:c r="E154" s="568"/>
      <x:c r="F154" s="568"/>
      <x:c r="G154" s="568"/>
      <x:c r="H154" s="568"/>
    </x:row>
    <x:row r="155">
      <x:c r="A155" s="568"/>
      <x:c r="B155" s="568"/>
      <x:c r="C155" s="568"/>
      <x:c r="D155" s="568"/>
      <x:c r="E155" s="568"/>
      <x:c r="F155" s="568"/>
      <x:c r="G155" s="568"/>
      <x:c r="H155" s="568"/>
    </x:row>
    <x:row r="156">
      <x:c r="A156" s="568"/>
      <x:c r="B156" s="568"/>
      <x:c r="C156" s="568"/>
      <x:c r="D156" s="568"/>
      <x:c r="E156" s="568"/>
      <x:c r="F156" s="568"/>
      <x:c r="G156" s="568"/>
      <x:c r="H156" s="568"/>
    </x:row>
    <x:row r="157">
      <x:c r="A157" s="568"/>
      <x:c r="B157" s="568"/>
      <x:c r="C157" s="568"/>
      <x:c r="D157" s="568"/>
      <x:c r="E157" s="568"/>
      <x:c r="F157" s="568"/>
      <x:c r="G157" s="568"/>
      <x:c r="H157" s="568"/>
    </x:row>
    <x:row r="158">
      <x:c r="A158" s="568"/>
      <x:c r="B158" s="568"/>
      <x:c r="C158" s="568"/>
      <x:c r="D158" s="568"/>
      <x:c r="E158" s="568"/>
      <x:c r="F158" s="568"/>
      <x:c r="G158" s="568"/>
      <x:c r="H158" s="568"/>
    </x:row>
    <x:row r="159">
      <x:c r="A159" s="568"/>
      <x:c r="B159" s="568"/>
      <x:c r="C159" s="568"/>
      <x:c r="D159" s="568"/>
      <x:c r="E159" s="568"/>
      <x:c r="F159" s="568"/>
      <x:c r="G159" s="568"/>
      <x:c r="H159" s="568"/>
    </x:row>
    <x:row r="160">
      <x:c r="A160" s="568"/>
      <x:c r="B160" s="568"/>
      <x:c r="C160" s="568"/>
      <x:c r="D160" s="568"/>
      <x:c r="E160" s="568"/>
      <x:c r="F160" s="568"/>
      <x:c r="G160" s="568"/>
      <x:c r="H160" s="568"/>
    </x:row>
    <x:row r="161">
      <x:c r="A161" s="568"/>
      <x:c r="B161" s="568"/>
      <x:c r="C161" s="568"/>
      <x:c r="D161" s="568"/>
      <x:c r="E161" s="568"/>
      <x:c r="F161" s="568"/>
      <x:c r="G161" s="568"/>
      <x:c r="H161" s="568"/>
    </x:row>
    <x:row r="162">
      <x:c r="A162" s="568"/>
      <x:c r="B162" s="568"/>
      <x:c r="C162" s="568"/>
      <x:c r="D162" s="568"/>
      <x:c r="E162" s="568"/>
      <x:c r="F162" s="568"/>
      <x:c r="G162" s="568"/>
      <x:c r="H162" s="568"/>
    </x:row>
    <x:row r="163">
      <x:c r="A163" s="568"/>
      <x:c r="B163" s="568"/>
      <x:c r="C163" s="568"/>
      <x:c r="D163" s="568"/>
      <x:c r="E163" s="568"/>
      <x:c r="F163" s="568"/>
      <x:c r="G163" s="568"/>
      <x:c r="H163" s="568"/>
    </x:row>
    <x:row r="164">
      <x:c r="A164" s="568"/>
      <x:c r="B164" s="568"/>
      <x:c r="C164" s="568"/>
      <x:c r="D164" s="568"/>
      <x:c r="E164" s="568"/>
      <x:c r="F164" s="568"/>
      <x:c r="G164" s="568"/>
      <x:c r="H164" s="568"/>
    </x:row>
    <x:row r="165">
      <x:c r="A165" s="568"/>
      <x:c r="B165" s="568"/>
      <x:c r="C165" s="568"/>
      <x:c r="D165" s="568"/>
      <x:c r="E165" s="568"/>
      <x:c r="F165" s="568"/>
      <x:c r="G165" s="568"/>
      <x:c r="H165" s="568"/>
    </x:row>
    <x:row r="166">
      <x:c r="A166" s="568"/>
      <x:c r="B166" s="568"/>
      <x:c r="C166" s="568"/>
      <x:c r="D166" s="568"/>
      <x:c r="E166" s="568"/>
      <x:c r="F166" s="568"/>
      <x:c r="G166" s="568"/>
      <x:c r="H166" s="568"/>
    </x:row>
    <x:row r="167">
      <x:c r="A167" s="568"/>
      <x:c r="B167" s="568"/>
      <x:c r="C167" s="568"/>
      <x:c r="D167" s="568"/>
      <x:c r="E167" s="568"/>
      <x:c r="F167" s="568"/>
      <x:c r="G167" s="568"/>
      <x:c r="H167" s="568"/>
    </x:row>
    <x:row r="168">
      <x:c r="A168" s="568"/>
      <x:c r="B168" s="568"/>
      <x:c r="C168" s="568"/>
      <x:c r="D168" s="568"/>
      <x:c r="E168" s="568"/>
      <x:c r="F168" s="568"/>
      <x:c r="G168" s="568"/>
      <x:c r="H168" s="568"/>
    </x:row>
    <x:row r="169">
      <x:c r="A169" s="568"/>
      <x:c r="B169" s="568"/>
      <x:c r="C169" s="568"/>
      <x:c r="D169" s="568"/>
      <x:c r="E169" s="568"/>
      <x:c r="F169" s="568"/>
      <x:c r="G169" s="568"/>
      <x:c r="H169" s="568"/>
    </x:row>
    <x:row r="170">
      <x:c r="A170" s="568"/>
      <x:c r="B170" s="568"/>
      <x:c r="C170" s="568"/>
      <x:c r="D170" s="568"/>
      <x:c r="E170" s="568"/>
      <x:c r="F170" s="568"/>
      <x:c r="G170" s="568"/>
      <x:c r="H170" s="568"/>
    </x:row>
    <x:row r="171">
      <x:c r="A171" s="568"/>
      <x:c r="B171" s="568"/>
      <x:c r="C171" s="568"/>
      <x:c r="D171" s="568"/>
      <x:c r="E171" s="568"/>
      <x:c r="F171" s="568"/>
      <x:c r="G171" s="568"/>
      <x:c r="H171" s="568"/>
    </x:row>
    <x:row r="172">
      <x:c r="A172" s="568"/>
      <x:c r="B172" s="568"/>
      <x:c r="C172" s="568"/>
      <x:c r="D172" s="568"/>
      <x:c r="E172" s="568"/>
      <x:c r="F172" s="568"/>
      <x:c r="G172" s="568"/>
      <x:c r="H172" s="568"/>
    </x:row>
    <x:row r="173">
      <x:c r="A173" s="568"/>
      <x:c r="B173" s="568"/>
      <x:c r="C173" s="568"/>
      <x:c r="D173" s="568"/>
      <x:c r="E173" s="568"/>
      <x:c r="F173" s="568"/>
      <x:c r="G173" s="568"/>
      <x:c r="H173" s="568"/>
    </x:row>
    <x:row r="174">
      <x:c r="A174" s="568"/>
      <x:c r="B174" s="568"/>
      <x:c r="C174" s="568"/>
      <x:c r="D174" s="568"/>
      <x:c r="E174" s="568"/>
      <x:c r="F174" s="568"/>
      <x:c r="G174" s="568"/>
      <x:c r="H174" s="568"/>
    </x:row>
    <x:row r="175">
      <x:c r="A175" s="568"/>
      <x:c r="B175" s="568"/>
      <x:c r="C175" s="568"/>
      <x:c r="D175" s="568"/>
      <x:c r="E175" s="568"/>
      <x:c r="F175" s="568"/>
      <x:c r="G175" s="568"/>
      <x:c r="H175" s="568"/>
    </x:row>
    <x:row r="176">
      <x:c r="A176" s="568"/>
      <x:c r="B176" s="568"/>
      <x:c r="C176" s="568"/>
      <x:c r="D176" s="568"/>
      <x:c r="E176" s="568"/>
      <x:c r="F176" s="568"/>
      <x:c r="G176" s="568"/>
      <x:c r="H176" s="568"/>
    </x:row>
    <x:row r="177">
      <x:c r="A177" s="568"/>
      <x:c r="B177" s="568"/>
      <x:c r="C177" s="568"/>
      <x:c r="D177" s="568"/>
      <x:c r="E177" s="568"/>
      <x:c r="F177" s="568"/>
      <x:c r="G177" s="568"/>
      <x:c r="H177" s="568"/>
    </x:row>
    <x:row r="178">
      <x:c r="A178" s="568"/>
      <x:c r="B178" s="568"/>
      <x:c r="C178" s="568"/>
      <x:c r="D178" s="568"/>
      <x:c r="E178" s="568"/>
      <x:c r="F178" s="568"/>
      <x:c r="G178" s="568"/>
      <x:c r="H178" s="568"/>
    </x:row>
    <x:row r="179">
      <x:c r="A179" s="568"/>
      <x:c r="B179" s="568"/>
      <x:c r="C179" s="568"/>
      <x:c r="D179" s="568"/>
      <x:c r="E179" s="568"/>
      <x:c r="F179" s="568"/>
      <x:c r="G179" s="568"/>
      <x:c r="H179" s="568"/>
    </x:row>
    <x:row r="180">
      <x:c r="A180" s="568"/>
      <x:c r="B180" s="568"/>
      <x:c r="C180" s="568"/>
      <x:c r="D180" s="568"/>
      <x:c r="E180" s="568"/>
      <x:c r="F180" s="568"/>
      <x:c r="G180" s="568"/>
      <x:c r="H180" s="568"/>
    </x:row>
    <x:row r="181">
      <x:c r="A181" s="568"/>
      <x:c r="B181" s="568"/>
      <x:c r="C181" s="568"/>
      <x:c r="D181" s="568"/>
      <x:c r="E181" s="568"/>
      <x:c r="F181" s="568"/>
      <x:c r="G181" s="568"/>
      <x:c r="H181" s="568"/>
    </x:row>
    <x:row r="182">
      <x:c r="A182" s="568"/>
      <x:c r="B182" s="568"/>
      <x:c r="C182" s="568"/>
      <x:c r="D182" s="568"/>
      <x:c r="E182" s="568"/>
      <x:c r="F182" s="568"/>
      <x:c r="G182" s="568"/>
      <x:c r="H182" s="568"/>
    </x:row>
    <x:row r="183">
      <x:c r="A183" s="568"/>
      <x:c r="B183" s="568"/>
      <x:c r="C183" s="568"/>
      <x:c r="D183" s="568"/>
      <x:c r="E183" s="568"/>
      <x:c r="F183" s="568"/>
      <x:c r="G183" s="568"/>
      <x:c r="H183" s="568"/>
    </x:row>
    <x:row r="184">
      <x:c r="A184" s="568"/>
      <x:c r="B184" s="568"/>
      <x:c r="C184" s="568"/>
      <x:c r="D184" s="568"/>
      <x:c r="E184" s="568"/>
      <x:c r="F184" s="568"/>
      <x:c r="G184" s="568"/>
      <x:c r="H184" s="568"/>
    </x:row>
    <x:row r="185">
      <x:c r="A185" s="568"/>
      <x:c r="B185" s="568"/>
      <x:c r="C185" s="568"/>
      <x:c r="D185" s="568"/>
      <x:c r="E185" s="568"/>
      <x:c r="F185" s="568"/>
      <x:c r="G185" s="568"/>
      <x:c r="H185" s="568"/>
    </x:row>
    <x:row r="186">
      <x:c r="A186" s="568"/>
      <x:c r="B186" s="568"/>
      <x:c r="C186" s="568"/>
      <x:c r="D186" s="568"/>
      <x:c r="E186" s="568"/>
      <x:c r="F186" s="568"/>
      <x:c r="G186" s="568"/>
      <x:c r="H186" s="568"/>
    </x:row>
    <x:row r="187">
      <x:c r="A187" s="568"/>
      <x:c r="B187" s="568"/>
      <x:c r="C187" s="568"/>
      <x:c r="D187" s="568"/>
      <x:c r="E187" s="568"/>
      <x:c r="F187" s="568"/>
      <x:c r="G187" s="568"/>
      <x:c r="H187" s="568"/>
    </x:row>
    <x:row r="188">
      <x:c r="A188" s="568"/>
      <x:c r="B188" s="568"/>
      <x:c r="C188" s="568"/>
      <x:c r="D188" s="568"/>
      <x:c r="E188" s="568"/>
      <x:c r="F188" s="568"/>
      <x:c r="G188" s="568"/>
      <x:c r="H188" s="568"/>
    </x:row>
    <x:row r="189">
      <x:c r="A189" s="568"/>
      <x:c r="B189" s="568"/>
      <x:c r="C189" s="568"/>
      <x:c r="D189" s="568"/>
      <x:c r="E189" s="568"/>
      <x:c r="F189" s="568"/>
      <x:c r="G189" s="568"/>
      <x:c r="H189" s="568"/>
    </x:row>
    <x:row r="190">
      <x:c r="A190" s="568"/>
      <x:c r="B190" s="568"/>
      <x:c r="C190" s="568"/>
      <x:c r="D190" s="568"/>
      <x:c r="E190" s="568"/>
      <x:c r="F190" s="568"/>
      <x:c r="G190" s="568"/>
      <x:c r="H190" s="568"/>
    </x:row>
    <x:row r="191">
      <x:c r="A191" s="568"/>
      <x:c r="B191" s="568"/>
      <x:c r="C191" s="568"/>
      <x:c r="D191" s="568"/>
      <x:c r="E191" s="568"/>
      <x:c r="F191" s="568"/>
      <x:c r="G191" s="568"/>
      <x:c r="H191" s="568"/>
    </x:row>
    <x:row r="192">
      <x:c r="A192" s="568"/>
      <x:c r="B192" s="568"/>
      <x:c r="C192" s="568"/>
      <x:c r="D192" s="568"/>
      <x:c r="E192" s="568"/>
      <x:c r="F192" s="568"/>
      <x:c r="G192" s="568"/>
      <x:c r="H192" s="568"/>
    </x:row>
    <x:row r="193">
      <x:c r="A193" s="568"/>
      <x:c r="B193" s="568"/>
      <x:c r="C193" s="568"/>
      <x:c r="D193" s="568"/>
      <x:c r="E193" s="568"/>
      <x:c r="F193" s="568"/>
      <x:c r="G193" s="568"/>
      <x:c r="H193" s="568"/>
    </x:row>
    <x:row r="194">
      <x:c r="A194" s="568"/>
      <x:c r="B194" s="568"/>
      <x:c r="C194" s="568"/>
      <x:c r="D194" s="568"/>
      <x:c r="E194" s="568"/>
      <x:c r="F194" s="568"/>
      <x:c r="G194" s="568"/>
      <x:c r="H194" s="568"/>
    </x:row>
    <x:row r="195">
      <x:c r="A195" s="568"/>
      <x:c r="B195" s="568"/>
      <x:c r="C195" s="568"/>
      <x:c r="D195" s="568"/>
      <x:c r="E195" s="568"/>
      <x:c r="F195" s="568"/>
      <x:c r="G195" s="568"/>
      <x:c r="H195" s="568"/>
    </x:row>
    <x:row r="196">
      <x:c r="A196" s="568"/>
      <x:c r="B196" s="568"/>
      <x:c r="C196" s="568"/>
      <x:c r="D196" s="568"/>
      <x:c r="E196" s="568"/>
      <x:c r="F196" s="568"/>
      <x:c r="G196" s="568"/>
      <x:c r="H196" s="568"/>
    </x:row>
    <x:row r="197">
      <x:c r="A197" s="568"/>
      <x:c r="B197" s="568"/>
      <x:c r="C197" s="568"/>
      <x:c r="D197" s="568"/>
      <x:c r="E197" s="568"/>
      <x:c r="F197" s="568"/>
      <x:c r="G197" s="568"/>
      <x:c r="H197" s="568"/>
    </x:row>
    <x:row r="198">
      <x:c r="A198" s="568"/>
      <x:c r="B198" s="568"/>
      <x:c r="C198" s="568"/>
      <x:c r="D198" s="568"/>
      <x:c r="E198" s="568"/>
      <x:c r="F198" s="568"/>
      <x:c r="G198" s="568"/>
      <x:c r="H198" s="568"/>
    </x:row>
    <x:row r="199">
      <x:c r="A199" s="568"/>
      <x:c r="B199" s="568"/>
      <x:c r="C199" s="568"/>
      <x:c r="D199" s="568"/>
      <x:c r="E199" s="568"/>
      <x:c r="F199" s="568"/>
      <x:c r="G199" s="568"/>
      <x:c r="H199" s="568"/>
    </x:row>
    <x:row r="200">
      <x:c r="A200" s="568"/>
      <x:c r="B200" s="568"/>
      <x:c r="C200" s="568"/>
      <x:c r="D200" s="568"/>
      <x:c r="E200" s="568"/>
      <x:c r="F200" s="568"/>
      <x:c r="G200" s="568"/>
      <x:c r="H200" s="568"/>
    </x:row>
    <x:row r="201">
      <x:c r="A201" s="568"/>
      <x:c r="B201" s="568"/>
      <x:c r="C201" s="568"/>
      <x:c r="D201" s="568"/>
      <x:c r="E201" s="568"/>
      <x:c r="F201" s="568"/>
      <x:c r="G201" s="568"/>
      <x:c r="H201" s="568"/>
    </x:row>
    <x:row r="202">
      <x:c r="A202" s="568"/>
      <x:c r="B202" s="568"/>
      <x:c r="C202" s="568"/>
      <x:c r="D202" s="568"/>
      <x:c r="E202" s="568"/>
      <x:c r="F202" s="568"/>
      <x:c r="G202" s="568"/>
      <x:c r="H202" s="568"/>
    </x:row>
    <x:row r="203">
      <x:c r="A203" s="568"/>
      <x:c r="B203" s="568"/>
      <x:c r="C203" s="568"/>
      <x:c r="D203" s="568"/>
      <x:c r="E203" s="568"/>
      <x:c r="F203" s="568"/>
      <x:c r="G203" s="568"/>
      <x:c r="H203" s="568"/>
    </x:row>
    <x:row r="204">
      <x:c r="A204" s="568"/>
      <x:c r="B204" s="568"/>
      <x:c r="C204" s="568"/>
      <x:c r="D204" s="568"/>
      <x:c r="E204" s="568"/>
      <x:c r="F204" s="568"/>
      <x:c r="G204" s="568"/>
      <x:c r="H204" s="568"/>
    </x:row>
    <x:row r="205">
      <x:c r="A205" s="568"/>
      <x:c r="B205" s="568"/>
      <x:c r="C205" s="568"/>
      <x:c r="D205" s="568"/>
      <x:c r="E205" s="568"/>
      <x:c r="F205" s="568"/>
      <x:c r="G205" s="568"/>
      <x:c r="H205" s="568"/>
    </x:row>
    <x:row r="206">
      <x:c r="A206" s="568"/>
      <x:c r="B206" s="568"/>
      <x:c r="C206" s="568"/>
      <x:c r="D206" s="568"/>
      <x:c r="E206" s="568"/>
      <x:c r="F206" s="568"/>
      <x:c r="G206" s="568"/>
      <x:c r="H206" s="568"/>
    </x:row>
    <x:row r="207">
      <x:c r="A207" s="568"/>
      <x:c r="B207" s="568"/>
      <x:c r="C207" s="568"/>
      <x:c r="D207" s="568"/>
      <x:c r="E207" s="568"/>
      <x:c r="F207" s="568"/>
      <x:c r="G207" s="568"/>
      <x:c r="H207" s="568"/>
    </x:row>
    <x:row r="208">
      <x:c r="A208" s="568"/>
      <x:c r="B208" s="568"/>
      <x:c r="C208" s="568"/>
      <x:c r="D208" s="568"/>
      <x:c r="E208" s="568"/>
      <x:c r="F208" s="568"/>
      <x:c r="G208" s="568"/>
      <x:c r="H208" s="568"/>
    </x:row>
    <x:row r="209">
      <x:c r="A209" s="568"/>
      <x:c r="B209" s="568"/>
      <x:c r="C209" s="568"/>
      <x:c r="D209" s="568"/>
      <x:c r="E209" s="568"/>
      <x:c r="F209" s="568"/>
      <x:c r="G209" s="568"/>
      <x:c r="H209" s="568"/>
    </x:row>
    <x:row r="210">
      <x:c r="A210" s="568"/>
      <x:c r="B210" s="568"/>
      <x:c r="C210" s="568"/>
      <x:c r="D210" s="568"/>
      <x:c r="E210" s="568"/>
      <x:c r="F210" s="568"/>
      <x:c r="G210" s="568"/>
      <x:c r="H210" s="568"/>
    </x:row>
    <x:row r="211">
      <x:c r="A211" s="568"/>
      <x:c r="B211" s="568"/>
      <x:c r="C211" s="568"/>
      <x:c r="D211" s="568"/>
      <x:c r="E211" s="568"/>
      <x:c r="F211" s="568"/>
      <x:c r="G211" s="568"/>
      <x:c r="H211" s="568"/>
    </x:row>
    <x:row r="212">
      <x:c r="A212" s="568"/>
      <x:c r="B212" s="568"/>
      <x:c r="C212" s="568"/>
      <x:c r="D212" s="568"/>
      <x:c r="E212" s="568"/>
      <x:c r="F212" s="568"/>
      <x:c r="G212" s="568"/>
      <x:c r="H212" s="568"/>
    </x:row>
    <x:row r="213">
      <x:c r="A213" s="568"/>
      <x:c r="B213" s="568"/>
      <x:c r="C213" s="568"/>
      <x:c r="D213" s="568"/>
      <x:c r="E213" s="568"/>
      <x:c r="F213" s="568"/>
      <x:c r="G213" s="568"/>
      <x:c r="H213" s="568"/>
    </x:row>
    <x:row r="214">
      <x:c r="A214" s="568"/>
      <x:c r="B214" s="568"/>
      <x:c r="C214" s="568"/>
      <x:c r="D214" s="568"/>
      <x:c r="E214" s="568"/>
      <x:c r="F214" s="568"/>
      <x:c r="G214" s="568"/>
      <x:c r="H214" s="568"/>
    </x:row>
    <x:row r="215">
      <x:c r="A215" s="568"/>
      <x:c r="B215" s="568"/>
      <x:c r="C215" s="568"/>
      <x:c r="D215" s="568"/>
      <x:c r="E215" s="568"/>
      <x:c r="F215" s="568"/>
      <x:c r="G215" s="568"/>
      <x:c r="H215" s="568"/>
    </x:row>
    <x:row r="216">
      <x:c r="A216" s="568"/>
      <x:c r="B216" s="568"/>
      <x:c r="C216" s="568"/>
      <x:c r="D216" s="568"/>
      <x:c r="E216" s="568"/>
      <x:c r="F216" s="568"/>
      <x:c r="G216" s="568"/>
      <x:c r="H216" s="568"/>
    </x:row>
    <x:row r="217">
      <x:c r="A217" s="568"/>
      <x:c r="B217" s="568"/>
      <x:c r="C217" s="568"/>
      <x:c r="D217" s="568"/>
      <x:c r="E217" s="568"/>
      <x:c r="F217" s="568"/>
      <x:c r="G217" s="568"/>
      <x:c r="H217" s="568"/>
    </x:row>
    <x:row r="218">
      <x:c r="A218" s="568"/>
      <x:c r="B218" s="568"/>
      <x:c r="C218" s="568"/>
      <x:c r="D218" s="568"/>
      <x:c r="E218" s="568"/>
      <x:c r="F218" s="568"/>
      <x:c r="G218" s="568"/>
      <x:c r="H218" s="568"/>
    </x:row>
    <x:row r="219">
      <x:c r="A219" s="568"/>
      <x:c r="B219" s="568"/>
      <x:c r="C219" s="568"/>
      <x:c r="D219" s="568"/>
      <x:c r="E219" s="568"/>
      <x:c r="F219" s="568"/>
      <x:c r="G219" s="568"/>
      <x:c r="H219" s="568"/>
    </x:row>
    <x:row r="220">
      <x:c r="A220" s="568"/>
      <x:c r="B220" s="568"/>
      <x:c r="C220" s="568"/>
      <x:c r="D220" s="568"/>
      <x:c r="E220" s="568"/>
      <x:c r="F220" s="568"/>
      <x:c r="G220" s="568"/>
      <x:c r="H220" s="568"/>
    </x:row>
  </x:sheetData>
  <x:mergeCells>
    <x:mergeCell ref="A3:H3"/>
  </x:mergeCells>
  <x:dataValidations count="1">
    <x:dataValidation type="list" sqref="H6:H220">
      <x:formula1>"Idea,Planned,Booked,Optional,Backup,Done"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68" hidden="0" customWidth="1"/>
    <x:col min="4" max="4" width="24" hidden="0" customWidth="1"/>
    <x:col min="5" max="5" width="38" hidden="0" customWidth="1"/>
  </x:cols>
  <x:sheetData>
    <x:row r="1">
      <x:c r="A1" s="571" t="str">
        <x:v>👥 Travelers Dashboards</x:v>
      </x:c>
      <x:c r="B1" s="571"/>
      <x:c r="C1" s="571"/>
      <x:c r="D1" s="571"/>
      <x:c r="E1" s="571"/>
    </x:row>
    <x:row r="2">
      <x:c r="A2" s="571"/>
      <x:c r="B2" s="571"/>
      <x:c r="C2" s="571"/>
      <x:c r="D2" s="571"/>
      <x:c r="E2" s="571"/>
    </x:row>
    <x:row r="3">
      <x:c r="A3" s="572" t="str">
        <x:v>Travelers is the professional group label. Hilda remains directly accessible from the main bottom bar.</x:v>
      </x:c>
      <x:c r="B3" s="572"/>
      <x:c r="C3" s="572"/>
      <x:c r="D3" s="572"/>
      <x:c r="E3" s="572"/>
    </x:row>
    <x:row r="4">
      <x:c r="A4" s="568"/>
      <x:c r="B4" s="568"/>
      <x:c r="C4" s="568"/>
      <x:c r="D4" s="568"/>
      <x:c r="E4" s="568"/>
    </x:row>
    <x:row r="5">
      <x:c r="A5" s="575" t="str">
        <x:v>Traveler</x:v>
      </x:c>
      <x:c r="B5" s="575" t="str">
        <x:v>Primary Focus</x:v>
      </x:c>
      <x:c r="C5" s="575" t="str">
        <x:v>Quick Actions</x:v>
      </x:c>
      <x:c r="D5" s="575" t="str">
        <x:v>Bottom Bar Access</x:v>
      </x:c>
      <x:c r="E5" s="575" t="str">
        <x:v>Notes</x:v>
      </x:c>
    </x:row>
    <x:row r="6">
      <x:c r="A6" s="576" t="str">
        <x:v>David</x:v>
      </x:c>
      <x:c r="B6" s="576" t="str">
        <x:v>Planning, reservations, maps, budget, Peace of Mind</x:v>
      </x:c>
      <x:c r="C6" s="576" t="str">
        <x:v>Reservations, Maps, Money, Packing, Peace of Mind, System</x:v>
      </x:c>
      <x:c r="D6" s="576" t="str">
        <x:v>Through Travelers</x:v>
      </x:c>
      <x:c r="E6" s="576" t="str">
        <x:v>Power-user dashboard</x:v>
      </x:c>
    </x:row>
    <x:row r="7">
      <x:c r="A7" s="576" t="str">
        <x:v>Noelle</x:v>
      </x:c>
      <x:c r="B7" s="576" t="str">
        <x:v>Food, shopping, reservations, budget, journal</x:v>
      </x:c>
      <x:c r="C7" s="576" t="str">
        <x:v>Food, Shopping, Reservations, Money, Maps, Journal</x:v>
      </x:c>
      <x:c r="D7" s="576" t="str">
        <x:v>Through Travelers</x:v>
      </x:c>
      <x:c r="E7" s="576" t="str">
        <x:v>Professional, neutral language</x:v>
      </x:c>
    </x:row>
    <x:row r="8">
      <x:c r="A8" s="576" t="str">
        <x:v>Nick</x:v>
      </x:c>
      <x:c r="B8" s="576" t="str">
        <x:v>Food, shopping, transit, first-time tips</x:v>
      </x:c>
      <x:c r="C8" s="576" t="str">
        <x:v>Today, Food, Shopping, Transit, Suica, Phrases</x:v>
      </x:c>
      <x:c r="D8" s="576" t="str">
        <x:v>Through Travelers</x:v>
      </x:c>
      <x:c r="E8" s="576" t="str">
        <x:v>Discovery-focused</x:v>
      </x:c>
    </x:row>
    <x:row r="9">
      <x:c r="A9" s="576" t="str">
        <x:v>Hilda</x:v>
      </x:c>
      <x:c r="B9" s="576" t="str">
        <x:v>Simple daily plan, hotel, bathroom, help</x:v>
      </x:c>
      <x:c r="C9" s="576" t="str">
        <x:v>Today, Hotel, Phrases, SOS, Lost, Bathroom, Peace of Mind</x:v>
      </x:c>
      <x:c r="D9" s="576" t="str">
        <x:v>Dedicated bottom tab</x:v>
      </x:c>
      <x:c r="E9" s="576" t="str">
        <x:v>Large and simple</x:v>
      </x:c>
    </x:row>
    <x:row r="10">
      <x:c r="A10" s="568"/>
      <x:c r="B10" s="568"/>
      <x:c r="C10" s="568"/>
      <x:c r="D10" s="568"/>
      <x:c r="E10" s="568"/>
    </x:row>
    <x:row r="11">
      <x:c r="A11" s="568"/>
      <x:c r="B11" s="568"/>
      <x:c r="C11" s="568"/>
      <x:c r="D11" s="568"/>
      <x:c r="E11" s="568"/>
    </x:row>
    <x:row r="12">
      <x:c r="A12" s="568"/>
      <x:c r="B12" s="568"/>
      <x:c r="C12" s="568"/>
      <x:c r="D12" s="568"/>
      <x:c r="E12" s="568"/>
    </x:row>
    <x:row r="13">
      <x:c r="A13" s="568"/>
      <x:c r="B13" s="568"/>
      <x:c r="C13" s="568"/>
      <x:c r="D13" s="568"/>
      <x:c r="E13" s="568"/>
    </x:row>
    <x:row r="14">
      <x:c r="A14" s="568"/>
      <x:c r="B14" s="568"/>
      <x:c r="C14" s="568"/>
      <x:c r="D14" s="568"/>
      <x:c r="E14" s="568"/>
    </x:row>
    <x:row r="15">
      <x:c r="A15" s="568"/>
      <x:c r="B15" s="568"/>
      <x:c r="C15" s="568"/>
      <x:c r="D15" s="568"/>
      <x:c r="E15" s="568"/>
    </x:row>
    <x:row r="16">
      <x:c r="A16" s="568"/>
      <x:c r="B16" s="568"/>
      <x:c r="C16" s="568"/>
      <x:c r="D16" s="568"/>
      <x:c r="E16" s="568"/>
    </x:row>
    <x:row r="17">
      <x:c r="A17" s="568"/>
      <x:c r="B17" s="568"/>
      <x:c r="C17" s="568"/>
      <x:c r="D17" s="568"/>
      <x:c r="E17" s="568"/>
    </x:row>
    <x:row r="18">
      <x:c r="A18" s="568"/>
      <x:c r="B18" s="568"/>
      <x:c r="C18" s="568"/>
      <x:c r="D18" s="568"/>
      <x:c r="E18" s="568"/>
    </x:row>
    <x:row r="19">
      <x:c r="A19" s="568"/>
      <x:c r="B19" s="568"/>
      <x:c r="C19" s="568"/>
      <x:c r="D19" s="568"/>
      <x:c r="E19" s="568"/>
    </x:row>
    <x:row r="20">
      <x:c r="A20" s="568"/>
      <x:c r="B20" s="568"/>
      <x:c r="C20" s="568"/>
      <x:c r="D20" s="568"/>
      <x:c r="E20" s="568"/>
    </x:row>
    <x:row r="21">
      <x:c r="A21" s="568"/>
      <x:c r="B21" s="568"/>
      <x:c r="C21" s="568"/>
      <x:c r="D21" s="568"/>
      <x:c r="E21" s="568"/>
    </x:row>
    <x:row r="22">
      <x:c r="A22" s="568"/>
      <x:c r="B22" s="568"/>
      <x:c r="C22" s="568"/>
      <x:c r="D22" s="568"/>
      <x:c r="E22" s="568"/>
    </x:row>
    <x:row r="23">
      <x:c r="A23" s="568"/>
      <x:c r="B23" s="568"/>
      <x:c r="C23" s="568"/>
      <x:c r="D23" s="568"/>
      <x:c r="E23" s="568"/>
    </x:row>
    <x:row r="24">
      <x:c r="A24" s="568"/>
      <x:c r="B24" s="568"/>
      <x:c r="C24" s="568"/>
      <x:c r="D24" s="568"/>
      <x:c r="E24" s="568"/>
    </x:row>
    <x:row r="25">
      <x:c r="A25" s="568"/>
      <x:c r="B25" s="568"/>
      <x:c r="C25" s="568"/>
      <x:c r="D25" s="568"/>
      <x:c r="E25" s="568"/>
    </x:row>
    <x:row r="26">
      <x:c r="A26" s="568"/>
      <x:c r="B26" s="568"/>
      <x:c r="C26" s="568"/>
      <x:c r="D26" s="568"/>
      <x:c r="E26" s="568"/>
    </x:row>
    <x:row r="27">
      <x:c r="A27" s="568"/>
      <x:c r="B27" s="568"/>
      <x:c r="C27" s="568"/>
      <x:c r="D27" s="568"/>
      <x:c r="E27" s="568"/>
    </x:row>
    <x:row r="28">
      <x:c r="A28" s="568"/>
      <x:c r="B28" s="568"/>
      <x:c r="C28" s="568"/>
      <x:c r="D28" s="568"/>
      <x:c r="E28" s="568"/>
    </x:row>
    <x:row r="29">
      <x:c r="A29" s="568"/>
      <x:c r="B29" s="568"/>
      <x:c r="C29" s="568"/>
      <x:c r="D29" s="568"/>
      <x:c r="E29" s="568"/>
    </x:row>
    <x:row r="30">
      <x:c r="A30" s="568"/>
      <x:c r="B30" s="568"/>
      <x:c r="C30" s="568"/>
      <x:c r="D30" s="568"/>
      <x:c r="E30" s="568"/>
    </x:row>
    <x:row r="31">
      <x:c r="A31" s="568"/>
      <x:c r="B31" s="568"/>
      <x:c r="C31" s="568"/>
      <x:c r="D31" s="568"/>
      <x:c r="E31" s="568"/>
    </x:row>
    <x:row r="32">
      <x:c r="A32" s="568"/>
      <x:c r="B32" s="568"/>
      <x:c r="C32" s="568"/>
      <x:c r="D32" s="568"/>
      <x:c r="E32" s="568"/>
    </x:row>
    <x:row r="33">
      <x:c r="A33" s="568"/>
      <x:c r="B33" s="568"/>
      <x:c r="C33" s="568"/>
      <x:c r="D33" s="568"/>
      <x:c r="E33" s="568"/>
    </x:row>
    <x:row r="34">
      <x:c r="A34" s="568"/>
      <x:c r="B34" s="568"/>
      <x:c r="C34" s="568"/>
      <x:c r="D34" s="568"/>
      <x:c r="E34" s="568"/>
    </x:row>
    <x:row r="35">
      <x:c r="A35" s="568"/>
      <x:c r="B35" s="568"/>
      <x:c r="C35" s="568"/>
      <x:c r="D35" s="568"/>
      <x:c r="E35" s="568"/>
    </x:row>
    <x:row r="36">
      <x:c r="A36" s="568"/>
      <x:c r="B36" s="568"/>
      <x:c r="C36" s="568"/>
      <x:c r="D36" s="568"/>
      <x:c r="E36" s="568"/>
    </x:row>
    <x:row r="37">
      <x:c r="A37" s="568"/>
      <x:c r="B37" s="568"/>
      <x:c r="C37" s="568"/>
      <x:c r="D37" s="568"/>
      <x:c r="E37" s="568"/>
    </x:row>
    <x:row r="38">
      <x:c r="A38" s="568"/>
      <x:c r="B38" s="568"/>
      <x:c r="C38" s="568"/>
      <x:c r="D38" s="568"/>
      <x:c r="E38" s="568"/>
    </x:row>
    <x:row r="39">
      <x:c r="A39" s="568"/>
      <x:c r="B39" s="568"/>
      <x:c r="C39" s="568"/>
      <x:c r="D39" s="568"/>
      <x:c r="E39" s="568"/>
    </x:row>
    <x:row r="40">
      <x:c r="A40" s="568"/>
      <x:c r="B40" s="568"/>
      <x:c r="C40" s="568"/>
      <x:c r="D40" s="568"/>
      <x:c r="E40" s="568"/>
    </x:row>
    <x:row r="41">
      <x:c r="A41" s="568"/>
      <x:c r="B41" s="568"/>
      <x:c r="C41" s="568"/>
      <x:c r="D41" s="568"/>
      <x:c r="E41" s="568"/>
    </x:row>
    <x:row r="42">
      <x:c r="A42" s="568"/>
      <x:c r="B42" s="568"/>
      <x:c r="C42" s="568"/>
      <x:c r="D42" s="568"/>
      <x:c r="E42" s="568"/>
    </x:row>
    <x:row r="43">
      <x:c r="A43" s="568"/>
      <x:c r="B43" s="568"/>
      <x:c r="C43" s="568"/>
      <x:c r="D43" s="568"/>
      <x:c r="E43" s="568"/>
    </x:row>
    <x:row r="44">
      <x:c r="A44" s="568"/>
      <x:c r="B44" s="568"/>
      <x:c r="C44" s="568"/>
      <x:c r="D44" s="568"/>
      <x:c r="E44" s="568"/>
    </x:row>
    <x:row r="45">
      <x:c r="A45" s="568"/>
      <x:c r="B45" s="568"/>
      <x:c r="C45" s="568"/>
      <x:c r="D45" s="568"/>
      <x:c r="E45" s="568"/>
    </x:row>
    <x:row r="46">
      <x:c r="A46" s="568"/>
      <x:c r="B46" s="568"/>
      <x:c r="C46" s="568"/>
      <x:c r="D46" s="568"/>
      <x:c r="E46" s="568"/>
    </x:row>
    <x:row r="47">
      <x:c r="A47" s="568"/>
      <x:c r="B47" s="568"/>
      <x:c r="C47" s="568"/>
      <x:c r="D47" s="568"/>
      <x:c r="E47" s="568"/>
    </x:row>
    <x:row r="48">
      <x:c r="A48" s="568"/>
      <x:c r="B48" s="568"/>
      <x:c r="C48" s="568"/>
      <x:c r="D48" s="568"/>
      <x:c r="E48" s="568"/>
    </x:row>
    <x:row r="49">
      <x:c r="A49" s="568"/>
      <x:c r="B49" s="568"/>
      <x:c r="C49" s="568"/>
      <x:c r="D49" s="568"/>
      <x:c r="E49" s="568"/>
    </x:row>
    <x:row r="50">
      <x:c r="A50" s="568"/>
      <x:c r="B50" s="568"/>
      <x:c r="C50" s="568"/>
      <x:c r="D50" s="568"/>
      <x:c r="E50" s="568"/>
    </x:row>
    <x:row r="51">
      <x:c r="A51" s="568"/>
      <x:c r="B51" s="568"/>
      <x:c r="C51" s="568"/>
      <x:c r="D51" s="568"/>
      <x:c r="E51" s="568"/>
    </x:row>
    <x:row r="52">
      <x:c r="A52" s="568"/>
      <x:c r="B52" s="568"/>
      <x:c r="C52" s="568"/>
      <x:c r="D52" s="568"/>
      <x:c r="E52" s="568"/>
    </x:row>
    <x:row r="53">
      <x:c r="A53" s="568"/>
      <x:c r="B53" s="568"/>
      <x:c r="C53" s="568"/>
      <x:c r="D53" s="568"/>
      <x:c r="E53" s="568"/>
    </x:row>
    <x:row r="54">
      <x:c r="A54" s="568"/>
      <x:c r="B54" s="568"/>
      <x:c r="C54" s="568"/>
      <x:c r="D54" s="568"/>
      <x:c r="E54" s="568"/>
    </x:row>
    <x:row r="55">
      <x:c r="A55" s="568"/>
      <x:c r="B55" s="568"/>
      <x:c r="C55" s="568"/>
      <x:c r="D55" s="568"/>
      <x:c r="E55" s="568"/>
    </x:row>
    <x:row r="56">
      <x:c r="A56" s="568"/>
      <x:c r="B56" s="568"/>
      <x:c r="C56" s="568"/>
      <x:c r="D56" s="568"/>
      <x:c r="E56" s="568"/>
    </x:row>
    <x:row r="57">
      <x:c r="A57" s="568"/>
      <x:c r="B57" s="568"/>
      <x:c r="C57" s="568"/>
      <x:c r="D57" s="568"/>
      <x:c r="E57" s="568"/>
    </x:row>
    <x:row r="58">
      <x:c r="A58" s="568"/>
      <x:c r="B58" s="568"/>
      <x:c r="C58" s="568"/>
      <x:c r="D58" s="568"/>
      <x:c r="E58" s="568"/>
    </x:row>
    <x:row r="59">
      <x:c r="A59" s="568"/>
      <x:c r="B59" s="568"/>
      <x:c r="C59" s="568"/>
      <x:c r="D59" s="568"/>
      <x:c r="E59" s="568"/>
    </x:row>
    <x:row r="60">
      <x:c r="A60" s="568"/>
      <x:c r="B60" s="568"/>
      <x:c r="C60" s="568"/>
      <x:c r="D60" s="568"/>
      <x:c r="E60" s="568"/>
    </x:row>
    <x:row r="61">
      <x:c r="A61" s="568"/>
      <x:c r="B61" s="568"/>
      <x:c r="C61" s="568"/>
      <x:c r="D61" s="568"/>
      <x:c r="E61" s="568"/>
    </x:row>
    <x:row r="62">
      <x:c r="A62" s="568"/>
      <x:c r="B62" s="568"/>
      <x:c r="C62" s="568"/>
      <x:c r="D62" s="568"/>
      <x:c r="E62" s="568"/>
    </x:row>
    <x:row r="63">
      <x:c r="A63" s="568"/>
      <x:c r="B63" s="568"/>
      <x:c r="C63" s="568"/>
      <x:c r="D63" s="568"/>
      <x:c r="E63" s="568"/>
    </x:row>
    <x:row r="64">
      <x:c r="A64" s="568"/>
      <x:c r="B64" s="568"/>
      <x:c r="C64" s="568"/>
      <x:c r="D64" s="568"/>
      <x:c r="E64" s="568"/>
    </x:row>
    <x:row r="65">
      <x:c r="A65" s="568"/>
      <x:c r="B65" s="568"/>
      <x:c r="C65" s="568"/>
      <x:c r="D65" s="568"/>
      <x:c r="E65" s="568"/>
    </x:row>
    <x:row r="66">
      <x:c r="A66" s="568"/>
      <x:c r="B66" s="568"/>
      <x:c r="C66" s="568"/>
      <x:c r="D66" s="568"/>
      <x:c r="E66" s="568"/>
    </x:row>
    <x:row r="67">
      <x:c r="A67" s="568"/>
      <x:c r="B67" s="568"/>
      <x:c r="C67" s="568"/>
      <x:c r="D67" s="568"/>
      <x:c r="E67" s="568"/>
    </x:row>
    <x:row r="68">
      <x:c r="A68" s="568"/>
      <x:c r="B68" s="568"/>
      <x:c r="C68" s="568"/>
      <x:c r="D68" s="568"/>
      <x:c r="E68" s="568"/>
    </x:row>
    <x:row r="69">
      <x:c r="A69" s="568"/>
      <x:c r="B69" s="568"/>
      <x:c r="C69" s="568"/>
      <x:c r="D69" s="568"/>
      <x:c r="E69" s="568"/>
    </x:row>
    <x:row r="70">
      <x:c r="A70" s="568"/>
      <x:c r="B70" s="568"/>
      <x:c r="C70" s="568"/>
      <x:c r="D70" s="568"/>
      <x:c r="E70" s="568"/>
    </x:row>
    <x:row r="71">
      <x:c r="A71" s="568"/>
      <x:c r="B71" s="568"/>
      <x:c r="C71" s="568"/>
      <x:c r="D71" s="568"/>
      <x:c r="E71" s="568"/>
    </x:row>
    <x:row r="72">
      <x:c r="A72" s="568"/>
      <x:c r="B72" s="568"/>
      <x:c r="C72" s="568"/>
      <x:c r="D72" s="568"/>
      <x:c r="E72" s="568"/>
    </x:row>
    <x:row r="73">
      <x:c r="A73" s="568"/>
      <x:c r="B73" s="568"/>
      <x:c r="C73" s="568"/>
      <x:c r="D73" s="568"/>
      <x:c r="E73" s="568"/>
    </x:row>
    <x:row r="74">
      <x:c r="A74" s="568"/>
      <x:c r="B74" s="568"/>
      <x:c r="C74" s="568"/>
      <x:c r="D74" s="568"/>
      <x:c r="E74" s="568"/>
    </x:row>
    <x:row r="75">
      <x:c r="A75" s="568"/>
      <x:c r="B75" s="568"/>
      <x:c r="C75" s="568"/>
      <x:c r="D75" s="568"/>
      <x:c r="E75" s="568"/>
    </x:row>
    <x:row r="76">
      <x:c r="A76" s="568"/>
      <x:c r="B76" s="568"/>
      <x:c r="C76" s="568"/>
      <x:c r="D76" s="568"/>
      <x:c r="E76" s="568"/>
    </x:row>
    <x:row r="77">
      <x:c r="A77" s="568"/>
      <x:c r="B77" s="568"/>
      <x:c r="C77" s="568"/>
      <x:c r="D77" s="568"/>
      <x:c r="E77" s="568"/>
    </x:row>
    <x:row r="78">
      <x:c r="A78" s="568"/>
      <x:c r="B78" s="568"/>
      <x:c r="C78" s="568"/>
      <x:c r="D78" s="568"/>
      <x:c r="E78" s="568"/>
    </x:row>
    <x:row r="79">
      <x:c r="A79" s="568"/>
      <x:c r="B79" s="568"/>
      <x:c r="C79" s="568"/>
      <x:c r="D79" s="568"/>
      <x:c r="E79" s="568"/>
    </x:row>
    <x:row r="80">
      <x:c r="A80" s="568"/>
      <x:c r="B80" s="568"/>
      <x:c r="C80" s="568"/>
      <x:c r="D80" s="568"/>
      <x:c r="E80" s="568"/>
    </x:row>
    <x:row r="81">
      <x:c r="A81" s="568"/>
      <x:c r="B81" s="568"/>
      <x:c r="C81" s="568"/>
      <x:c r="D81" s="568"/>
      <x:c r="E81" s="568"/>
    </x:row>
    <x:row r="82">
      <x:c r="A82" s="568"/>
      <x:c r="B82" s="568"/>
      <x:c r="C82" s="568"/>
      <x:c r="D82" s="568"/>
      <x:c r="E82" s="568"/>
    </x:row>
    <x:row r="83">
      <x:c r="A83" s="568"/>
      <x:c r="B83" s="568"/>
      <x:c r="C83" s="568"/>
      <x:c r="D83" s="568"/>
      <x:c r="E83" s="568"/>
    </x:row>
    <x:row r="84">
      <x:c r="A84" s="568"/>
      <x:c r="B84" s="568"/>
      <x:c r="C84" s="568"/>
      <x:c r="D84" s="568"/>
      <x:c r="E84" s="568"/>
    </x:row>
    <x:row r="85">
      <x:c r="A85" s="568"/>
      <x:c r="B85" s="568"/>
      <x:c r="C85" s="568"/>
      <x:c r="D85" s="568"/>
      <x:c r="E85" s="568"/>
    </x:row>
    <x:row r="86">
      <x:c r="A86" s="568"/>
      <x:c r="B86" s="568"/>
      <x:c r="C86" s="568"/>
      <x:c r="D86" s="568"/>
      <x:c r="E86" s="568"/>
    </x:row>
    <x:row r="87">
      <x:c r="A87" s="568"/>
      <x:c r="B87" s="568"/>
      <x:c r="C87" s="568"/>
      <x:c r="D87" s="568"/>
      <x:c r="E87" s="568"/>
    </x:row>
    <x:row r="88">
      <x:c r="A88" s="568"/>
      <x:c r="B88" s="568"/>
      <x:c r="C88" s="568"/>
      <x:c r="D88" s="568"/>
      <x:c r="E88" s="568"/>
    </x:row>
    <x:row r="89">
      <x:c r="A89" s="568"/>
      <x:c r="B89" s="568"/>
      <x:c r="C89" s="568"/>
      <x:c r="D89" s="568"/>
      <x:c r="E89" s="568"/>
    </x:row>
    <x:row r="90">
      <x:c r="A90" s="568"/>
      <x:c r="B90" s="568"/>
      <x:c r="C90" s="568"/>
      <x:c r="D90" s="568"/>
      <x:c r="E90" s="568"/>
    </x:row>
    <x:row r="91">
      <x:c r="A91" s="568"/>
      <x:c r="B91" s="568"/>
      <x:c r="C91" s="568"/>
      <x:c r="D91" s="568"/>
      <x:c r="E91" s="568"/>
    </x:row>
    <x:row r="92">
      <x:c r="A92" s="568"/>
      <x:c r="B92" s="568"/>
      <x:c r="C92" s="568"/>
      <x:c r="D92" s="568"/>
      <x:c r="E92" s="568"/>
    </x:row>
    <x:row r="93">
      <x:c r="A93" s="568"/>
      <x:c r="B93" s="568"/>
      <x:c r="C93" s="568"/>
      <x:c r="D93" s="568"/>
      <x:c r="E93" s="568"/>
    </x:row>
    <x:row r="94">
      <x:c r="A94" s="568"/>
      <x:c r="B94" s="568"/>
      <x:c r="C94" s="568"/>
      <x:c r="D94" s="568"/>
      <x:c r="E94" s="568"/>
    </x:row>
    <x:row r="95">
      <x:c r="A95" s="568"/>
      <x:c r="B95" s="568"/>
      <x:c r="C95" s="568"/>
      <x:c r="D95" s="568"/>
      <x:c r="E95" s="568"/>
    </x:row>
    <x:row r="96">
      <x:c r="A96" s="568"/>
      <x:c r="B96" s="568"/>
      <x:c r="C96" s="568"/>
      <x:c r="D96" s="568"/>
      <x:c r="E96" s="568"/>
    </x:row>
    <x:row r="97">
      <x:c r="A97" s="568"/>
      <x:c r="B97" s="568"/>
      <x:c r="C97" s="568"/>
      <x:c r="D97" s="568"/>
      <x:c r="E97" s="568"/>
    </x:row>
    <x:row r="98">
      <x:c r="A98" s="568"/>
      <x:c r="B98" s="568"/>
      <x:c r="C98" s="568"/>
      <x:c r="D98" s="568"/>
      <x:c r="E98" s="568"/>
    </x:row>
    <x:row r="99">
      <x:c r="A99" s="568"/>
      <x:c r="B99" s="568"/>
      <x:c r="C99" s="568"/>
      <x:c r="D99" s="568"/>
      <x:c r="E99" s="568"/>
    </x:row>
    <x:row r="100">
      <x:c r="A100" s="568"/>
      <x:c r="B100" s="568"/>
      <x:c r="C100" s="568"/>
      <x:c r="D100" s="568"/>
      <x:c r="E100" s="568"/>
    </x:row>
    <x:row r="101">
      <x:c r="A101" s="568"/>
      <x:c r="B101" s="568"/>
      <x:c r="C101" s="568"/>
      <x:c r="D101" s="568"/>
      <x:c r="E101" s="568"/>
    </x:row>
    <x:row r="102">
      <x:c r="A102" s="568"/>
      <x:c r="B102" s="568"/>
      <x:c r="C102" s="568"/>
      <x:c r="D102" s="568"/>
      <x:c r="E102" s="568"/>
    </x:row>
    <x:row r="103">
      <x:c r="A103" s="568"/>
      <x:c r="B103" s="568"/>
      <x:c r="C103" s="568"/>
      <x:c r="D103" s="568"/>
      <x:c r="E103" s="568"/>
    </x:row>
    <x:row r="104">
      <x:c r="A104" s="568"/>
      <x:c r="B104" s="568"/>
      <x:c r="C104" s="568"/>
      <x:c r="D104" s="568"/>
      <x:c r="E104" s="568"/>
    </x:row>
    <x:row r="105">
      <x:c r="A105" s="568"/>
      <x:c r="B105" s="568"/>
      <x:c r="C105" s="568"/>
      <x:c r="D105" s="568"/>
      <x:c r="E105" s="568"/>
    </x:row>
    <x:row r="106">
      <x:c r="A106" s="568"/>
      <x:c r="B106" s="568"/>
      <x:c r="C106" s="568"/>
      <x:c r="D106" s="568"/>
      <x:c r="E106" s="568"/>
    </x:row>
    <x:row r="107">
      <x:c r="A107" s="568"/>
      <x:c r="B107" s="568"/>
      <x:c r="C107" s="568"/>
      <x:c r="D107" s="568"/>
      <x:c r="E107" s="568"/>
    </x:row>
    <x:row r="108">
      <x:c r="A108" s="568"/>
      <x:c r="B108" s="568"/>
      <x:c r="C108" s="568"/>
      <x:c r="D108" s="568"/>
      <x:c r="E108" s="568"/>
    </x:row>
    <x:row r="109">
      <x:c r="A109" s="568"/>
      <x:c r="B109" s="568"/>
      <x:c r="C109" s="568"/>
      <x:c r="D109" s="568"/>
      <x:c r="E109" s="568"/>
    </x:row>
    <x:row r="110">
      <x:c r="A110" s="568"/>
      <x:c r="B110" s="568"/>
      <x:c r="C110" s="568"/>
      <x:c r="D110" s="568"/>
      <x:c r="E110" s="568"/>
    </x:row>
    <x:row r="111">
      <x:c r="A111" s="568"/>
      <x:c r="B111" s="568"/>
      <x:c r="C111" s="568"/>
      <x:c r="D111" s="568"/>
      <x:c r="E111" s="568"/>
    </x:row>
    <x:row r="112">
      <x:c r="A112" s="568"/>
      <x:c r="B112" s="568"/>
      <x:c r="C112" s="568"/>
      <x:c r="D112" s="568"/>
      <x:c r="E112" s="568"/>
    </x:row>
    <x:row r="113">
      <x:c r="A113" s="568"/>
      <x:c r="B113" s="568"/>
      <x:c r="C113" s="568"/>
      <x:c r="D113" s="568"/>
      <x:c r="E113" s="568"/>
    </x:row>
    <x:row r="114">
      <x:c r="A114" s="568"/>
      <x:c r="B114" s="568"/>
      <x:c r="C114" s="568"/>
      <x:c r="D114" s="568"/>
      <x:c r="E114" s="568"/>
    </x:row>
    <x:row r="115">
      <x:c r="A115" s="568"/>
      <x:c r="B115" s="568"/>
      <x:c r="C115" s="568"/>
      <x:c r="D115" s="568"/>
      <x:c r="E115" s="568"/>
    </x:row>
    <x:row r="116">
      <x:c r="A116" s="568"/>
      <x:c r="B116" s="568"/>
      <x:c r="C116" s="568"/>
      <x:c r="D116" s="568"/>
      <x:c r="E116" s="568"/>
    </x:row>
    <x:row r="117">
      <x:c r="A117" s="568"/>
      <x:c r="B117" s="568"/>
      <x:c r="C117" s="568"/>
      <x:c r="D117" s="568"/>
      <x:c r="E117" s="568"/>
    </x:row>
    <x:row r="118">
      <x:c r="A118" s="568"/>
      <x:c r="B118" s="568"/>
      <x:c r="C118" s="568"/>
      <x:c r="D118" s="568"/>
      <x:c r="E118" s="568"/>
    </x:row>
    <x:row r="119">
      <x:c r="A119" s="568"/>
      <x:c r="B119" s="568"/>
      <x:c r="C119" s="568"/>
      <x:c r="D119" s="568"/>
      <x:c r="E119" s="568"/>
    </x:row>
    <x:row r="120">
      <x:c r="A120" s="568"/>
      <x:c r="B120" s="568"/>
      <x:c r="C120" s="568"/>
      <x:c r="D120" s="568"/>
      <x:c r="E120" s="568"/>
    </x:row>
    <x:row r="121">
      <x:c r="A121" s="568"/>
      <x:c r="B121" s="568"/>
      <x:c r="C121" s="568"/>
      <x:c r="D121" s="568"/>
      <x:c r="E121" s="568"/>
    </x:row>
    <x:row r="122">
      <x:c r="A122" s="568"/>
      <x:c r="B122" s="568"/>
      <x:c r="C122" s="568"/>
      <x:c r="D122" s="568"/>
      <x:c r="E122" s="568"/>
    </x:row>
    <x:row r="123">
      <x:c r="A123" s="568"/>
      <x:c r="B123" s="568"/>
      <x:c r="C123" s="568"/>
      <x:c r="D123" s="568"/>
      <x:c r="E123" s="568"/>
    </x:row>
    <x:row r="124">
      <x:c r="A124" s="568"/>
      <x:c r="B124" s="568"/>
      <x:c r="C124" s="568"/>
      <x:c r="D124" s="568"/>
      <x:c r="E124" s="568"/>
    </x:row>
    <x:row r="125">
      <x:c r="A125" s="568"/>
      <x:c r="B125" s="568"/>
      <x:c r="C125" s="568"/>
      <x:c r="D125" s="568"/>
      <x:c r="E125" s="568"/>
    </x:row>
    <x:row r="126">
      <x:c r="A126" s="568"/>
      <x:c r="B126" s="568"/>
      <x:c r="C126" s="568"/>
      <x:c r="D126" s="568"/>
      <x:c r="E126" s="568"/>
    </x:row>
    <x:row r="127">
      <x:c r="A127" s="568"/>
      <x:c r="B127" s="568"/>
      <x:c r="C127" s="568"/>
      <x:c r="D127" s="568"/>
      <x:c r="E127" s="568"/>
    </x:row>
    <x:row r="128">
      <x:c r="A128" s="568"/>
      <x:c r="B128" s="568"/>
      <x:c r="C128" s="568"/>
      <x:c r="D128" s="568"/>
      <x:c r="E128" s="568"/>
    </x:row>
    <x:row r="129">
      <x:c r="A129" s="568"/>
      <x:c r="B129" s="568"/>
      <x:c r="C129" s="568"/>
      <x:c r="D129" s="568"/>
      <x:c r="E129" s="568"/>
    </x:row>
    <x:row r="130">
      <x:c r="A130" s="568"/>
      <x:c r="B130" s="568"/>
      <x:c r="C130" s="568"/>
      <x:c r="D130" s="568"/>
      <x:c r="E130" s="568"/>
    </x:row>
    <x:row r="131">
      <x:c r="A131" s="568"/>
      <x:c r="B131" s="568"/>
      <x:c r="C131" s="568"/>
      <x:c r="D131" s="568"/>
      <x:c r="E131" s="568"/>
    </x:row>
    <x:row r="132">
      <x:c r="A132" s="568"/>
      <x:c r="B132" s="568"/>
      <x:c r="C132" s="568"/>
      <x:c r="D132" s="568"/>
      <x:c r="E132" s="568"/>
    </x:row>
    <x:row r="133">
      <x:c r="A133" s="568"/>
      <x:c r="B133" s="568"/>
      <x:c r="C133" s="568"/>
      <x:c r="D133" s="568"/>
      <x:c r="E133" s="568"/>
    </x:row>
    <x:row r="134">
      <x:c r="A134" s="568"/>
      <x:c r="B134" s="568"/>
      <x:c r="C134" s="568"/>
      <x:c r="D134" s="568"/>
      <x:c r="E134" s="568"/>
    </x:row>
    <x:row r="135">
      <x:c r="A135" s="568"/>
      <x:c r="B135" s="568"/>
      <x:c r="C135" s="568"/>
      <x:c r="D135" s="568"/>
      <x:c r="E135" s="568"/>
    </x:row>
    <x:row r="136">
      <x:c r="A136" s="568"/>
      <x:c r="B136" s="568"/>
      <x:c r="C136" s="568"/>
      <x:c r="D136" s="568"/>
      <x:c r="E136" s="568"/>
    </x:row>
    <x:row r="137">
      <x:c r="A137" s="568"/>
      <x:c r="B137" s="568"/>
      <x:c r="C137" s="568"/>
      <x:c r="D137" s="568"/>
      <x:c r="E137" s="568"/>
    </x:row>
    <x:row r="138">
      <x:c r="A138" s="568"/>
      <x:c r="B138" s="568"/>
      <x:c r="C138" s="568"/>
      <x:c r="D138" s="568"/>
      <x:c r="E138" s="568"/>
    </x:row>
    <x:row r="139">
      <x:c r="A139" s="568"/>
      <x:c r="B139" s="568"/>
      <x:c r="C139" s="568"/>
      <x:c r="D139" s="568"/>
      <x:c r="E139" s="568"/>
    </x:row>
    <x:row r="140">
      <x:c r="A140" s="568"/>
      <x:c r="B140" s="568"/>
      <x:c r="C140" s="568"/>
      <x:c r="D140" s="568"/>
      <x:c r="E140" s="568"/>
    </x:row>
    <x:row r="141">
      <x:c r="A141" s="568"/>
      <x:c r="B141" s="568"/>
      <x:c r="C141" s="568"/>
      <x:c r="D141" s="568"/>
      <x:c r="E141" s="568"/>
    </x:row>
    <x:row r="142">
      <x:c r="A142" s="568"/>
      <x:c r="B142" s="568"/>
      <x:c r="C142" s="568"/>
      <x:c r="D142" s="568"/>
      <x:c r="E142" s="568"/>
    </x:row>
    <x:row r="143">
      <x:c r="A143" s="568"/>
      <x:c r="B143" s="568"/>
      <x:c r="C143" s="568"/>
      <x:c r="D143" s="568"/>
      <x:c r="E143" s="568"/>
    </x:row>
    <x:row r="144">
      <x:c r="A144" s="568"/>
      <x:c r="B144" s="568"/>
      <x:c r="C144" s="568"/>
      <x:c r="D144" s="568"/>
      <x:c r="E144" s="568"/>
    </x:row>
    <x:row r="145">
      <x:c r="A145" s="568"/>
      <x:c r="B145" s="568"/>
      <x:c r="C145" s="568"/>
      <x:c r="D145" s="568"/>
      <x:c r="E145" s="568"/>
    </x:row>
    <x:row r="146">
      <x:c r="A146" s="568"/>
      <x:c r="B146" s="568"/>
      <x:c r="C146" s="568"/>
      <x:c r="D146" s="568"/>
      <x:c r="E146" s="568"/>
    </x:row>
    <x:row r="147">
      <x:c r="A147" s="568"/>
      <x:c r="B147" s="568"/>
      <x:c r="C147" s="568"/>
      <x:c r="D147" s="568"/>
      <x:c r="E147" s="568"/>
    </x:row>
    <x:row r="148">
      <x:c r="A148" s="568"/>
      <x:c r="B148" s="568"/>
      <x:c r="C148" s="568"/>
      <x:c r="D148" s="568"/>
      <x:c r="E148" s="568"/>
    </x:row>
    <x:row r="149">
      <x:c r="A149" s="568"/>
      <x:c r="B149" s="568"/>
      <x:c r="C149" s="568"/>
      <x:c r="D149" s="568"/>
      <x:c r="E149" s="568"/>
    </x:row>
    <x:row r="150">
      <x:c r="A150" s="568"/>
      <x:c r="B150" s="568"/>
      <x:c r="C150" s="568"/>
      <x:c r="D150" s="568"/>
      <x:c r="E150" s="568"/>
    </x:row>
    <x:row r="151">
      <x:c r="A151" s="568"/>
      <x:c r="B151" s="568"/>
      <x:c r="C151" s="568"/>
      <x:c r="D151" s="568"/>
      <x:c r="E151" s="568"/>
    </x:row>
    <x:row r="152">
      <x:c r="A152" s="568"/>
      <x:c r="B152" s="568"/>
      <x:c r="C152" s="568"/>
      <x:c r="D152" s="568"/>
      <x:c r="E152" s="568"/>
    </x:row>
    <x:row r="153">
      <x:c r="A153" s="568"/>
      <x:c r="B153" s="568"/>
      <x:c r="C153" s="568"/>
      <x:c r="D153" s="568"/>
      <x:c r="E153" s="568"/>
    </x:row>
    <x:row r="154">
      <x:c r="A154" s="568"/>
      <x:c r="B154" s="568"/>
      <x:c r="C154" s="568"/>
      <x:c r="D154" s="568"/>
      <x:c r="E154" s="568"/>
    </x:row>
    <x:row r="155">
      <x:c r="A155" s="568"/>
      <x:c r="B155" s="568"/>
      <x:c r="C155" s="568"/>
      <x:c r="D155" s="568"/>
      <x:c r="E155" s="568"/>
    </x:row>
    <x:row r="156">
      <x:c r="A156" s="568"/>
      <x:c r="B156" s="568"/>
      <x:c r="C156" s="568"/>
      <x:c r="D156" s="568"/>
      <x:c r="E156" s="568"/>
    </x:row>
    <x:row r="157">
      <x:c r="A157" s="568"/>
      <x:c r="B157" s="568"/>
      <x:c r="C157" s="568"/>
      <x:c r="D157" s="568"/>
      <x:c r="E157" s="568"/>
    </x:row>
    <x:row r="158">
      <x:c r="A158" s="568"/>
      <x:c r="B158" s="568"/>
      <x:c r="C158" s="568"/>
      <x:c r="D158" s="568"/>
      <x:c r="E158" s="568"/>
    </x:row>
    <x:row r="159">
      <x:c r="A159" s="568"/>
      <x:c r="B159" s="568"/>
      <x:c r="C159" s="568"/>
      <x:c r="D159" s="568"/>
      <x:c r="E159" s="568"/>
    </x:row>
    <x:row r="160">
      <x:c r="A160" s="568"/>
      <x:c r="B160" s="568"/>
      <x:c r="C160" s="568"/>
      <x:c r="D160" s="568"/>
      <x:c r="E160" s="568"/>
    </x:row>
    <x:row r="161">
      <x:c r="A161" s="568"/>
      <x:c r="B161" s="568"/>
      <x:c r="C161" s="568"/>
      <x:c r="D161" s="568"/>
      <x:c r="E161" s="568"/>
    </x:row>
    <x:row r="162">
      <x:c r="A162" s="568"/>
      <x:c r="B162" s="568"/>
      <x:c r="C162" s="568"/>
      <x:c r="D162" s="568"/>
      <x:c r="E162" s="568"/>
    </x:row>
    <x:row r="163">
      <x:c r="A163" s="568"/>
      <x:c r="B163" s="568"/>
      <x:c r="C163" s="568"/>
      <x:c r="D163" s="568"/>
      <x:c r="E163" s="568"/>
    </x:row>
    <x:row r="164">
      <x:c r="A164" s="568"/>
      <x:c r="B164" s="568"/>
      <x:c r="C164" s="568"/>
      <x:c r="D164" s="568"/>
      <x:c r="E164" s="568"/>
    </x:row>
    <x:row r="165">
      <x:c r="A165" s="568"/>
      <x:c r="B165" s="568"/>
      <x:c r="C165" s="568"/>
      <x:c r="D165" s="568"/>
      <x:c r="E165" s="568"/>
    </x:row>
    <x:row r="166">
      <x:c r="A166" s="568"/>
      <x:c r="B166" s="568"/>
      <x:c r="C166" s="568"/>
      <x:c r="D166" s="568"/>
      <x:c r="E166" s="568"/>
    </x:row>
    <x:row r="167">
      <x:c r="A167" s="568"/>
      <x:c r="B167" s="568"/>
      <x:c r="C167" s="568"/>
      <x:c r="D167" s="568"/>
      <x:c r="E167" s="568"/>
    </x:row>
    <x:row r="168">
      <x:c r="A168" s="568"/>
      <x:c r="B168" s="568"/>
      <x:c r="C168" s="568"/>
      <x:c r="D168" s="568"/>
      <x:c r="E168" s="568"/>
    </x:row>
    <x:row r="169">
      <x:c r="A169" s="568"/>
      <x:c r="B169" s="568"/>
      <x:c r="C169" s="568"/>
      <x:c r="D169" s="568"/>
      <x:c r="E169" s="568"/>
    </x:row>
    <x:row r="170">
      <x:c r="A170" s="568"/>
      <x:c r="B170" s="568"/>
      <x:c r="C170" s="568"/>
      <x:c r="D170" s="568"/>
      <x:c r="E170" s="568"/>
    </x:row>
    <x:row r="171">
      <x:c r="A171" s="568"/>
      <x:c r="B171" s="568"/>
      <x:c r="C171" s="568"/>
      <x:c r="D171" s="568"/>
      <x:c r="E171" s="568"/>
    </x:row>
    <x:row r="172">
      <x:c r="A172" s="568"/>
      <x:c r="B172" s="568"/>
      <x:c r="C172" s="568"/>
      <x:c r="D172" s="568"/>
      <x:c r="E172" s="568"/>
    </x:row>
    <x:row r="173">
      <x:c r="A173" s="568"/>
      <x:c r="B173" s="568"/>
      <x:c r="C173" s="568"/>
      <x:c r="D173" s="568"/>
      <x:c r="E173" s="568"/>
    </x:row>
    <x:row r="174">
      <x:c r="A174" s="568"/>
      <x:c r="B174" s="568"/>
      <x:c r="C174" s="568"/>
      <x:c r="D174" s="568"/>
      <x:c r="E174" s="568"/>
    </x:row>
    <x:row r="175">
      <x:c r="A175" s="568"/>
      <x:c r="B175" s="568"/>
      <x:c r="C175" s="568"/>
      <x:c r="D175" s="568"/>
      <x:c r="E175" s="568"/>
    </x:row>
    <x:row r="176">
      <x:c r="A176" s="568"/>
      <x:c r="B176" s="568"/>
      <x:c r="C176" s="568"/>
      <x:c r="D176" s="568"/>
      <x:c r="E176" s="568"/>
    </x:row>
    <x:row r="177">
      <x:c r="A177" s="568"/>
      <x:c r="B177" s="568"/>
      <x:c r="C177" s="568"/>
      <x:c r="D177" s="568"/>
      <x:c r="E177" s="568"/>
    </x:row>
    <x:row r="178">
      <x:c r="A178" s="568"/>
      <x:c r="B178" s="568"/>
      <x:c r="C178" s="568"/>
      <x:c r="D178" s="568"/>
      <x:c r="E178" s="568"/>
    </x:row>
    <x:row r="179">
      <x:c r="A179" s="568"/>
      <x:c r="B179" s="568"/>
      <x:c r="C179" s="568"/>
      <x:c r="D179" s="568"/>
      <x:c r="E179" s="568"/>
    </x:row>
    <x:row r="180">
      <x:c r="A180" s="568"/>
      <x:c r="B180" s="568"/>
      <x:c r="C180" s="568"/>
      <x:c r="D180" s="568"/>
      <x:c r="E180" s="568"/>
    </x:row>
    <x:row r="181">
      <x:c r="A181" s="568"/>
      <x:c r="B181" s="568"/>
      <x:c r="C181" s="568"/>
      <x:c r="D181" s="568"/>
      <x:c r="E181" s="568"/>
    </x:row>
    <x:row r="182">
      <x:c r="A182" s="568"/>
      <x:c r="B182" s="568"/>
      <x:c r="C182" s="568"/>
      <x:c r="D182" s="568"/>
      <x:c r="E182" s="568"/>
    </x:row>
    <x:row r="183">
      <x:c r="A183" s="568"/>
      <x:c r="B183" s="568"/>
      <x:c r="C183" s="568"/>
      <x:c r="D183" s="568"/>
      <x:c r="E183" s="568"/>
    </x:row>
    <x:row r="184">
      <x:c r="A184" s="568"/>
      <x:c r="B184" s="568"/>
      <x:c r="C184" s="568"/>
      <x:c r="D184" s="568"/>
      <x:c r="E184" s="568"/>
    </x:row>
    <x:row r="185">
      <x:c r="A185" s="568"/>
      <x:c r="B185" s="568"/>
      <x:c r="C185" s="568"/>
      <x:c r="D185" s="568"/>
      <x:c r="E185" s="568"/>
    </x:row>
    <x:row r="186">
      <x:c r="A186" s="568"/>
      <x:c r="B186" s="568"/>
      <x:c r="C186" s="568"/>
      <x:c r="D186" s="568"/>
      <x:c r="E186" s="568"/>
    </x:row>
    <x:row r="187">
      <x:c r="A187" s="568"/>
      <x:c r="B187" s="568"/>
      <x:c r="C187" s="568"/>
      <x:c r="D187" s="568"/>
      <x:c r="E187" s="568"/>
    </x:row>
    <x:row r="188">
      <x:c r="A188" s="568"/>
      <x:c r="B188" s="568"/>
      <x:c r="C188" s="568"/>
      <x:c r="D188" s="568"/>
      <x:c r="E188" s="568"/>
    </x:row>
    <x:row r="189">
      <x:c r="A189" s="568"/>
      <x:c r="B189" s="568"/>
      <x:c r="C189" s="568"/>
      <x:c r="D189" s="568"/>
      <x:c r="E189" s="568"/>
    </x:row>
    <x:row r="190">
      <x:c r="A190" s="568"/>
      <x:c r="B190" s="568"/>
      <x:c r="C190" s="568"/>
      <x:c r="D190" s="568"/>
      <x:c r="E190" s="568"/>
    </x:row>
    <x:row r="191">
      <x:c r="A191" s="568"/>
      <x:c r="B191" s="568"/>
      <x:c r="C191" s="568"/>
      <x:c r="D191" s="568"/>
      <x:c r="E191" s="568"/>
    </x:row>
    <x:row r="192">
      <x:c r="A192" s="568"/>
      <x:c r="B192" s="568"/>
      <x:c r="C192" s="568"/>
      <x:c r="D192" s="568"/>
      <x:c r="E192" s="568"/>
    </x:row>
    <x:row r="193">
      <x:c r="A193" s="568"/>
      <x:c r="B193" s="568"/>
      <x:c r="C193" s="568"/>
      <x:c r="D193" s="568"/>
      <x:c r="E193" s="568"/>
    </x:row>
    <x:row r="194">
      <x:c r="A194" s="568"/>
      <x:c r="B194" s="568"/>
      <x:c r="C194" s="568"/>
      <x:c r="D194" s="568"/>
      <x:c r="E194" s="568"/>
    </x:row>
    <x:row r="195">
      <x:c r="A195" s="568"/>
      <x:c r="B195" s="568"/>
      <x:c r="C195" s="568"/>
      <x:c r="D195" s="568"/>
      <x:c r="E195" s="568"/>
    </x:row>
    <x:row r="196">
      <x:c r="A196" s="568"/>
      <x:c r="B196" s="568"/>
      <x:c r="C196" s="568"/>
      <x:c r="D196" s="568"/>
      <x:c r="E196" s="568"/>
    </x:row>
    <x:row r="197">
      <x:c r="A197" s="568"/>
      <x:c r="B197" s="568"/>
      <x:c r="C197" s="568"/>
      <x:c r="D197" s="568"/>
      <x:c r="E197" s="568"/>
    </x:row>
    <x:row r="198">
      <x:c r="A198" s="568"/>
      <x:c r="B198" s="568"/>
      <x:c r="C198" s="568"/>
      <x:c r="D198" s="568"/>
      <x:c r="E198" s="568"/>
    </x:row>
    <x:row r="199">
      <x:c r="A199" s="568"/>
      <x:c r="B199" s="568"/>
      <x:c r="C199" s="568"/>
      <x:c r="D199" s="568"/>
      <x:c r="E199" s="568"/>
    </x:row>
    <x:row r="200">
      <x:c r="A200" s="568"/>
      <x:c r="B200" s="568"/>
      <x:c r="C200" s="568"/>
      <x:c r="D200" s="568"/>
      <x:c r="E200" s="568"/>
    </x:row>
    <x:row r="201">
      <x:c r="A201" s="568"/>
      <x:c r="B201" s="568"/>
      <x:c r="C201" s="568"/>
      <x:c r="D201" s="568"/>
      <x:c r="E201" s="568"/>
    </x:row>
    <x:row r="202">
      <x:c r="A202" s="568"/>
      <x:c r="B202" s="568"/>
      <x:c r="C202" s="568"/>
      <x:c r="D202" s="568"/>
      <x:c r="E202" s="568"/>
    </x:row>
    <x:row r="203">
      <x:c r="A203" s="568"/>
      <x:c r="B203" s="568"/>
      <x:c r="C203" s="568"/>
      <x:c r="D203" s="568"/>
      <x:c r="E203" s="568"/>
    </x:row>
    <x:row r="204">
      <x:c r="A204" s="568"/>
      <x:c r="B204" s="568"/>
      <x:c r="C204" s="568"/>
      <x:c r="D204" s="568"/>
      <x:c r="E204" s="568"/>
    </x:row>
    <x:row r="205">
      <x:c r="A205" s="568"/>
      <x:c r="B205" s="568"/>
      <x:c r="C205" s="568"/>
      <x:c r="D205" s="568"/>
      <x:c r="E205" s="568"/>
    </x:row>
    <x:row r="206">
      <x:c r="A206" s="568"/>
      <x:c r="B206" s="568"/>
      <x:c r="C206" s="568"/>
      <x:c r="D206" s="568"/>
      <x:c r="E206" s="568"/>
    </x:row>
    <x:row r="207">
      <x:c r="A207" s="568"/>
      <x:c r="B207" s="568"/>
      <x:c r="C207" s="568"/>
      <x:c r="D207" s="568"/>
      <x:c r="E207" s="568"/>
    </x:row>
    <x:row r="208">
      <x:c r="A208" s="568"/>
      <x:c r="B208" s="568"/>
      <x:c r="C208" s="568"/>
      <x:c r="D208" s="568"/>
      <x:c r="E208" s="568"/>
    </x:row>
    <x:row r="209">
      <x:c r="A209" s="568"/>
      <x:c r="B209" s="568"/>
      <x:c r="C209" s="568"/>
      <x:c r="D209" s="568"/>
      <x:c r="E209" s="568"/>
    </x:row>
    <x:row r="210">
      <x:c r="A210" s="568"/>
      <x:c r="B210" s="568"/>
      <x:c r="C210" s="568"/>
      <x:c r="D210" s="568"/>
      <x:c r="E210" s="568"/>
    </x:row>
    <x:row r="211">
      <x:c r="A211" s="568"/>
      <x:c r="B211" s="568"/>
      <x:c r="C211" s="568"/>
      <x:c r="D211" s="568"/>
      <x:c r="E211" s="568"/>
    </x:row>
    <x:row r="212">
      <x:c r="A212" s="568"/>
      <x:c r="B212" s="568"/>
      <x:c r="C212" s="568"/>
      <x:c r="D212" s="568"/>
      <x:c r="E212" s="568"/>
    </x:row>
    <x:row r="213">
      <x:c r="A213" s="568"/>
      <x:c r="B213" s="568"/>
      <x:c r="C213" s="568"/>
      <x:c r="D213" s="568"/>
      <x:c r="E213" s="568"/>
    </x:row>
    <x:row r="214">
      <x:c r="A214" s="568"/>
      <x:c r="B214" s="568"/>
      <x:c r="C214" s="568"/>
      <x:c r="D214" s="568"/>
      <x:c r="E214" s="568"/>
    </x:row>
    <x:row r="215">
      <x:c r="A215" s="568"/>
      <x:c r="B215" s="568"/>
      <x:c r="C215" s="568"/>
      <x:c r="D215" s="568"/>
      <x:c r="E215" s="568"/>
    </x:row>
    <x:row r="216">
      <x:c r="A216" s="568"/>
      <x:c r="B216" s="568"/>
      <x:c r="C216" s="568"/>
      <x:c r="D216" s="568"/>
      <x:c r="E216" s="568"/>
    </x:row>
    <x:row r="217">
      <x:c r="A217" s="568"/>
      <x:c r="B217" s="568"/>
      <x:c r="C217" s="568"/>
      <x:c r="D217" s="568"/>
      <x:c r="E217" s="568"/>
    </x:row>
    <x:row r="218">
      <x:c r="A218" s="568"/>
      <x:c r="B218" s="568"/>
      <x:c r="C218" s="568"/>
      <x:c r="D218" s="568"/>
      <x:c r="E218" s="568"/>
    </x:row>
    <x:row r="219">
      <x:c r="A219" s="568"/>
      <x:c r="B219" s="568"/>
      <x:c r="C219" s="568"/>
      <x:c r="D219" s="568"/>
      <x:c r="E219" s="568"/>
    </x:row>
    <x:row r="220">
      <x:c r="A220" s="568"/>
      <x:c r="B220" s="568"/>
      <x:c r="C220" s="568"/>
      <x:c r="D220" s="568"/>
      <x:c r="E220" s="568"/>
    </x:row>
  </x:sheetData>
  <x:mergeCells>
    <x:mergeCell ref="A3:E3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46" hidden="0" customWidth="1"/>
  </x:cols>
  <x:sheetData>
    <x:row r="1">
      <x:c r="A1" s="571" t="str">
        <x:v>☰ Slide-Out Menu Structure</x:v>
      </x:c>
      <x:c r="B1" s="571"/>
      <x:c r="C1" s="571"/>
      <x:c r="D1" s="571"/>
    </x:row>
    <x:row r="2">
      <x:c r="A2" s="571"/>
      <x:c r="B2" s="571"/>
      <x:c r="C2" s="571"/>
      <x:c r="D2" s="571"/>
    </x:row>
    <x:row r="3">
      <x:c r="A3" s="572" t="str">
        <x:v>The drawer is the complete menu. The bottom bar stays limited to the most important screens.</x:v>
      </x:c>
      <x:c r="B3" s="572"/>
      <x:c r="C3" s="572"/>
      <x:c r="D3" s="572"/>
    </x:row>
    <x:row r="4">
      <x:c r="A4" s="568"/>
      <x:c r="B4" s="568"/>
      <x:c r="C4" s="568"/>
      <x:c r="D4" s="568"/>
    </x:row>
    <x:row r="5">
      <x:c r="A5" s="575" t="str">
        <x:v>Section</x:v>
      </x:c>
      <x:c r="B5" s="575" t="str">
        <x:v>Menu Item</x:v>
      </x:c>
      <x:c r="C5" s="575" t="str">
        <x:v>Destination / Tool</x:v>
      </x:c>
      <x:c r="D5" s="575" t="str">
        <x:v>Notes</x:v>
      </x:c>
    </x:row>
    <x:row r="6">
      <x:c r="A6" s="576" t="str">
        <x:v>Trip</x:v>
      </x:c>
      <x:c r="B6" s="576" t="str">
        <x:v>Home</x:v>
      </x:c>
      <x:c r="C6" s="576" t="str">
        <x:v>home</x:v>
      </x:c>
      <x:c r="D6" s="576" t="str">
        <x:v>Main dashboard</x:v>
      </x:c>
    </x:row>
    <x:row r="7">
      <x:c r="A7" s="576" t="str">
        <x:v>Trip</x:v>
      </x:c>
      <x:c r="B7" s="576" t="str">
        <x:v>Today</x:v>
      </x:c>
      <x:c r="C7" s="576" t="str">
        <x:v>today</x:v>
      </x:c>
      <x:c r="D7" s="576" t="str">
        <x:v>Daily plan</x:v>
      </x:c>
    </x:row>
    <x:row r="8">
      <x:c r="A8" s="576" t="str">
        <x:v>Trip</x:v>
      </x:c>
      <x:c r="B8" s="576" t="str">
        <x:v>Airport Mode</x:v>
      </x:c>
      <x:c r="C8" s="576" t="str">
        <x:v>airport</x:v>
      </x:c>
      <x:c r="D8" s="576" t="str">
        <x:v>Arrival and departure</x:v>
      </x:c>
    </x:row>
    <x:row r="9">
      <x:c r="A9" s="576" t="str">
        <x:v>Trip</x:v>
      </x:c>
      <x:c r="B9" s="576" t="str">
        <x:v>Transit Mode</x:v>
      </x:c>
      <x:c r="C9" s="576" t="str">
        <x:v>transitMode</x:v>
      </x:c>
      <x:c r="D9" s="576" t="str">
        <x:v>One-handed travel view</x:v>
      </x:c>
    </x:row>
    <x:row r="10">
      <x:c r="A10" s="576" t="str">
        <x:v>Trip</x:v>
      </x:c>
      <x:c r="B10" s="576" t="str">
        <x:v>Evening Mode</x:v>
      </x:c>
      <x:c r="C10" s="576" t="str">
        <x:v>evening</x:v>
      </x:c>
      <x:c r="D10" s="576" t="str">
        <x:v>Tomorrow prep</x:v>
      </x:c>
    </x:row>
    <x:row r="11">
      <x:c r="A11" s="576" t="str">
        <x:v>Travelers</x:v>
      </x:c>
      <x:c r="B11" s="576" t="str">
        <x:v>David</x:v>
      </x:c>
      <x:c r="C11" s="576" t="str">
        <x:v>david</x:v>
      </x:c>
      <x:c r="D11" s="576" t="str">
        <x:v>Planning and logistics</x:v>
      </x:c>
    </x:row>
    <x:row r="12">
      <x:c r="A12" s="576" t="str">
        <x:v>Travelers</x:v>
      </x:c>
      <x:c r="B12" s="576" t="str">
        <x:v>Noelle</x:v>
      </x:c>
      <x:c r="C12" s="576" t="str">
        <x:v>noelle</x:v>
      </x:c>
      <x:c r="D12" s="576" t="str">
        <x:v>Food, shopping, planning</x:v>
      </x:c>
    </x:row>
    <x:row r="13">
      <x:c r="A13" s="576" t="str">
        <x:v>Travelers</x:v>
      </x:c>
      <x:c r="B13" s="576" t="str">
        <x:v>Nick</x:v>
      </x:c>
      <x:c r="C13" s="576" t="str">
        <x:v>nick</x:v>
      </x:c>
      <x:c r="D13" s="576" t="str">
        <x:v>First-time view</x:v>
      </x:c>
    </x:row>
    <x:row r="14">
      <x:c r="A14" s="576" t="str">
        <x:v>Travelers</x:v>
      </x:c>
      <x:c r="B14" s="576" t="str">
        <x:v>Hilda</x:v>
      </x:c>
      <x:c r="C14" s="576" t="str">
        <x:v>hilda</x:v>
      </x:c>
      <x:c r="D14" s="576" t="str">
        <x:v>Simple plan and help</x:v>
      </x:c>
    </x:row>
    <x:row r="15">
      <x:c r="A15" s="576" t="str">
        <x:v>Destinations</x:v>
      </x:c>
      <x:c r="B15" s="576" t="str">
        <x:v>Tokyo</x:v>
      </x:c>
      <x:c r="C15" s="576" t="str">
        <x:v>tokyo</x:v>
      </x:c>
      <x:c r="D15" s="576" t="str">
        <x:v>City dashboard</x:v>
      </x:c>
    </x:row>
    <x:row r="16">
      <x:c r="A16" s="576" t="str">
        <x:v>Destinations</x:v>
      </x:c>
      <x:c r="B16" s="576" t="str">
        <x:v>Hakone</x:v>
      </x:c>
      <x:c r="C16" s="576" t="str">
        <x:v>hakone</x:v>
      </x:c>
      <x:c r="D16" s="576" t="str">
        <x:v>Ryokan and onsen</x:v>
      </x:c>
    </x:row>
    <x:row r="17">
      <x:c r="A17" s="576" t="str">
        <x:v>Destinations</x:v>
      </x:c>
      <x:c r="B17" s="576" t="str">
        <x:v>Kyoto</x:v>
      </x:c>
      <x:c r="C17" s="576" t="str">
        <x:v>kyoto</x:v>
      </x:c>
      <x:c r="D17" s="576" t="str">
        <x:v>Temples and neighborhoods</x:v>
      </x:c>
    </x:row>
    <x:row r="18">
      <x:c r="A18" s="576" t="str">
        <x:v>Destinations</x:v>
      </x:c>
      <x:c r="B18" s="576" t="str">
        <x:v>Osaka</x:v>
      </x:c>
      <x:c r="C18" s="576" t="str">
        <x:v>osaka</x:v>
      </x:c>
      <x:c r="D18" s="576" t="str">
        <x:v>Two-day food/shopping stay</x:v>
      </x:c>
    </x:row>
    <x:row r="19">
      <x:c r="A19" s="576" t="str">
        <x:v>Destinations</x:v>
      </x:c>
      <x:c r="B19" s="576" t="str">
        <x:v>Nara</x:v>
      </x:c>
      <x:c r="C19" s="576" t="str">
        <x:v>nara</x:v>
      </x:c>
      <x:c r="D19" s="576" t="str">
        <x:v>Day trip</x:v>
      </x:c>
    </x:row>
    <x:row r="20">
      <x:c r="A20" s="576" t="str">
        <x:v>Tools</x:v>
      </x:c>
      <x:c r="B20" s="576" t="str">
        <x:v>Food</x:v>
      </x:c>
      <x:c r="C20" s="576" t="str">
        <x:v>food</x:v>
      </x:c>
      <x:c r="D20" s="576" t="str">
        <x:v>City and meal submenus</x:v>
      </x:c>
    </x:row>
    <x:row r="21">
      <x:c r="A21" s="576" t="str">
        <x:v>Tools</x:v>
      </x:c>
      <x:c r="B21" s="576" t="str">
        <x:v>Shopping</x:v>
      </x:c>
      <x:c r="C21" s="576" t="str">
        <x:v>shopping</x:v>
      </x:c>
      <x:c r="D21" s="576" t="str">
        <x:v>Stores and souvenirs</x:v>
      </x:c>
    </x:row>
    <x:row r="22">
      <x:c r="A22" s="576" t="str">
        <x:v>Tools</x:v>
      </x:c>
      <x:c r="B22" s="576" t="str">
        <x:v>Transit</x:v>
      </x:c>
      <x:c r="C22" s="576" t="str">
        <x:v>transit</x:v>
      </x:c>
      <x:c r="D22" s="576" t="str">
        <x:v>Suica, trains, airport, taxis</x:v>
      </x:c>
    </x:row>
    <x:row r="23">
      <x:c r="A23" s="576" t="str">
        <x:v>Tools</x:v>
      </x:c>
      <x:c r="B23" s="576" t="str">
        <x:v>Money Hub</x:v>
      </x:c>
      <x:c r="C23" s="576" t="str">
        <x:v>money</x:v>
      </x:c>
      <x:c r="D23" s="576" t="str">
        <x:v>Converter, cash, budget</x:v>
      </x:c>
    </x:row>
    <x:row r="24">
      <x:c r="A24" s="576" t="str">
        <x:v>Tools</x:v>
      </x:c>
      <x:c r="B24" s="576" t="str">
        <x:v>Peace of Mind</x:v>
      </x:c>
      <x:c r="C24" s="576" t="str">
        <x:v>peaceOfMind</x:v>
      </x:c>
      <x:c r="D24" s="576" t="str">
        <x:v>GF, Crohn's comfort, medical</x:v>
      </x:c>
    </x:row>
    <x:row r="25">
      <x:c r="A25" s="576" t="str">
        <x:v>Tools</x:v>
      </x:c>
      <x:c r="B25" s="576" t="str">
        <x:v>Maps</x:v>
      </x:c>
      <x:c r="C25" s="576" t="str">
        <x:v>maps</x:v>
      </x:c>
      <x:c r="D25" s="576" t="str">
        <x:v>All saved locations</x:v>
      </x:c>
    </x:row>
    <x:row r="26">
      <x:c r="A26" s="576" t="str">
        <x:v>Tools</x:v>
      </x:c>
      <x:c r="B26" s="576" t="str">
        <x:v>Phrases</x:v>
      </x:c>
      <x:c r="C26" s="576" t="str">
        <x:v>phrases</x:v>
      </x:c>
      <x:c r="D26" s="576" t="str">
        <x:v>Japanese phrasebook</x:v>
      </x:c>
    </x:row>
    <x:row r="27">
      <x:c r="A27" s="576" t="str">
        <x:v>Tools</x:v>
      </x:c>
      <x:c r="B27" s="576" t="str">
        <x:v>Packing</x:v>
      </x:c>
      <x:c r="C27" s="576" t="str">
        <x:v>packing</x:v>
      </x:c>
      <x:c r="D27" s="576" t="str">
        <x:v>Progress and luggage</x:v>
      </x:c>
    </x:row>
    <x:row r="28">
      <x:c r="A28" s="576" t="str">
        <x:v>Tools</x:v>
      </x:c>
      <x:c r="B28" s="576" t="str">
        <x:v>Journal</x:v>
      </x:c>
      <x:c r="C28" s="576" t="str">
        <x:v>journal</x:v>
      </x:c>
      <x:c r="D28" s="576" t="str">
        <x:v>Memories</x:v>
      </x:c>
    </x:row>
    <x:row r="29">
      <x:c r="A29" s="576" t="str">
        <x:v>Tools</x:v>
      </x:c>
      <x:c r="B29" s="576" t="str">
        <x:v>System</x:v>
      </x:c>
      <x:c r="C29" s="576" t="str">
        <x:v>system</x:v>
      </x:c>
      <x:c r="D29" s="576" t="str">
        <x:v>App health</x:v>
      </x:c>
    </x:row>
    <x:row r="30">
      <x:c r="A30" s="568"/>
      <x:c r="B30" s="568"/>
      <x:c r="C30" s="568"/>
      <x:c r="D30" s="568"/>
    </x:row>
    <x:row r="31">
      <x:c r="A31" s="568"/>
      <x:c r="B31" s="568"/>
      <x:c r="C31" s="568"/>
      <x:c r="D31" s="568"/>
    </x:row>
    <x:row r="32">
      <x:c r="A32" s="568"/>
      <x:c r="B32" s="568"/>
      <x:c r="C32" s="568"/>
      <x:c r="D32" s="568"/>
    </x:row>
    <x:row r="33">
      <x:c r="A33" s="568"/>
      <x:c r="B33" s="568"/>
      <x:c r="C33" s="568"/>
      <x:c r="D33" s="568"/>
    </x:row>
    <x:row r="34">
      <x:c r="A34" s="568"/>
      <x:c r="B34" s="568"/>
      <x:c r="C34" s="568"/>
      <x:c r="D34" s="568"/>
    </x:row>
    <x:row r="35">
      <x:c r="A35" s="568"/>
      <x:c r="B35" s="568"/>
      <x:c r="C35" s="568"/>
      <x:c r="D35" s="568"/>
    </x:row>
    <x:row r="36">
      <x:c r="A36" s="568"/>
      <x:c r="B36" s="568"/>
      <x:c r="C36" s="568"/>
      <x:c r="D36" s="568"/>
    </x:row>
    <x:row r="37">
      <x:c r="A37" s="568"/>
      <x:c r="B37" s="568"/>
      <x:c r="C37" s="568"/>
      <x:c r="D37" s="568"/>
    </x:row>
    <x:row r="38">
      <x:c r="A38" s="568"/>
      <x:c r="B38" s="568"/>
      <x:c r="C38" s="568"/>
      <x:c r="D38" s="568"/>
    </x:row>
    <x:row r="39">
      <x:c r="A39" s="568"/>
      <x:c r="B39" s="568"/>
      <x:c r="C39" s="568"/>
      <x:c r="D39" s="568"/>
    </x:row>
    <x:row r="40">
      <x:c r="A40" s="568"/>
      <x:c r="B40" s="568"/>
      <x:c r="C40" s="568"/>
      <x:c r="D40" s="568"/>
    </x:row>
    <x:row r="41">
      <x:c r="A41" s="568"/>
      <x:c r="B41" s="568"/>
      <x:c r="C41" s="568"/>
      <x:c r="D41" s="568"/>
    </x:row>
    <x:row r="42">
      <x:c r="A42" s="568"/>
      <x:c r="B42" s="568"/>
      <x:c r="C42" s="568"/>
      <x:c r="D42" s="568"/>
    </x:row>
    <x:row r="43">
      <x:c r="A43" s="568"/>
      <x:c r="B43" s="568"/>
      <x:c r="C43" s="568"/>
      <x:c r="D43" s="568"/>
    </x:row>
    <x:row r="44">
      <x:c r="A44" s="568"/>
      <x:c r="B44" s="568"/>
      <x:c r="C44" s="568"/>
      <x:c r="D44" s="568"/>
    </x:row>
    <x:row r="45">
      <x:c r="A45" s="568"/>
      <x:c r="B45" s="568"/>
      <x:c r="C45" s="568"/>
      <x:c r="D45" s="568"/>
    </x:row>
    <x:row r="46">
      <x:c r="A46" s="568"/>
      <x:c r="B46" s="568"/>
      <x:c r="C46" s="568"/>
      <x:c r="D46" s="568"/>
    </x:row>
    <x:row r="47">
      <x:c r="A47" s="568"/>
      <x:c r="B47" s="568"/>
      <x:c r="C47" s="568"/>
      <x:c r="D47" s="568"/>
    </x:row>
    <x:row r="48">
      <x:c r="A48" s="568"/>
      <x:c r="B48" s="568"/>
      <x:c r="C48" s="568"/>
      <x:c r="D48" s="568"/>
    </x:row>
    <x:row r="49">
      <x:c r="A49" s="568"/>
      <x:c r="B49" s="568"/>
      <x:c r="C49" s="568"/>
      <x:c r="D49" s="568"/>
    </x:row>
    <x:row r="50">
      <x:c r="A50" s="568"/>
      <x:c r="B50" s="568"/>
      <x:c r="C50" s="568"/>
      <x:c r="D50" s="568"/>
    </x:row>
    <x:row r="51">
      <x:c r="A51" s="568"/>
      <x:c r="B51" s="568"/>
      <x:c r="C51" s="568"/>
      <x:c r="D51" s="568"/>
    </x:row>
    <x:row r="52">
      <x:c r="A52" s="568"/>
      <x:c r="B52" s="568"/>
      <x:c r="C52" s="568"/>
      <x:c r="D52" s="568"/>
    </x:row>
    <x:row r="53">
      <x:c r="A53" s="568"/>
      <x:c r="B53" s="568"/>
      <x:c r="C53" s="568"/>
      <x:c r="D53" s="568"/>
    </x:row>
    <x:row r="54">
      <x:c r="A54" s="568"/>
      <x:c r="B54" s="568"/>
      <x:c r="C54" s="568"/>
      <x:c r="D54" s="568"/>
    </x:row>
    <x:row r="55">
      <x:c r="A55" s="568"/>
      <x:c r="B55" s="568"/>
      <x:c r="C55" s="568"/>
      <x:c r="D55" s="568"/>
    </x:row>
    <x:row r="56">
      <x:c r="A56" s="568"/>
      <x:c r="B56" s="568"/>
      <x:c r="C56" s="568"/>
      <x:c r="D56" s="568"/>
    </x:row>
    <x:row r="57">
      <x:c r="A57" s="568"/>
      <x:c r="B57" s="568"/>
      <x:c r="C57" s="568"/>
      <x:c r="D57" s="568"/>
    </x:row>
    <x:row r="58">
      <x:c r="A58" s="568"/>
      <x:c r="B58" s="568"/>
      <x:c r="C58" s="568"/>
      <x:c r="D58" s="568"/>
    </x:row>
    <x:row r="59">
      <x:c r="A59" s="568"/>
      <x:c r="B59" s="568"/>
      <x:c r="C59" s="568"/>
      <x:c r="D59" s="568"/>
    </x:row>
    <x:row r="60">
      <x:c r="A60" s="568"/>
      <x:c r="B60" s="568"/>
      <x:c r="C60" s="568"/>
      <x:c r="D60" s="568"/>
    </x:row>
    <x:row r="61">
      <x:c r="A61" s="568"/>
      <x:c r="B61" s="568"/>
      <x:c r="C61" s="568"/>
      <x:c r="D61" s="568"/>
    </x:row>
    <x:row r="62">
      <x:c r="A62" s="568"/>
      <x:c r="B62" s="568"/>
      <x:c r="C62" s="568"/>
      <x:c r="D62" s="568"/>
    </x:row>
    <x:row r="63">
      <x:c r="A63" s="568"/>
      <x:c r="B63" s="568"/>
      <x:c r="C63" s="568"/>
      <x:c r="D63" s="568"/>
    </x:row>
    <x:row r="64">
      <x:c r="A64" s="568"/>
      <x:c r="B64" s="568"/>
      <x:c r="C64" s="568"/>
      <x:c r="D64" s="568"/>
    </x:row>
    <x:row r="65">
      <x:c r="A65" s="568"/>
      <x:c r="B65" s="568"/>
      <x:c r="C65" s="568"/>
      <x:c r="D65" s="568"/>
    </x:row>
    <x:row r="66">
      <x:c r="A66" s="568"/>
      <x:c r="B66" s="568"/>
      <x:c r="C66" s="568"/>
      <x:c r="D66" s="568"/>
    </x:row>
    <x:row r="67">
      <x:c r="A67" s="568"/>
      <x:c r="B67" s="568"/>
      <x:c r="C67" s="568"/>
      <x:c r="D67" s="568"/>
    </x:row>
    <x:row r="68">
      <x:c r="A68" s="568"/>
      <x:c r="B68" s="568"/>
      <x:c r="C68" s="568"/>
      <x:c r="D68" s="568"/>
    </x:row>
    <x:row r="69">
      <x:c r="A69" s="568"/>
      <x:c r="B69" s="568"/>
      <x:c r="C69" s="568"/>
      <x:c r="D69" s="568"/>
    </x:row>
    <x:row r="70">
      <x:c r="A70" s="568"/>
      <x:c r="B70" s="568"/>
      <x:c r="C70" s="568"/>
      <x:c r="D70" s="568"/>
    </x:row>
    <x:row r="71">
      <x:c r="A71" s="568"/>
      <x:c r="B71" s="568"/>
      <x:c r="C71" s="568"/>
      <x:c r="D71" s="568"/>
    </x:row>
    <x:row r="72">
      <x:c r="A72" s="568"/>
      <x:c r="B72" s="568"/>
      <x:c r="C72" s="568"/>
      <x:c r="D72" s="568"/>
    </x:row>
    <x:row r="73">
      <x:c r="A73" s="568"/>
      <x:c r="B73" s="568"/>
      <x:c r="C73" s="568"/>
      <x:c r="D73" s="568"/>
    </x:row>
    <x:row r="74">
      <x:c r="A74" s="568"/>
      <x:c r="B74" s="568"/>
      <x:c r="C74" s="568"/>
      <x:c r="D74" s="568"/>
    </x:row>
    <x:row r="75">
      <x:c r="A75" s="568"/>
      <x:c r="B75" s="568"/>
      <x:c r="C75" s="568"/>
      <x:c r="D75" s="568"/>
    </x:row>
    <x:row r="76">
      <x:c r="A76" s="568"/>
      <x:c r="B76" s="568"/>
      <x:c r="C76" s="568"/>
      <x:c r="D76" s="568"/>
    </x:row>
    <x:row r="77">
      <x:c r="A77" s="568"/>
      <x:c r="B77" s="568"/>
      <x:c r="C77" s="568"/>
      <x:c r="D77" s="568"/>
    </x:row>
    <x:row r="78">
      <x:c r="A78" s="568"/>
      <x:c r="B78" s="568"/>
      <x:c r="C78" s="568"/>
      <x:c r="D78" s="568"/>
    </x:row>
    <x:row r="79">
      <x:c r="A79" s="568"/>
      <x:c r="B79" s="568"/>
      <x:c r="C79" s="568"/>
      <x:c r="D79" s="568"/>
    </x:row>
    <x:row r="80">
      <x:c r="A80" s="568"/>
      <x:c r="B80" s="568"/>
      <x:c r="C80" s="568"/>
      <x:c r="D80" s="568"/>
    </x:row>
    <x:row r="81">
      <x:c r="A81" s="568"/>
      <x:c r="B81" s="568"/>
      <x:c r="C81" s="568"/>
      <x:c r="D81" s="568"/>
    </x:row>
    <x:row r="82">
      <x:c r="A82" s="568"/>
      <x:c r="B82" s="568"/>
      <x:c r="C82" s="568"/>
      <x:c r="D82" s="568"/>
    </x:row>
    <x:row r="83">
      <x:c r="A83" s="568"/>
      <x:c r="B83" s="568"/>
      <x:c r="C83" s="568"/>
      <x:c r="D83" s="568"/>
    </x:row>
    <x:row r="84">
      <x:c r="A84" s="568"/>
      <x:c r="B84" s="568"/>
      <x:c r="C84" s="568"/>
      <x:c r="D84" s="568"/>
    </x:row>
    <x:row r="85">
      <x:c r="A85" s="568"/>
      <x:c r="B85" s="568"/>
      <x:c r="C85" s="568"/>
      <x:c r="D85" s="568"/>
    </x:row>
    <x:row r="86">
      <x:c r="A86" s="568"/>
      <x:c r="B86" s="568"/>
      <x:c r="C86" s="568"/>
      <x:c r="D86" s="568"/>
    </x:row>
    <x:row r="87">
      <x:c r="A87" s="568"/>
      <x:c r="B87" s="568"/>
      <x:c r="C87" s="568"/>
      <x:c r="D87" s="568"/>
    </x:row>
    <x:row r="88">
      <x:c r="A88" s="568"/>
      <x:c r="B88" s="568"/>
      <x:c r="C88" s="568"/>
      <x:c r="D88" s="568"/>
    </x:row>
    <x:row r="89">
      <x:c r="A89" s="568"/>
      <x:c r="B89" s="568"/>
      <x:c r="C89" s="568"/>
      <x:c r="D89" s="568"/>
    </x:row>
    <x:row r="90">
      <x:c r="A90" s="568"/>
      <x:c r="B90" s="568"/>
      <x:c r="C90" s="568"/>
      <x:c r="D90" s="568"/>
    </x:row>
    <x:row r="91">
      <x:c r="A91" s="568"/>
      <x:c r="B91" s="568"/>
      <x:c r="C91" s="568"/>
      <x:c r="D91" s="568"/>
    </x:row>
    <x:row r="92">
      <x:c r="A92" s="568"/>
      <x:c r="B92" s="568"/>
      <x:c r="C92" s="568"/>
      <x:c r="D92" s="568"/>
    </x:row>
    <x:row r="93">
      <x:c r="A93" s="568"/>
      <x:c r="B93" s="568"/>
      <x:c r="C93" s="568"/>
      <x:c r="D93" s="568"/>
    </x:row>
    <x:row r="94">
      <x:c r="A94" s="568"/>
      <x:c r="B94" s="568"/>
      <x:c r="C94" s="568"/>
      <x:c r="D94" s="568"/>
    </x:row>
    <x:row r="95">
      <x:c r="A95" s="568"/>
      <x:c r="B95" s="568"/>
      <x:c r="C95" s="568"/>
      <x:c r="D95" s="568"/>
    </x:row>
    <x:row r="96">
      <x:c r="A96" s="568"/>
      <x:c r="B96" s="568"/>
      <x:c r="C96" s="568"/>
      <x:c r="D96" s="568"/>
    </x:row>
    <x:row r="97">
      <x:c r="A97" s="568"/>
      <x:c r="B97" s="568"/>
      <x:c r="C97" s="568"/>
      <x:c r="D97" s="568"/>
    </x:row>
    <x:row r="98">
      <x:c r="A98" s="568"/>
      <x:c r="B98" s="568"/>
      <x:c r="C98" s="568"/>
      <x:c r="D98" s="568"/>
    </x:row>
    <x:row r="99">
      <x:c r="A99" s="568"/>
      <x:c r="B99" s="568"/>
      <x:c r="C99" s="568"/>
      <x:c r="D99" s="568"/>
    </x:row>
    <x:row r="100">
      <x:c r="A100" s="568"/>
      <x:c r="B100" s="568"/>
      <x:c r="C100" s="568"/>
      <x:c r="D100" s="568"/>
    </x:row>
    <x:row r="101">
      <x:c r="A101" s="568"/>
      <x:c r="B101" s="568"/>
      <x:c r="C101" s="568"/>
      <x:c r="D101" s="568"/>
    </x:row>
    <x:row r="102">
      <x:c r="A102" s="568"/>
      <x:c r="B102" s="568"/>
      <x:c r="C102" s="568"/>
      <x:c r="D102" s="568"/>
    </x:row>
    <x:row r="103">
      <x:c r="A103" s="568"/>
      <x:c r="B103" s="568"/>
      <x:c r="C103" s="568"/>
      <x:c r="D103" s="568"/>
    </x:row>
    <x:row r="104">
      <x:c r="A104" s="568"/>
      <x:c r="B104" s="568"/>
      <x:c r="C104" s="568"/>
      <x:c r="D104" s="568"/>
    </x:row>
    <x:row r="105">
      <x:c r="A105" s="568"/>
      <x:c r="B105" s="568"/>
      <x:c r="C105" s="568"/>
      <x:c r="D105" s="568"/>
    </x:row>
    <x:row r="106">
      <x:c r="A106" s="568"/>
      <x:c r="B106" s="568"/>
      <x:c r="C106" s="568"/>
      <x:c r="D106" s="568"/>
    </x:row>
    <x:row r="107">
      <x:c r="A107" s="568"/>
      <x:c r="B107" s="568"/>
      <x:c r="C107" s="568"/>
      <x:c r="D107" s="568"/>
    </x:row>
    <x:row r="108">
      <x:c r="A108" s="568"/>
      <x:c r="B108" s="568"/>
      <x:c r="C108" s="568"/>
      <x:c r="D108" s="568"/>
    </x:row>
    <x:row r="109">
      <x:c r="A109" s="568"/>
      <x:c r="B109" s="568"/>
      <x:c r="C109" s="568"/>
      <x:c r="D109" s="568"/>
    </x:row>
    <x:row r="110">
      <x:c r="A110" s="568"/>
      <x:c r="B110" s="568"/>
      <x:c r="C110" s="568"/>
      <x:c r="D110" s="568"/>
    </x:row>
    <x:row r="111">
      <x:c r="A111" s="568"/>
      <x:c r="B111" s="568"/>
      <x:c r="C111" s="568"/>
      <x:c r="D111" s="568"/>
    </x:row>
    <x:row r="112">
      <x:c r="A112" s="568"/>
      <x:c r="B112" s="568"/>
      <x:c r="C112" s="568"/>
      <x:c r="D112" s="568"/>
    </x:row>
    <x:row r="113">
      <x:c r="A113" s="568"/>
      <x:c r="B113" s="568"/>
      <x:c r="C113" s="568"/>
      <x:c r="D113" s="568"/>
    </x:row>
    <x:row r="114">
      <x:c r="A114" s="568"/>
      <x:c r="B114" s="568"/>
      <x:c r="C114" s="568"/>
      <x:c r="D114" s="568"/>
    </x:row>
    <x:row r="115">
      <x:c r="A115" s="568"/>
      <x:c r="B115" s="568"/>
      <x:c r="C115" s="568"/>
      <x:c r="D115" s="568"/>
    </x:row>
    <x:row r="116">
      <x:c r="A116" s="568"/>
      <x:c r="B116" s="568"/>
      <x:c r="C116" s="568"/>
      <x:c r="D116" s="568"/>
    </x:row>
    <x:row r="117">
      <x:c r="A117" s="568"/>
      <x:c r="B117" s="568"/>
      <x:c r="C117" s="568"/>
      <x:c r="D117" s="568"/>
    </x:row>
    <x:row r="118">
      <x:c r="A118" s="568"/>
      <x:c r="B118" s="568"/>
      <x:c r="C118" s="568"/>
      <x:c r="D118" s="568"/>
    </x:row>
    <x:row r="119">
      <x:c r="A119" s="568"/>
      <x:c r="B119" s="568"/>
      <x:c r="C119" s="568"/>
      <x:c r="D119" s="568"/>
    </x:row>
    <x:row r="120">
      <x:c r="A120" s="568"/>
      <x:c r="B120" s="568"/>
      <x:c r="C120" s="568"/>
      <x:c r="D120" s="568"/>
    </x:row>
    <x:row r="121">
      <x:c r="A121" s="568"/>
      <x:c r="B121" s="568"/>
      <x:c r="C121" s="568"/>
      <x:c r="D121" s="568"/>
    </x:row>
    <x:row r="122">
      <x:c r="A122" s="568"/>
      <x:c r="B122" s="568"/>
      <x:c r="C122" s="568"/>
      <x:c r="D122" s="568"/>
    </x:row>
    <x:row r="123">
      <x:c r="A123" s="568"/>
      <x:c r="B123" s="568"/>
      <x:c r="C123" s="568"/>
      <x:c r="D123" s="568"/>
    </x:row>
    <x:row r="124">
      <x:c r="A124" s="568"/>
      <x:c r="B124" s="568"/>
      <x:c r="C124" s="568"/>
      <x:c r="D124" s="568"/>
    </x:row>
    <x:row r="125">
      <x:c r="A125" s="568"/>
      <x:c r="B125" s="568"/>
      <x:c r="C125" s="568"/>
      <x:c r="D125" s="568"/>
    </x:row>
    <x:row r="126">
      <x:c r="A126" s="568"/>
      <x:c r="B126" s="568"/>
      <x:c r="C126" s="568"/>
      <x:c r="D126" s="568"/>
    </x:row>
    <x:row r="127">
      <x:c r="A127" s="568"/>
      <x:c r="B127" s="568"/>
      <x:c r="C127" s="568"/>
      <x:c r="D127" s="568"/>
    </x:row>
    <x:row r="128">
      <x:c r="A128" s="568"/>
      <x:c r="B128" s="568"/>
      <x:c r="C128" s="568"/>
      <x:c r="D128" s="568"/>
    </x:row>
    <x:row r="129">
      <x:c r="A129" s="568"/>
      <x:c r="B129" s="568"/>
      <x:c r="C129" s="568"/>
      <x:c r="D129" s="568"/>
    </x:row>
    <x:row r="130">
      <x:c r="A130" s="568"/>
      <x:c r="B130" s="568"/>
      <x:c r="C130" s="568"/>
      <x:c r="D130" s="568"/>
    </x:row>
    <x:row r="131">
      <x:c r="A131" s="568"/>
      <x:c r="B131" s="568"/>
      <x:c r="C131" s="568"/>
      <x:c r="D131" s="568"/>
    </x:row>
    <x:row r="132">
      <x:c r="A132" s="568"/>
      <x:c r="B132" s="568"/>
      <x:c r="C132" s="568"/>
      <x:c r="D132" s="568"/>
    </x:row>
    <x:row r="133">
      <x:c r="A133" s="568"/>
      <x:c r="B133" s="568"/>
      <x:c r="C133" s="568"/>
      <x:c r="D133" s="568"/>
    </x:row>
    <x:row r="134">
      <x:c r="A134" s="568"/>
      <x:c r="B134" s="568"/>
      <x:c r="C134" s="568"/>
      <x:c r="D134" s="568"/>
    </x:row>
    <x:row r="135">
      <x:c r="A135" s="568"/>
      <x:c r="B135" s="568"/>
      <x:c r="C135" s="568"/>
      <x:c r="D135" s="568"/>
    </x:row>
    <x:row r="136">
      <x:c r="A136" s="568"/>
      <x:c r="B136" s="568"/>
      <x:c r="C136" s="568"/>
      <x:c r="D136" s="568"/>
    </x:row>
    <x:row r="137">
      <x:c r="A137" s="568"/>
      <x:c r="B137" s="568"/>
      <x:c r="C137" s="568"/>
      <x:c r="D137" s="568"/>
    </x:row>
    <x:row r="138">
      <x:c r="A138" s="568"/>
      <x:c r="B138" s="568"/>
      <x:c r="C138" s="568"/>
      <x:c r="D138" s="568"/>
    </x:row>
    <x:row r="139">
      <x:c r="A139" s="568"/>
      <x:c r="B139" s="568"/>
      <x:c r="C139" s="568"/>
      <x:c r="D139" s="568"/>
    </x:row>
    <x:row r="140">
      <x:c r="A140" s="568"/>
      <x:c r="B140" s="568"/>
      <x:c r="C140" s="568"/>
      <x:c r="D140" s="568"/>
    </x:row>
    <x:row r="141">
      <x:c r="A141" s="568"/>
      <x:c r="B141" s="568"/>
      <x:c r="C141" s="568"/>
      <x:c r="D141" s="568"/>
    </x:row>
    <x:row r="142">
      <x:c r="A142" s="568"/>
      <x:c r="B142" s="568"/>
      <x:c r="C142" s="568"/>
      <x:c r="D142" s="568"/>
    </x:row>
    <x:row r="143">
      <x:c r="A143" s="568"/>
      <x:c r="B143" s="568"/>
      <x:c r="C143" s="568"/>
      <x:c r="D143" s="568"/>
    </x:row>
    <x:row r="144">
      <x:c r="A144" s="568"/>
      <x:c r="B144" s="568"/>
      <x:c r="C144" s="568"/>
      <x:c r="D144" s="568"/>
    </x:row>
    <x:row r="145">
      <x:c r="A145" s="568"/>
      <x:c r="B145" s="568"/>
      <x:c r="C145" s="568"/>
      <x:c r="D145" s="568"/>
    </x:row>
    <x:row r="146">
      <x:c r="A146" s="568"/>
      <x:c r="B146" s="568"/>
      <x:c r="C146" s="568"/>
      <x:c r="D146" s="568"/>
    </x:row>
    <x:row r="147">
      <x:c r="A147" s="568"/>
      <x:c r="B147" s="568"/>
      <x:c r="C147" s="568"/>
      <x:c r="D147" s="568"/>
    </x:row>
    <x:row r="148">
      <x:c r="A148" s="568"/>
      <x:c r="B148" s="568"/>
      <x:c r="C148" s="568"/>
      <x:c r="D148" s="568"/>
    </x:row>
    <x:row r="149">
      <x:c r="A149" s="568"/>
      <x:c r="B149" s="568"/>
      <x:c r="C149" s="568"/>
      <x:c r="D149" s="568"/>
    </x:row>
    <x:row r="150">
      <x:c r="A150" s="568"/>
      <x:c r="B150" s="568"/>
      <x:c r="C150" s="568"/>
      <x:c r="D150" s="568"/>
    </x:row>
    <x:row r="151">
      <x:c r="A151" s="568"/>
      <x:c r="B151" s="568"/>
      <x:c r="C151" s="568"/>
      <x:c r="D151" s="568"/>
    </x:row>
    <x:row r="152">
      <x:c r="A152" s="568"/>
      <x:c r="B152" s="568"/>
      <x:c r="C152" s="568"/>
      <x:c r="D152" s="568"/>
    </x:row>
    <x:row r="153">
      <x:c r="A153" s="568"/>
      <x:c r="B153" s="568"/>
      <x:c r="C153" s="568"/>
      <x:c r="D153" s="568"/>
    </x:row>
    <x:row r="154">
      <x:c r="A154" s="568"/>
      <x:c r="B154" s="568"/>
      <x:c r="C154" s="568"/>
      <x:c r="D154" s="568"/>
    </x:row>
    <x:row r="155">
      <x:c r="A155" s="568"/>
      <x:c r="B155" s="568"/>
      <x:c r="C155" s="568"/>
      <x:c r="D155" s="568"/>
    </x:row>
    <x:row r="156">
      <x:c r="A156" s="568"/>
      <x:c r="B156" s="568"/>
      <x:c r="C156" s="568"/>
      <x:c r="D156" s="568"/>
    </x:row>
    <x:row r="157">
      <x:c r="A157" s="568"/>
      <x:c r="B157" s="568"/>
      <x:c r="C157" s="568"/>
      <x:c r="D157" s="568"/>
    </x:row>
    <x:row r="158">
      <x:c r="A158" s="568"/>
      <x:c r="B158" s="568"/>
      <x:c r="C158" s="568"/>
      <x:c r="D158" s="568"/>
    </x:row>
    <x:row r="159">
      <x:c r="A159" s="568"/>
      <x:c r="B159" s="568"/>
      <x:c r="C159" s="568"/>
      <x:c r="D159" s="568"/>
    </x:row>
    <x:row r="160">
      <x:c r="A160" s="568"/>
      <x:c r="B160" s="568"/>
      <x:c r="C160" s="568"/>
      <x:c r="D160" s="568"/>
    </x:row>
    <x:row r="161">
      <x:c r="A161" s="568"/>
      <x:c r="B161" s="568"/>
      <x:c r="C161" s="568"/>
      <x:c r="D161" s="568"/>
    </x:row>
    <x:row r="162">
      <x:c r="A162" s="568"/>
      <x:c r="B162" s="568"/>
      <x:c r="C162" s="568"/>
      <x:c r="D162" s="568"/>
    </x:row>
    <x:row r="163">
      <x:c r="A163" s="568"/>
      <x:c r="B163" s="568"/>
      <x:c r="C163" s="568"/>
      <x:c r="D163" s="568"/>
    </x:row>
    <x:row r="164">
      <x:c r="A164" s="568"/>
      <x:c r="B164" s="568"/>
      <x:c r="C164" s="568"/>
      <x:c r="D164" s="568"/>
    </x:row>
    <x:row r="165">
      <x:c r="A165" s="568"/>
      <x:c r="B165" s="568"/>
      <x:c r="C165" s="568"/>
      <x:c r="D165" s="568"/>
    </x:row>
    <x:row r="166">
      <x:c r="A166" s="568"/>
      <x:c r="B166" s="568"/>
      <x:c r="C166" s="568"/>
      <x:c r="D166" s="568"/>
    </x:row>
    <x:row r="167">
      <x:c r="A167" s="568"/>
      <x:c r="B167" s="568"/>
      <x:c r="C167" s="568"/>
      <x:c r="D167" s="568"/>
    </x:row>
    <x:row r="168">
      <x:c r="A168" s="568"/>
      <x:c r="B168" s="568"/>
      <x:c r="C168" s="568"/>
      <x:c r="D168" s="568"/>
    </x:row>
    <x:row r="169">
      <x:c r="A169" s="568"/>
      <x:c r="B169" s="568"/>
      <x:c r="C169" s="568"/>
      <x:c r="D169" s="568"/>
    </x:row>
    <x:row r="170">
      <x:c r="A170" s="568"/>
      <x:c r="B170" s="568"/>
      <x:c r="C170" s="568"/>
      <x:c r="D170" s="568"/>
    </x:row>
    <x:row r="171">
      <x:c r="A171" s="568"/>
      <x:c r="B171" s="568"/>
      <x:c r="C171" s="568"/>
      <x:c r="D171" s="568"/>
    </x:row>
    <x:row r="172">
      <x:c r="A172" s="568"/>
      <x:c r="B172" s="568"/>
      <x:c r="C172" s="568"/>
      <x:c r="D172" s="568"/>
    </x:row>
    <x:row r="173">
      <x:c r="A173" s="568"/>
      <x:c r="B173" s="568"/>
      <x:c r="C173" s="568"/>
      <x:c r="D173" s="568"/>
    </x:row>
    <x:row r="174">
      <x:c r="A174" s="568"/>
      <x:c r="B174" s="568"/>
      <x:c r="C174" s="568"/>
      <x:c r="D174" s="568"/>
    </x:row>
    <x:row r="175">
      <x:c r="A175" s="568"/>
      <x:c r="B175" s="568"/>
      <x:c r="C175" s="568"/>
      <x:c r="D175" s="568"/>
    </x:row>
    <x:row r="176">
      <x:c r="A176" s="568"/>
      <x:c r="B176" s="568"/>
      <x:c r="C176" s="568"/>
      <x:c r="D176" s="568"/>
    </x:row>
    <x:row r="177">
      <x:c r="A177" s="568"/>
      <x:c r="B177" s="568"/>
      <x:c r="C177" s="568"/>
      <x:c r="D177" s="568"/>
    </x:row>
    <x:row r="178">
      <x:c r="A178" s="568"/>
      <x:c r="B178" s="568"/>
      <x:c r="C178" s="568"/>
      <x:c r="D178" s="568"/>
    </x:row>
    <x:row r="179">
      <x:c r="A179" s="568"/>
      <x:c r="B179" s="568"/>
      <x:c r="C179" s="568"/>
      <x:c r="D179" s="568"/>
    </x:row>
    <x:row r="180">
      <x:c r="A180" s="568"/>
      <x:c r="B180" s="568"/>
      <x:c r="C180" s="568"/>
      <x:c r="D180" s="568"/>
    </x:row>
    <x:row r="181">
      <x:c r="A181" s="568"/>
      <x:c r="B181" s="568"/>
      <x:c r="C181" s="568"/>
      <x:c r="D181" s="568"/>
    </x:row>
    <x:row r="182">
      <x:c r="A182" s="568"/>
      <x:c r="B182" s="568"/>
      <x:c r="C182" s="568"/>
      <x:c r="D182" s="568"/>
    </x:row>
    <x:row r="183">
      <x:c r="A183" s="568"/>
      <x:c r="B183" s="568"/>
      <x:c r="C183" s="568"/>
      <x:c r="D183" s="568"/>
    </x:row>
    <x:row r="184">
      <x:c r="A184" s="568"/>
      <x:c r="B184" s="568"/>
      <x:c r="C184" s="568"/>
      <x:c r="D184" s="568"/>
    </x:row>
    <x:row r="185">
      <x:c r="A185" s="568"/>
      <x:c r="B185" s="568"/>
      <x:c r="C185" s="568"/>
      <x:c r="D185" s="568"/>
    </x:row>
    <x:row r="186">
      <x:c r="A186" s="568"/>
      <x:c r="B186" s="568"/>
      <x:c r="C186" s="568"/>
      <x:c r="D186" s="568"/>
    </x:row>
    <x:row r="187">
      <x:c r="A187" s="568"/>
      <x:c r="B187" s="568"/>
      <x:c r="C187" s="568"/>
      <x:c r="D187" s="568"/>
    </x:row>
    <x:row r="188">
      <x:c r="A188" s="568"/>
      <x:c r="B188" s="568"/>
      <x:c r="C188" s="568"/>
      <x:c r="D188" s="568"/>
    </x:row>
    <x:row r="189">
      <x:c r="A189" s="568"/>
      <x:c r="B189" s="568"/>
      <x:c r="C189" s="568"/>
      <x:c r="D189" s="568"/>
    </x:row>
    <x:row r="190">
      <x:c r="A190" s="568"/>
      <x:c r="B190" s="568"/>
      <x:c r="C190" s="568"/>
      <x:c r="D190" s="568"/>
    </x:row>
    <x:row r="191">
      <x:c r="A191" s="568"/>
      <x:c r="B191" s="568"/>
      <x:c r="C191" s="568"/>
      <x:c r="D191" s="568"/>
    </x:row>
    <x:row r="192">
      <x:c r="A192" s="568"/>
      <x:c r="B192" s="568"/>
      <x:c r="C192" s="568"/>
      <x:c r="D192" s="568"/>
    </x:row>
    <x:row r="193">
      <x:c r="A193" s="568"/>
      <x:c r="B193" s="568"/>
      <x:c r="C193" s="568"/>
      <x:c r="D193" s="568"/>
    </x:row>
    <x:row r="194">
      <x:c r="A194" s="568"/>
      <x:c r="B194" s="568"/>
      <x:c r="C194" s="568"/>
      <x:c r="D194" s="568"/>
    </x:row>
    <x:row r="195">
      <x:c r="A195" s="568"/>
      <x:c r="B195" s="568"/>
      <x:c r="C195" s="568"/>
      <x:c r="D195" s="568"/>
    </x:row>
    <x:row r="196">
      <x:c r="A196" s="568"/>
      <x:c r="B196" s="568"/>
      <x:c r="C196" s="568"/>
      <x:c r="D196" s="568"/>
    </x:row>
    <x:row r="197">
      <x:c r="A197" s="568"/>
      <x:c r="B197" s="568"/>
      <x:c r="C197" s="568"/>
      <x:c r="D197" s="568"/>
    </x:row>
    <x:row r="198">
      <x:c r="A198" s="568"/>
      <x:c r="B198" s="568"/>
      <x:c r="C198" s="568"/>
      <x:c r="D198" s="568"/>
    </x:row>
    <x:row r="199">
      <x:c r="A199" s="568"/>
      <x:c r="B199" s="568"/>
      <x:c r="C199" s="568"/>
      <x:c r="D199" s="568"/>
    </x:row>
    <x:row r="200">
      <x:c r="A200" s="568"/>
      <x:c r="B200" s="568"/>
      <x:c r="C200" s="568"/>
      <x:c r="D200" s="568"/>
    </x:row>
    <x:row r="201">
      <x:c r="A201" s="568"/>
      <x:c r="B201" s="568"/>
      <x:c r="C201" s="568"/>
      <x:c r="D201" s="568"/>
    </x:row>
    <x:row r="202">
      <x:c r="A202" s="568"/>
      <x:c r="B202" s="568"/>
      <x:c r="C202" s="568"/>
      <x:c r="D202" s="568"/>
    </x:row>
    <x:row r="203">
      <x:c r="A203" s="568"/>
      <x:c r="B203" s="568"/>
      <x:c r="C203" s="568"/>
      <x:c r="D203" s="568"/>
    </x:row>
    <x:row r="204">
      <x:c r="A204" s="568"/>
      <x:c r="B204" s="568"/>
      <x:c r="C204" s="568"/>
      <x:c r="D204" s="568"/>
    </x:row>
    <x:row r="205">
      <x:c r="A205" s="568"/>
      <x:c r="B205" s="568"/>
      <x:c r="C205" s="568"/>
      <x:c r="D205" s="568"/>
    </x:row>
    <x:row r="206">
      <x:c r="A206" s="568"/>
      <x:c r="B206" s="568"/>
      <x:c r="C206" s="568"/>
      <x:c r="D206" s="568"/>
    </x:row>
    <x:row r="207">
      <x:c r="A207" s="568"/>
      <x:c r="B207" s="568"/>
      <x:c r="C207" s="568"/>
      <x:c r="D207" s="568"/>
    </x:row>
    <x:row r="208">
      <x:c r="A208" s="568"/>
      <x:c r="B208" s="568"/>
      <x:c r="C208" s="568"/>
      <x:c r="D208" s="568"/>
    </x:row>
    <x:row r="209">
      <x:c r="A209" s="568"/>
      <x:c r="B209" s="568"/>
      <x:c r="C209" s="568"/>
      <x:c r="D209" s="568"/>
    </x:row>
    <x:row r="210">
      <x:c r="A210" s="568"/>
      <x:c r="B210" s="568"/>
      <x:c r="C210" s="568"/>
      <x:c r="D210" s="568"/>
    </x:row>
    <x:row r="211">
      <x:c r="A211" s="568"/>
      <x:c r="B211" s="568"/>
      <x:c r="C211" s="568"/>
      <x:c r="D211" s="568"/>
    </x:row>
    <x:row r="212">
      <x:c r="A212" s="568"/>
      <x:c r="B212" s="568"/>
      <x:c r="C212" s="568"/>
      <x:c r="D212" s="568"/>
    </x:row>
    <x:row r="213">
      <x:c r="A213" s="568"/>
      <x:c r="B213" s="568"/>
      <x:c r="C213" s="568"/>
      <x:c r="D213" s="568"/>
    </x:row>
    <x:row r="214">
      <x:c r="A214" s="568"/>
      <x:c r="B214" s="568"/>
      <x:c r="C214" s="568"/>
      <x:c r="D214" s="568"/>
    </x:row>
    <x:row r="215">
      <x:c r="A215" s="568"/>
      <x:c r="B215" s="568"/>
      <x:c r="C215" s="568"/>
      <x:c r="D215" s="568"/>
    </x:row>
    <x:row r="216">
      <x:c r="A216" s="568"/>
      <x:c r="B216" s="568"/>
      <x:c r="C216" s="568"/>
      <x:c r="D216" s="568"/>
    </x:row>
    <x:row r="217">
      <x:c r="A217" s="568"/>
      <x:c r="B217" s="568"/>
      <x:c r="C217" s="568"/>
      <x:c r="D217" s="568"/>
    </x:row>
    <x:row r="218">
      <x:c r="A218" s="568"/>
      <x:c r="B218" s="568"/>
      <x:c r="C218" s="568"/>
      <x:c r="D218" s="568"/>
    </x:row>
    <x:row r="219">
      <x:c r="A219" s="568"/>
      <x:c r="B219" s="568"/>
      <x:c r="C219" s="568"/>
      <x:c r="D219" s="568"/>
    </x:row>
    <x:row r="220">
      <x:c r="A220" s="568"/>
      <x:c r="B220" s="568"/>
      <x:c r="C220" s="568"/>
      <x:c r="D220" s="568"/>
    </x:row>
  </x:sheetData>
  <x:mergeCells>
    <x:mergeCell ref="A3:D3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8" hidden="0" customWidth="1"/>
    <x:col min="4" max="4" width="40" hidden="0" customWidth="1"/>
  </x:cols>
  <x:sheetData>
    <x:row r="1">
      <x:c r="A1" s="571" t="str">
        <x:v>🧪 RC3 Navigation QA</x:v>
      </x:c>
      <x:c r="B1" s="571"/>
      <x:c r="C1" s="571"/>
      <x:c r="D1" s="571"/>
    </x:row>
    <x:row r="2">
      <x:c r="A2" s="571"/>
      <x:c r="B2" s="571"/>
      <x:c r="C2" s="571"/>
      <x:c r="D2" s="571"/>
    </x:row>
    <x:row r="3">
      <x:c r="A3" s="572" t="str">
        <x:v>Run this on an iPhone after deploying RC3.</x:v>
      </x:c>
      <x:c r="B3" s="572"/>
      <x:c r="C3" s="572"/>
      <x:c r="D3" s="572"/>
    </x:row>
    <x:row r="4">
      <x:c r="A4" s="568"/>
      <x:c r="B4" s="568"/>
      <x:c r="C4" s="568"/>
      <x:c r="D4" s="568"/>
    </x:row>
    <x:row r="5">
      <x:c r="A5" s="575" t="str">
        <x:v>Test</x:v>
      </x:c>
      <x:c r="B5" s="575" t="str">
        <x:v>Expected Result</x:v>
      </x:c>
      <x:c r="C5" s="575" t="str">
        <x:v>Status</x:v>
      </x:c>
      <x:c r="D5" s="575" t="str">
        <x:v>Notes</x:v>
      </x:c>
    </x:row>
    <x:row r="6">
      <x:c r="A6" s="576" t="str">
        <x:v>Tap each bottom-bar item</x:v>
      </x:c>
      <x:c r="B6" s="576" t="str">
        <x:v>Home, Today, Hilda, Travelers, SOS open correctly</x:v>
      </x:c>
      <x:c r="C6" s="576" t="str">
        <x:v>Not Started</x:v>
      </x:c>
      <x:c r="D6" s="576" t="str"/>
    </x:row>
    <x:row r="7">
      <x:c r="A7" s="576" t="str">
        <x:v>Tap More</x:v>
      </x:c>
      <x:c r="B7" s="576" t="str">
        <x:v>Left drawer opens</x:v>
      </x:c>
      <x:c r="C7" s="576" t="str">
        <x:v>Not Started</x:v>
      </x:c>
      <x:c r="D7" s="576" t="str"/>
    </x:row>
    <x:row r="8">
      <x:c r="A8" s="576" t="str">
        <x:v>Swipe from left edge</x:v>
      </x:c>
      <x:c r="B8" s="576" t="str">
        <x:v>Drawer opens without changing page</x:v>
      </x:c>
      <x:c r="C8" s="576" t="str">
        <x:v>Not Started</x:v>
      </x:c>
      <x:c r="D8" s="576" t="str"/>
    </x:row>
    <x:row r="9">
      <x:c r="A9" s="576" t="str">
        <x:v>Swipe main screens</x:v>
      </x:c>
      <x:c r="B9" s="576" t="str">
        <x:v>Home ↔ Today ↔ Hilda ↔ Travelers ↔ SOS</x:v>
      </x:c>
      <x:c r="C9" s="576" t="str">
        <x:v>Not Started</x:v>
      </x:c>
      <x:c r="D9" s="576" t="str"/>
    </x:row>
    <x:row r="10">
      <x:c r="A10" s="576" t="str">
        <x:v>Swipe Travelers</x:v>
      </x:c>
      <x:c r="B10" s="576" t="str">
        <x:v>David ↔ Noelle ↔ Nick ↔ Hilda</x:v>
      </x:c>
      <x:c r="C10" s="576" t="str">
        <x:v>Not Started</x:v>
      </x:c>
      <x:c r="D10" s="576" t="str"/>
    </x:row>
    <x:row r="11">
      <x:c r="A11" s="576" t="str">
        <x:v>Swipe Destinations</x:v>
      </x:c>
      <x:c r="B11" s="576" t="str">
        <x:v>Tokyo ↔ Hakone ↔ Kyoto ↔ Osaka ↔ Nara</x:v>
      </x:c>
      <x:c r="C11" s="576" t="str">
        <x:v>Not Started</x:v>
      </x:c>
      <x:c r="D11" s="576" t="str"/>
    </x:row>
    <x:row r="12">
      <x:c r="A12" s="576" t="str">
        <x:v>Tap floating +</x:v>
      </x:c>
      <x:c r="B12" s="576" t="str">
        <x:v>Quick Actions sheet opens</x:v>
      </x:c>
      <x:c r="C12" s="576" t="str">
        <x:v>Not Started</x:v>
      </x:c>
      <x:c r="D12" s="576" t="str"/>
    </x:row>
    <x:row r="13">
      <x:c r="A13" s="576" t="str">
        <x:v>Open Osaka</x:v>
      </x:c>
      <x:c r="B13" s="576" t="str">
        <x:v>Two-day plan and Osaka-filtered content display</x:v>
      </x:c>
      <x:c r="C13" s="576" t="str">
        <x:v>Not Started</x:v>
      </x:c>
      <x:c r="D13" s="576" t="str"/>
    </x:row>
    <x:row r="14">
      <x:c r="A14" s="576" t="str">
        <x:v>Open Food</x:v>
      </x:c>
      <x:c r="B14" s="576" t="str">
        <x:v>Grouped submenu and all restaurants display</x:v>
      </x:c>
      <x:c r="C14" s="576" t="str">
        <x:v>Not Started</x:v>
      </x:c>
      <x:c r="D14" s="576" t="str"/>
    </x:row>
    <x:row r="15">
      <x:c r="A15" s="576" t="str">
        <x:v>Open Transit</x:v>
      </x:c>
      <x:c r="B15" s="576" t="str">
        <x:v>Suica, Shinkansen, subway, taxi, airport, luggage display</x:v>
      </x:c>
      <x:c r="C15" s="576" t="str">
        <x:v>Not Started</x:v>
      </x:c>
      <x:c r="D15" s="576" t="str"/>
    </x:row>
    <x:row r="16">
      <x:c r="A16" s="576" t="str">
        <x:v>Hilda test</x:v>
      </x:c>
      <x:c r="B16" s="576" t="str">
        <x:v>Hilda remains one tap from bottom bar</x:v>
      </x:c>
      <x:c r="C16" s="576" t="str">
        <x:v>Not Started</x:v>
      </x:c>
      <x:c r="D16" s="576" t="str"/>
    </x:row>
    <x:row r="17">
      <x:c r="A17" s="568"/>
      <x:c r="B17" s="568"/>
      <x:c r="C17" s="568"/>
      <x:c r="D17" s="568"/>
    </x:row>
    <x:row r="18">
      <x:c r="A18" s="568"/>
      <x:c r="B18" s="568"/>
      <x:c r="C18" s="568"/>
      <x:c r="D18" s="568"/>
    </x:row>
    <x:row r="19">
      <x:c r="A19" s="568"/>
      <x:c r="B19" s="568"/>
      <x:c r="C19" s="568"/>
      <x:c r="D19" s="568"/>
    </x:row>
    <x:row r="20">
      <x:c r="A20" s="568"/>
      <x:c r="B20" s="568"/>
      <x:c r="C20" s="568"/>
      <x:c r="D20" s="568"/>
    </x:row>
    <x:row r="21">
      <x:c r="A21" s="568"/>
      <x:c r="B21" s="568"/>
      <x:c r="C21" s="568"/>
      <x:c r="D21" s="568"/>
    </x:row>
    <x:row r="22">
      <x:c r="A22" s="568"/>
      <x:c r="B22" s="568"/>
      <x:c r="C22" s="568"/>
      <x:c r="D22" s="568"/>
    </x:row>
    <x:row r="23">
      <x:c r="A23" s="568"/>
      <x:c r="B23" s="568"/>
      <x:c r="C23" s="568"/>
      <x:c r="D23" s="568"/>
    </x:row>
    <x:row r="24">
      <x:c r="A24" s="568"/>
      <x:c r="B24" s="568"/>
      <x:c r="C24" s="568"/>
      <x:c r="D24" s="568"/>
    </x:row>
    <x:row r="25">
      <x:c r="A25" s="568"/>
      <x:c r="B25" s="568"/>
      <x:c r="C25" s="568"/>
      <x:c r="D25" s="568"/>
    </x:row>
    <x:row r="26">
      <x:c r="A26" s="568"/>
      <x:c r="B26" s="568"/>
      <x:c r="C26" s="568"/>
      <x:c r="D26" s="568"/>
    </x:row>
    <x:row r="27">
      <x:c r="A27" s="568"/>
      <x:c r="B27" s="568"/>
      <x:c r="C27" s="568"/>
      <x:c r="D27" s="568"/>
    </x:row>
    <x:row r="28">
      <x:c r="A28" s="568"/>
      <x:c r="B28" s="568"/>
      <x:c r="C28" s="568"/>
      <x:c r="D28" s="568"/>
    </x:row>
    <x:row r="29">
      <x:c r="A29" s="568"/>
      <x:c r="B29" s="568"/>
      <x:c r="C29" s="568"/>
      <x:c r="D29" s="568"/>
    </x:row>
    <x:row r="30">
      <x:c r="A30" s="568"/>
      <x:c r="B30" s="568"/>
      <x:c r="C30" s="568"/>
      <x:c r="D30" s="568"/>
    </x:row>
    <x:row r="31">
      <x:c r="A31" s="568"/>
      <x:c r="B31" s="568"/>
      <x:c r="C31" s="568"/>
      <x:c r="D31" s="568"/>
    </x:row>
    <x:row r="32">
      <x:c r="A32" s="568"/>
      <x:c r="B32" s="568"/>
      <x:c r="C32" s="568"/>
      <x:c r="D32" s="568"/>
    </x:row>
    <x:row r="33">
      <x:c r="A33" s="568"/>
      <x:c r="B33" s="568"/>
      <x:c r="C33" s="568"/>
      <x:c r="D33" s="568"/>
    </x:row>
    <x:row r="34">
      <x:c r="A34" s="568"/>
      <x:c r="B34" s="568"/>
      <x:c r="C34" s="568"/>
      <x:c r="D34" s="568"/>
    </x:row>
    <x:row r="35">
      <x:c r="A35" s="568"/>
      <x:c r="B35" s="568"/>
      <x:c r="C35" s="568"/>
      <x:c r="D35" s="568"/>
    </x:row>
    <x:row r="36">
      <x:c r="A36" s="568"/>
      <x:c r="B36" s="568"/>
      <x:c r="C36" s="568"/>
      <x:c r="D36" s="568"/>
    </x:row>
    <x:row r="37">
      <x:c r="A37" s="568"/>
      <x:c r="B37" s="568"/>
      <x:c r="C37" s="568"/>
      <x:c r="D37" s="568"/>
    </x:row>
    <x:row r="38">
      <x:c r="A38" s="568"/>
      <x:c r="B38" s="568"/>
      <x:c r="C38" s="568"/>
      <x:c r="D38" s="568"/>
    </x:row>
    <x:row r="39">
      <x:c r="A39" s="568"/>
      <x:c r="B39" s="568"/>
      <x:c r="C39" s="568"/>
      <x:c r="D39" s="568"/>
    </x:row>
    <x:row r="40">
      <x:c r="A40" s="568"/>
      <x:c r="B40" s="568"/>
      <x:c r="C40" s="568"/>
      <x:c r="D40" s="568"/>
    </x:row>
    <x:row r="41">
      <x:c r="A41" s="568"/>
      <x:c r="B41" s="568"/>
      <x:c r="C41" s="568"/>
      <x:c r="D41" s="568"/>
    </x:row>
    <x:row r="42">
      <x:c r="A42" s="568"/>
      <x:c r="B42" s="568"/>
      <x:c r="C42" s="568"/>
      <x:c r="D42" s="568"/>
    </x:row>
    <x:row r="43">
      <x:c r="A43" s="568"/>
      <x:c r="B43" s="568"/>
      <x:c r="C43" s="568"/>
      <x:c r="D43" s="568"/>
    </x:row>
    <x:row r="44">
      <x:c r="A44" s="568"/>
      <x:c r="B44" s="568"/>
      <x:c r="C44" s="568"/>
      <x:c r="D44" s="568"/>
    </x:row>
    <x:row r="45">
      <x:c r="A45" s="568"/>
      <x:c r="B45" s="568"/>
      <x:c r="C45" s="568"/>
      <x:c r="D45" s="568"/>
    </x:row>
    <x:row r="46">
      <x:c r="A46" s="568"/>
      <x:c r="B46" s="568"/>
      <x:c r="C46" s="568"/>
      <x:c r="D46" s="568"/>
    </x:row>
    <x:row r="47">
      <x:c r="A47" s="568"/>
      <x:c r="B47" s="568"/>
      <x:c r="C47" s="568"/>
      <x:c r="D47" s="568"/>
    </x:row>
    <x:row r="48">
      <x:c r="A48" s="568"/>
      <x:c r="B48" s="568"/>
      <x:c r="C48" s="568"/>
      <x:c r="D48" s="568"/>
    </x:row>
    <x:row r="49">
      <x:c r="A49" s="568"/>
      <x:c r="B49" s="568"/>
      <x:c r="C49" s="568"/>
      <x:c r="D49" s="568"/>
    </x:row>
    <x:row r="50">
      <x:c r="A50" s="568"/>
      <x:c r="B50" s="568"/>
      <x:c r="C50" s="568"/>
      <x:c r="D50" s="568"/>
    </x:row>
    <x:row r="51">
      <x:c r="A51" s="568"/>
      <x:c r="B51" s="568"/>
      <x:c r="C51" s="568"/>
      <x:c r="D51" s="568"/>
    </x:row>
    <x:row r="52">
      <x:c r="A52" s="568"/>
      <x:c r="B52" s="568"/>
      <x:c r="C52" s="568"/>
      <x:c r="D52" s="568"/>
    </x:row>
    <x:row r="53">
      <x:c r="A53" s="568"/>
      <x:c r="B53" s="568"/>
      <x:c r="C53" s="568"/>
      <x:c r="D53" s="568"/>
    </x:row>
    <x:row r="54">
      <x:c r="A54" s="568"/>
      <x:c r="B54" s="568"/>
      <x:c r="C54" s="568"/>
      <x:c r="D54" s="568"/>
    </x:row>
    <x:row r="55">
      <x:c r="A55" s="568"/>
      <x:c r="B55" s="568"/>
      <x:c r="C55" s="568"/>
      <x:c r="D55" s="568"/>
    </x:row>
    <x:row r="56">
      <x:c r="A56" s="568"/>
      <x:c r="B56" s="568"/>
      <x:c r="C56" s="568"/>
      <x:c r="D56" s="568"/>
    </x:row>
    <x:row r="57">
      <x:c r="A57" s="568"/>
      <x:c r="B57" s="568"/>
      <x:c r="C57" s="568"/>
      <x:c r="D57" s="568"/>
    </x:row>
    <x:row r="58">
      <x:c r="A58" s="568"/>
      <x:c r="B58" s="568"/>
      <x:c r="C58" s="568"/>
      <x:c r="D58" s="568"/>
    </x:row>
    <x:row r="59">
      <x:c r="A59" s="568"/>
      <x:c r="B59" s="568"/>
      <x:c r="C59" s="568"/>
      <x:c r="D59" s="568"/>
    </x:row>
    <x:row r="60">
      <x:c r="A60" s="568"/>
      <x:c r="B60" s="568"/>
      <x:c r="C60" s="568"/>
      <x:c r="D60" s="568"/>
    </x:row>
    <x:row r="61">
      <x:c r="A61" s="568"/>
      <x:c r="B61" s="568"/>
      <x:c r="C61" s="568"/>
      <x:c r="D61" s="568"/>
    </x:row>
    <x:row r="62">
      <x:c r="A62" s="568"/>
      <x:c r="B62" s="568"/>
      <x:c r="C62" s="568"/>
      <x:c r="D62" s="568"/>
    </x:row>
    <x:row r="63">
      <x:c r="A63" s="568"/>
      <x:c r="B63" s="568"/>
      <x:c r="C63" s="568"/>
      <x:c r="D63" s="568"/>
    </x:row>
    <x:row r="64">
      <x:c r="A64" s="568"/>
      <x:c r="B64" s="568"/>
      <x:c r="C64" s="568"/>
      <x:c r="D64" s="568"/>
    </x:row>
    <x:row r="65">
      <x:c r="A65" s="568"/>
      <x:c r="B65" s="568"/>
      <x:c r="C65" s="568"/>
      <x:c r="D65" s="568"/>
    </x:row>
    <x:row r="66">
      <x:c r="A66" s="568"/>
      <x:c r="B66" s="568"/>
      <x:c r="C66" s="568"/>
      <x:c r="D66" s="568"/>
    </x:row>
    <x:row r="67">
      <x:c r="A67" s="568"/>
      <x:c r="B67" s="568"/>
      <x:c r="C67" s="568"/>
      <x:c r="D67" s="568"/>
    </x:row>
    <x:row r="68">
      <x:c r="A68" s="568"/>
      <x:c r="B68" s="568"/>
      <x:c r="C68" s="568"/>
      <x:c r="D68" s="568"/>
    </x:row>
    <x:row r="69">
      <x:c r="A69" s="568"/>
      <x:c r="B69" s="568"/>
      <x:c r="C69" s="568"/>
      <x:c r="D69" s="568"/>
    </x:row>
    <x:row r="70">
      <x:c r="A70" s="568"/>
      <x:c r="B70" s="568"/>
      <x:c r="C70" s="568"/>
      <x:c r="D70" s="568"/>
    </x:row>
    <x:row r="71">
      <x:c r="A71" s="568"/>
      <x:c r="B71" s="568"/>
      <x:c r="C71" s="568"/>
      <x:c r="D71" s="568"/>
    </x:row>
    <x:row r="72">
      <x:c r="A72" s="568"/>
      <x:c r="B72" s="568"/>
      <x:c r="C72" s="568"/>
      <x:c r="D72" s="568"/>
    </x:row>
    <x:row r="73">
      <x:c r="A73" s="568"/>
      <x:c r="B73" s="568"/>
      <x:c r="C73" s="568"/>
      <x:c r="D73" s="568"/>
    </x:row>
    <x:row r="74">
      <x:c r="A74" s="568"/>
      <x:c r="B74" s="568"/>
      <x:c r="C74" s="568"/>
      <x:c r="D74" s="568"/>
    </x:row>
    <x:row r="75">
      <x:c r="A75" s="568"/>
      <x:c r="B75" s="568"/>
      <x:c r="C75" s="568"/>
      <x:c r="D75" s="568"/>
    </x:row>
    <x:row r="76">
      <x:c r="A76" s="568"/>
      <x:c r="B76" s="568"/>
      <x:c r="C76" s="568"/>
      <x:c r="D76" s="568"/>
    </x:row>
    <x:row r="77">
      <x:c r="A77" s="568"/>
      <x:c r="B77" s="568"/>
      <x:c r="C77" s="568"/>
      <x:c r="D77" s="568"/>
    </x:row>
    <x:row r="78">
      <x:c r="A78" s="568"/>
      <x:c r="B78" s="568"/>
      <x:c r="C78" s="568"/>
      <x:c r="D78" s="568"/>
    </x:row>
    <x:row r="79">
      <x:c r="A79" s="568"/>
      <x:c r="B79" s="568"/>
      <x:c r="C79" s="568"/>
      <x:c r="D79" s="568"/>
    </x:row>
    <x:row r="80">
      <x:c r="A80" s="568"/>
      <x:c r="B80" s="568"/>
      <x:c r="C80" s="568"/>
      <x:c r="D80" s="568"/>
    </x:row>
    <x:row r="81">
      <x:c r="A81" s="568"/>
      <x:c r="B81" s="568"/>
      <x:c r="C81" s="568"/>
      <x:c r="D81" s="568"/>
    </x:row>
    <x:row r="82">
      <x:c r="A82" s="568"/>
      <x:c r="B82" s="568"/>
      <x:c r="C82" s="568"/>
      <x:c r="D82" s="568"/>
    </x:row>
    <x:row r="83">
      <x:c r="A83" s="568"/>
      <x:c r="B83" s="568"/>
      <x:c r="C83" s="568"/>
      <x:c r="D83" s="568"/>
    </x:row>
    <x:row r="84">
      <x:c r="A84" s="568"/>
      <x:c r="B84" s="568"/>
      <x:c r="C84" s="568"/>
      <x:c r="D84" s="568"/>
    </x:row>
    <x:row r="85">
      <x:c r="A85" s="568"/>
      <x:c r="B85" s="568"/>
      <x:c r="C85" s="568"/>
      <x:c r="D85" s="568"/>
    </x:row>
    <x:row r="86">
      <x:c r="A86" s="568"/>
      <x:c r="B86" s="568"/>
      <x:c r="C86" s="568"/>
      <x:c r="D86" s="568"/>
    </x:row>
    <x:row r="87">
      <x:c r="A87" s="568"/>
      <x:c r="B87" s="568"/>
      <x:c r="C87" s="568"/>
      <x:c r="D87" s="568"/>
    </x:row>
    <x:row r="88">
      <x:c r="A88" s="568"/>
      <x:c r="B88" s="568"/>
      <x:c r="C88" s="568"/>
      <x:c r="D88" s="568"/>
    </x:row>
    <x:row r="89">
      <x:c r="A89" s="568"/>
      <x:c r="B89" s="568"/>
      <x:c r="C89" s="568"/>
      <x:c r="D89" s="568"/>
    </x:row>
    <x:row r="90">
      <x:c r="A90" s="568"/>
      <x:c r="B90" s="568"/>
      <x:c r="C90" s="568"/>
      <x:c r="D90" s="568"/>
    </x:row>
    <x:row r="91">
      <x:c r="A91" s="568"/>
      <x:c r="B91" s="568"/>
      <x:c r="C91" s="568"/>
      <x:c r="D91" s="568"/>
    </x:row>
    <x:row r="92">
      <x:c r="A92" s="568"/>
      <x:c r="B92" s="568"/>
      <x:c r="C92" s="568"/>
      <x:c r="D92" s="568"/>
    </x:row>
    <x:row r="93">
      <x:c r="A93" s="568"/>
      <x:c r="B93" s="568"/>
      <x:c r="C93" s="568"/>
      <x:c r="D93" s="568"/>
    </x:row>
    <x:row r="94">
      <x:c r="A94" s="568"/>
      <x:c r="B94" s="568"/>
      <x:c r="C94" s="568"/>
      <x:c r="D94" s="568"/>
    </x:row>
    <x:row r="95">
      <x:c r="A95" s="568"/>
      <x:c r="B95" s="568"/>
      <x:c r="C95" s="568"/>
      <x:c r="D95" s="568"/>
    </x:row>
    <x:row r="96">
      <x:c r="A96" s="568"/>
      <x:c r="B96" s="568"/>
      <x:c r="C96" s="568"/>
      <x:c r="D96" s="568"/>
    </x:row>
    <x:row r="97">
      <x:c r="A97" s="568"/>
      <x:c r="B97" s="568"/>
      <x:c r="C97" s="568"/>
      <x:c r="D97" s="568"/>
    </x:row>
    <x:row r="98">
      <x:c r="A98" s="568"/>
      <x:c r="B98" s="568"/>
      <x:c r="C98" s="568"/>
      <x:c r="D98" s="568"/>
    </x:row>
    <x:row r="99">
      <x:c r="A99" s="568"/>
      <x:c r="B99" s="568"/>
      <x:c r="C99" s="568"/>
      <x:c r="D99" s="568"/>
    </x:row>
    <x:row r="100">
      <x:c r="A100" s="568"/>
      <x:c r="B100" s="568"/>
      <x:c r="C100" s="568"/>
      <x:c r="D100" s="568"/>
    </x:row>
    <x:row r="101">
      <x:c r="A101" s="568"/>
      <x:c r="B101" s="568"/>
      <x:c r="C101" s="568"/>
      <x:c r="D101" s="568"/>
    </x:row>
    <x:row r="102">
      <x:c r="A102" s="568"/>
      <x:c r="B102" s="568"/>
      <x:c r="C102" s="568"/>
      <x:c r="D102" s="568"/>
    </x:row>
    <x:row r="103">
      <x:c r="A103" s="568"/>
      <x:c r="B103" s="568"/>
      <x:c r="C103" s="568"/>
      <x:c r="D103" s="568"/>
    </x:row>
    <x:row r="104">
      <x:c r="A104" s="568"/>
      <x:c r="B104" s="568"/>
      <x:c r="C104" s="568"/>
      <x:c r="D104" s="568"/>
    </x:row>
    <x:row r="105">
      <x:c r="A105" s="568"/>
      <x:c r="B105" s="568"/>
      <x:c r="C105" s="568"/>
      <x:c r="D105" s="568"/>
    </x:row>
    <x:row r="106">
      <x:c r="A106" s="568"/>
      <x:c r="B106" s="568"/>
      <x:c r="C106" s="568"/>
      <x:c r="D106" s="568"/>
    </x:row>
    <x:row r="107">
      <x:c r="A107" s="568"/>
      <x:c r="B107" s="568"/>
      <x:c r="C107" s="568"/>
      <x:c r="D107" s="568"/>
    </x:row>
    <x:row r="108">
      <x:c r="A108" s="568"/>
      <x:c r="B108" s="568"/>
      <x:c r="C108" s="568"/>
      <x:c r="D108" s="568"/>
    </x:row>
    <x:row r="109">
      <x:c r="A109" s="568"/>
      <x:c r="B109" s="568"/>
      <x:c r="C109" s="568"/>
      <x:c r="D109" s="568"/>
    </x:row>
    <x:row r="110">
      <x:c r="A110" s="568"/>
      <x:c r="B110" s="568"/>
      <x:c r="C110" s="568"/>
      <x:c r="D110" s="568"/>
    </x:row>
    <x:row r="111">
      <x:c r="A111" s="568"/>
      <x:c r="B111" s="568"/>
      <x:c r="C111" s="568"/>
      <x:c r="D111" s="568"/>
    </x:row>
    <x:row r="112">
      <x:c r="A112" s="568"/>
      <x:c r="B112" s="568"/>
      <x:c r="C112" s="568"/>
      <x:c r="D112" s="568"/>
    </x:row>
    <x:row r="113">
      <x:c r="A113" s="568"/>
      <x:c r="B113" s="568"/>
      <x:c r="C113" s="568"/>
      <x:c r="D113" s="568"/>
    </x:row>
    <x:row r="114">
      <x:c r="A114" s="568"/>
      <x:c r="B114" s="568"/>
      <x:c r="C114" s="568"/>
      <x:c r="D114" s="568"/>
    </x:row>
    <x:row r="115">
      <x:c r="A115" s="568"/>
      <x:c r="B115" s="568"/>
      <x:c r="C115" s="568"/>
      <x:c r="D115" s="568"/>
    </x:row>
    <x:row r="116">
      <x:c r="A116" s="568"/>
      <x:c r="B116" s="568"/>
      <x:c r="C116" s="568"/>
      <x:c r="D116" s="568"/>
    </x:row>
    <x:row r="117">
      <x:c r="A117" s="568"/>
      <x:c r="B117" s="568"/>
      <x:c r="C117" s="568"/>
      <x:c r="D117" s="568"/>
    </x:row>
    <x:row r="118">
      <x:c r="A118" s="568"/>
      <x:c r="B118" s="568"/>
      <x:c r="C118" s="568"/>
      <x:c r="D118" s="568"/>
    </x:row>
    <x:row r="119">
      <x:c r="A119" s="568"/>
      <x:c r="B119" s="568"/>
      <x:c r="C119" s="568"/>
      <x:c r="D119" s="568"/>
    </x:row>
    <x:row r="120">
      <x:c r="A120" s="568"/>
      <x:c r="B120" s="568"/>
      <x:c r="C120" s="568"/>
      <x:c r="D120" s="568"/>
    </x:row>
    <x:row r="121">
      <x:c r="A121" s="568"/>
      <x:c r="B121" s="568"/>
      <x:c r="C121" s="568"/>
      <x:c r="D121" s="568"/>
    </x:row>
    <x:row r="122">
      <x:c r="A122" s="568"/>
      <x:c r="B122" s="568"/>
      <x:c r="C122" s="568"/>
      <x:c r="D122" s="568"/>
    </x:row>
    <x:row r="123">
      <x:c r="A123" s="568"/>
      <x:c r="B123" s="568"/>
      <x:c r="C123" s="568"/>
      <x:c r="D123" s="568"/>
    </x:row>
    <x:row r="124">
      <x:c r="A124" s="568"/>
      <x:c r="B124" s="568"/>
      <x:c r="C124" s="568"/>
      <x:c r="D124" s="568"/>
    </x:row>
    <x:row r="125">
      <x:c r="A125" s="568"/>
      <x:c r="B125" s="568"/>
      <x:c r="C125" s="568"/>
      <x:c r="D125" s="568"/>
    </x:row>
    <x:row r="126">
      <x:c r="A126" s="568"/>
      <x:c r="B126" s="568"/>
      <x:c r="C126" s="568"/>
      <x:c r="D126" s="568"/>
    </x:row>
    <x:row r="127">
      <x:c r="A127" s="568"/>
      <x:c r="B127" s="568"/>
      <x:c r="C127" s="568"/>
      <x:c r="D127" s="568"/>
    </x:row>
    <x:row r="128">
      <x:c r="A128" s="568"/>
      <x:c r="B128" s="568"/>
      <x:c r="C128" s="568"/>
      <x:c r="D128" s="568"/>
    </x:row>
    <x:row r="129">
      <x:c r="A129" s="568"/>
      <x:c r="B129" s="568"/>
      <x:c r="C129" s="568"/>
      <x:c r="D129" s="568"/>
    </x:row>
    <x:row r="130">
      <x:c r="A130" s="568"/>
      <x:c r="B130" s="568"/>
      <x:c r="C130" s="568"/>
      <x:c r="D130" s="568"/>
    </x:row>
    <x:row r="131">
      <x:c r="A131" s="568"/>
      <x:c r="B131" s="568"/>
      <x:c r="C131" s="568"/>
      <x:c r="D131" s="568"/>
    </x:row>
    <x:row r="132">
      <x:c r="A132" s="568"/>
      <x:c r="B132" s="568"/>
      <x:c r="C132" s="568"/>
      <x:c r="D132" s="568"/>
    </x:row>
    <x:row r="133">
      <x:c r="A133" s="568"/>
      <x:c r="B133" s="568"/>
      <x:c r="C133" s="568"/>
      <x:c r="D133" s="568"/>
    </x:row>
    <x:row r="134">
      <x:c r="A134" s="568"/>
      <x:c r="B134" s="568"/>
      <x:c r="C134" s="568"/>
      <x:c r="D134" s="568"/>
    </x:row>
    <x:row r="135">
      <x:c r="A135" s="568"/>
      <x:c r="B135" s="568"/>
      <x:c r="C135" s="568"/>
      <x:c r="D135" s="568"/>
    </x:row>
    <x:row r="136">
      <x:c r="A136" s="568"/>
      <x:c r="B136" s="568"/>
      <x:c r="C136" s="568"/>
      <x:c r="D136" s="568"/>
    </x:row>
    <x:row r="137">
      <x:c r="A137" s="568"/>
      <x:c r="B137" s="568"/>
      <x:c r="C137" s="568"/>
      <x:c r="D137" s="568"/>
    </x:row>
    <x:row r="138">
      <x:c r="A138" s="568"/>
      <x:c r="B138" s="568"/>
      <x:c r="C138" s="568"/>
      <x:c r="D138" s="568"/>
    </x:row>
    <x:row r="139">
      <x:c r="A139" s="568"/>
      <x:c r="B139" s="568"/>
      <x:c r="C139" s="568"/>
      <x:c r="D139" s="568"/>
    </x:row>
    <x:row r="140">
      <x:c r="A140" s="568"/>
      <x:c r="B140" s="568"/>
      <x:c r="C140" s="568"/>
      <x:c r="D140" s="568"/>
    </x:row>
    <x:row r="141">
      <x:c r="A141" s="568"/>
      <x:c r="B141" s="568"/>
      <x:c r="C141" s="568"/>
      <x:c r="D141" s="568"/>
    </x:row>
    <x:row r="142">
      <x:c r="A142" s="568"/>
      <x:c r="B142" s="568"/>
      <x:c r="C142" s="568"/>
      <x:c r="D142" s="568"/>
    </x:row>
    <x:row r="143">
      <x:c r="A143" s="568"/>
      <x:c r="B143" s="568"/>
      <x:c r="C143" s="568"/>
      <x:c r="D143" s="568"/>
    </x:row>
    <x:row r="144">
      <x:c r="A144" s="568"/>
      <x:c r="B144" s="568"/>
      <x:c r="C144" s="568"/>
      <x:c r="D144" s="568"/>
    </x:row>
    <x:row r="145">
      <x:c r="A145" s="568"/>
      <x:c r="B145" s="568"/>
      <x:c r="C145" s="568"/>
      <x:c r="D145" s="568"/>
    </x:row>
    <x:row r="146">
      <x:c r="A146" s="568"/>
      <x:c r="B146" s="568"/>
      <x:c r="C146" s="568"/>
      <x:c r="D146" s="568"/>
    </x:row>
    <x:row r="147">
      <x:c r="A147" s="568"/>
      <x:c r="B147" s="568"/>
      <x:c r="C147" s="568"/>
      <x:c r="D147" s="568"/>
    </x:row>
    <x:row r="148">
      <x:c r="A148" s="568"/>
      <x:c r="B148" s="568"/>
      <x:c r="C148" s="568"/>
      <x:c r="D148" s="568"/>
    </x:row>
    <x:row r="149">
      <x:c r="A149" s="568"/>
      <x:c r="B149" s="568"/>
      <x:c r="C149" s="568"/>
      <x:c r="D149" s="568"/>
    </x:row>
    <x:row r="150">
      <x:c r="A150" s="568"/>
      <x:c r="B150" s="568"/>
      <x:c r="C150" s="568"/>
      <x:c r="D150" s="568"/>
    </x:row>
    <x:row r="151">
      <x:c r="A151" s="568"/>
      <x:c r="B151" s="568"/>
      <x:c r="C151" s="568"/>
      <x:c r="D151" s="568"/>
    </x:row>
    <x:row r="152">
      <x:c r="A152" s="568"/>
      <x:c r="B152" s="568"/>
      <x:c r="C152" s="568"/>
      <x:c r="D152" s="568"/>
    </x:row>
    <x:row r="153">
      <x:c r="A153" s="568"/>
      <x:c r="B153" s="568"/>
      <x:c r="C153" s="568"/>
      <x:c r="D153" s="568"/>
    </x:row>
    <x:row r="154">
      <x:c r="A154" s="568"/>
      <x:c r="B154" s="568"/>
      <x:c r="C154" s="568"/>
      <x:c r="D154" s="568"/>
    </x:row>
    <x:row r="155">
      <x:c r="A155" s="568"/>
      <x:c r="B155" s="568"/>
      <x:c r="C155" s="568"/>
      <x:c r="D155" s="568"/>
    </x:row>
    <x:row r="156">
      <x:c r="A156" s="568"/>
      <x:c r="B156" s="568"/>
      <x:c r="C156" s="568"/>
      <x:c r="D156" s="568"/>
    </x:row>
    <x:row r="157">
      <x:c r="A157" s="568"/>
      <x:c r="B157" s="568"/>
      <x:c r="C157" s="568"/>
      <x:c r="D157" s="568"/>
    </x:row>
    <x:row r="158">
      <x:c r="A158" s="568"/>
      <x:c r="B158" s="568"/>
      <x:c r="C158" s="568"/>
      <x:c r="D158" s="568"/>
    </x:row>
    <x:row r="159">
      <x:c r="A159" s="568"/>
      <x:c r="B159" s="568"/>
      <x:c r="C159" s="568"/>
      <x:c r="D159" s="568"/>
    </x:row>
    <x:row r="160">
      <x:c r="A160" s="568"/>
      <x:c r="B160" s="568"/>
      <x:c r="C160" s="568"/>
      <x:c r="D160" s="568"/>
    </x:row>
    <x:row r="161">
      <x:c r="A161" s="568"/>
      <x:c r="B161" s="568"/>
      <x:c r="C161" s="568"/>
      <x:c r="D161" s="568"/>
    </x:row>
    <x:row r="162">
      <x:c r="A162" s="568"/>
      <x:c r="B162" s="568"/>
      <x:c r="C162" s="568"/>
      <x:c r="D162" s="568"/>
    </x:row>
    <x:row r="163">
      <x:c r="A163" s="568"/>
      <x:c r="B163" s="568"/>
      <x:c r="C163" s="568"/>
      <x:c r="D163" s="568"/>
    </x:row>
    <x:row r="164">
      <x:c r="A164" s="568"/>
      <x:c r="B164" s="568"/>
      <x:c r="C164" s="568"/>
      <x:c r="D164" s="568"/>
    </x:row>
    <x:row r="165">
      <x:c r="A165" s="568"/>
      <x:c r="B165" s="568"/>
      <x:c r="C165" s="568"/>
      <x:c r="D165" s="568"/>
    </x:row>
    <x:row r="166">
      <x:c r="A166" s="568"/>
      <x:c r="B166" s="568"/>
      <x:c r="C166" s="568"/>
      <x:c r="D166" s="568"/>
    </x:row>
    <x:row r="167">
      <x:c r="A167" s="568"/>
      <x:c r="B167" s="568"/>
      <x:c r="C167" s="568"/>
      <x:c r="D167" s="568"/>
    </x:row>
    <x:row r="168">
      <x:c r="A168" s="568"/>
      <x:c r="B168" s="568"/>
      <x:c r="C168" s="568"/>
      <x:c r="D168" s="568"/>
    </x:row>
    <x:row r="169">
      <x:c r="A169" s="568"/>
      <x:c r="B169" s="568"/>
      <x:c r="C169" s="568"/>
      <x:c r="D169" s="568"/>
    </x:row>
    <x:row r="170">
      <x:c r="A170" s="568"/>
      <x:c r="B170" s="568"/>
      <x:c r="C170" s="568"/>
      <x:c r="D170" s="568"/>
    </x:row>
    <x:row r="171">
      <x:c r="A171" s="568"/>
      <x:c r="B171" s="568"/>
      <x:c r="C171" s="568"/>
      <x:c r="D171" s="568"/>
    </x:row>
    <x:row r="172">
      <x:c r="A172" s="568"/>
      <x:c r="B172" s="568"/>
      <x:c r="C172" s="568"/>
      <x:c r="D172" s="568"/>
    </x:row>
    <x:row r="173">
      <x:c r="A173" s="568"/>
      <x:c r="B173" s="568"/>
      <x:c r="C173" s="568"/>
      <x:c r="D173" s="568"/>
    </x:row>
    <x:row r="174">
      <x:c r="A174" s="568"/>
      <x:c r="B174" s="568"/>
      <x:c r="C174" s="568"/>
      <x:c r="D174" s="568"/>
    </x:row>
    <x:row r="175">
      <x:c r="A175" s="568"/>
      <x:c r="B175" s="568"/>
      <x:c r="C175" s="568"/>
      <x:c r="D175" s="568"/>
    </x:row>
    <x:row r="176">
      <x:c r="A176" s="568"/>
      <x:c r="B176" s="568"/>
      <x:c r="C176" s="568"/>
      <x:c r="D176" s="568"/>
    </x:row>
    <x:row r="177">
      <x:c r="A177" s="568"/>
      <x:c r="B177" s="568"/>
      <x:c r="C177" s="568"/>
      <x:c r="D177" s="568"/>
    </x:row>
    <x:row r="178">
      <x:c r="A178" s="568"/>
      <x:c r="B178" s="568"/>
      <x:c r="C178" s="568"/>
      <x:c r="D178" s="568"/>
    </x:row>
    <x:row r="179">
      <x:c r="A179" s="568"/>
      <x:c r="B179" s="568"/>
      <x:c r="C179" s="568"/>
      <x:c r="D179" s="568"/>
    </x:row>
    <x:row r="180">
      <x:c r="A180" s="568"/>
      <x:c r="B180" s="568"/>
      <x:c r="C180" s="568"/>
      <x:c r="D180" s="568"/>
    </x:row>
    <x:row r="181">
      <x:c r="A181" s="568"/>
      <x:c r="B181" s="568"/>
      <x:c r="C181" s="568"/>
      <x:c r="D181" s="568"/>
    </x:row>
    <x:row r="182">
      <x:c r="A182" s="568"/>
      <x:c r="B182" s="568"/>
      <x:c r="C182" s="568"/>
      <x:c r="D182" s="568"/>
    </x:row>
    <x:row r="183">
      <x:c r="A183" s="568"/>
      <x:c r="B183" s="568"/>
      <x:c r="C183" s="568"/>
      <x:c r="D183" s="568"/>
    </x:row>
    <x:row r="184">
      <x:c r="A184" s="568"/>
      <x:c r="B184" s="568"/>
      <x:c r="C184" s="568"/>
      <x:c r="D184" s="568"/>
    </x:row>
    <x:row r="185">
      <x:c r="A185" s="568"/>
      <x:c r="B185" s="568"/>
      <x:c r="C185" s="568"/>
      <x:c r="D185" s="568"/>
    </x:row>
    <x:row r="186">
      <x:c r="A186" s="568"/>
      <x:c r="B186" s="568"/>
      <x:c r="C186" s="568"/>
      <x:c r="D186" s="568"/>
    </x:row>
    <x:row r="187">
      <x:c r="A187" s="568"/>
      <x:c r="B187" s="568"/>
      <x:c r="C187" s="568"/>
      <x:c r="D187" s="568"/>
    </x:row>
    <x:row r="188">
      <x:c r="A188" s="568"/>
      <x:c r="B188" s="568"/>
      <x:c r="C188" s="568"/>
      <x:c r="D188" s="568"/>
    </x:row>
    <x:row r="189">
      <x:c r="A189" s="568"/>
      <x:c r="B189" s="568"/>
      <x:c r="C189" s="568"/>
      <x:c r="D189" s="568"/>
    </x:row>
    <x:row r="190">
      <x:c r="A190" s="568"/>
      <x:c r="B190" s="568"/>
      <x:c r="C190" s="568"/>
      <x:c r="D190" s="568"/>
    </x:row>
    <x:row r="191">
      <x:c r="A191" s="568"/>
      <x:c r="B191" s="568"/>
      <x:c r="C191" s="568"/>
      <x:c r="D191" s="568"/>
    </x:row>
    <x:row r="192">
      <x:c r="A192" s="568"/>
      <x:c r="B192" s="568"/>
      <x:c r="C192" s="568"/>
      <x:c r="D192" s="568"/>
    </x:row>
    <x:row r="193">
      <x:c r="A193" s="568"/>
      <x:c r="B193" s="568"/>
      <x:c r="C193" s="568"/>
      <x:c r="D193" s="568"/>
    </x:row>
    <x:row r="194">
      <x:c r="A194" s="568"/>
      <x:c r="B194" s="568"/>
      <x:c r="C194" s="568"/>
      <x:c r="D194" s="568"/>
    </x:row>
    <x:row r="195">
      <x:c r="A195" s="568"/>
      <x:c r="B195" s="568"/>
      <x:c r="C195" s="568"/>
      <x:c r="D195" s="568"/>
    </x:row>
    <x:row r="196">
      <x:c r="A196" s="568"/>
      <x:c r="B196" s="568"/>
      <x:c r="C196" s="568"/>
      <x:c r="D196" s="568"/>
    </x:row>
    <x:row r="197">
      <x:c r="A197" s="568"/>
      <x:c r="B197" s="568"/>
      <x:c r="C197" s="568"/>
      <x:c r="D197" s="568"/>
    </x:row>
    <x:row r="198">
      <x:c r="A198" s="568"/>
      <x:c r="B198" s="568"/>
      <x:c r="C198" s="568"/>
      <x:c r="D198" s="568"/>
    </x:row>
    <x:row r="199">
      <x:c r="A199" s="568"/>
      <x:c r="B199" s="568"/>
      <x:c r="C199" s="568"/>
      <x:c r="D199" s="568"/>
    </x:row>
    <x:row r="200">
      <x:c r="A200" s="568"/>
      <x:c r="B200" s="568"/>
      <x:c r="C200" s="568"/>
      <x:c r="D200" s="568"/>
    </x:row>
    <x:row r="201">
      <x:c r="A201" s="568"/>
      <x:c r="B201" s="568"/>
      <x:c r="C201" s="568"/>
      <x:c r="D201" s="568"/>
    </x:row>
    <x:row r="202">
      <x:c r="A202" s="568"/>
      <x:c r="B202" s="568"/>
      <x:c r="C202" s="568"/>
      <x:c r="D202" s="568"/>
    </x:row>
    <x:row r="203">
      <x:c r="A203" s="568"/>
      <x:c r="B203" s="568"/>
      <x:c r="C203" s="568"/>
      <x:c r="D203" s="568"/>
    </x:row>
    <x:row r="204">
      <x:c r="A204" s="568"/>
      <x:c r="B204" s="568"/>
      <x:c r="C204" s="568"/>
      <x:c r="D204" s="568"/>
    </x:row>
    <x:row r="205">
      <x:c r="A205" s="568"/>
      <x:c r="B205" s="568"/>
      <x:c r="C205" s="568"/>
      <x:c r="D205" s="568"/>
    </x:row>
    <x:row r="206">
      <x:c r="A206" s="568"/>
      <x:c r="B206" s="568"/>
      <x:c r="C206" s="568"/>
      <x:c r="D206" s="568"/>
    </x:row>
    <x:row r="207">
      <x:c r="A207" s="568"/>
      <x:c r="B207" s="568"/>
      <x:c r="C207" s="568"/>
      <x:c r="D207" s="568"/>
    </x:row>
    <x:row r="208">
      <x:c r="A208" s="568"/>
      <x:c r="B208" s="568"/>
      <x:c r="C208" s="568"/>
      <x:c r="D208" s="568"/>
    </x:row>
    <x:row r="209">
      <x:c r="A209" s="568"/>
      <x:c r="B209" s="568"/>
      <x:c r="C209" s="568"/>
      <x:c r="D209" s="568"/>
    </x:row>
    <x:row r="210">
      <x:c r="A210" s="568"/>
      <x:c r="B210" s="568"/>
      <x:c r="C210" s="568"/>
      <x:c r="D210" s="568"/>
    </x:row>
    <x:row r="211">
      <x:c r="A211" s="568"/>
      <x:c r="B211" s="568"/>
      <x:c r="C211" s="568"/>
      <x:c r="D211" s="568"/>
    </x:row>
    <x:row r="212">
      <x:c r="A212" s="568"/>
      <x:c r="B212" s="568"/>
      <x:c r="C212" s="568"/>
      <x:c r="D212" s="568"/>
    </x:row>
    <x:row r="213">
      <x:c r="A213" s="568"/>
      <x:c r="B213" s="568"/>
      <x:c r="C213" s="568"/>
      <x:c r="D213" s="568"/>
    </x:row>
    <x:row r="214">
      <x:c r="A214" s="568"/>
      <x:c r="B214" s="568"/>
      <x:c r="C214" s="568"/>
      <x:c r="D214" s="568"/>
    </x:row>
    <x:row r="215">
      <x:c r="A215" s="568"/>
      <x:c r="B215" s="568"/>
      <x:c r="C215" s="568"/>
      <x:c r="D215" s="568"/>
    </x:row>
    <x:row r="216">
      <x:c r="A216" s="568"/>
      <x:c r="B216" s="568"/>
      <x:c r="C216" s="568"/>
      <x:c r="D216" s="568"/>
    </x:row>
    <x:row r="217">
      <x:c r="A217" s="568"/>
      <x:c r="B217" s="568"/>
      <x:c r="C217" s="568"/>
      <x:c r="D217" s="568"/>
    </x:row>
    <x:row r="218">
      <x:c r="A218" s="568"/>
      <x:c r="B218" s="568"/>
      <x:c r="C218" s="568"/>
      <x:c r="D218" s="568"/>
    </x:row>
    <x:row r="219">
      <x:c r="A219" s="568"/>
      <x:c r="B219" s="568"/>
      <x:c r="C219" s="568"/>
      <x:c r="D219" s="568"/>
    </x:row>
    <x:row r="220">
      <x:c r="A220" s="568"/>
      <x:c r="B220" s="568"/>
      <x:c r="C220" s="568"/>
      <x:c r="D220" s="568"/>
    </x:row>
  </x:sheetData>
  <x:mergeCells>
    <x:mergeCell ref="A3:D3"/>
  </x:mergeCells>
  <x:dataValidations count="1">
    <x:dataValidation type="list" sqref="C6:C220">
      <x:formula1>"Not Started,In Progress,Pass,Fail,Blocked"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25" hidden="0" customWidth="1"/>
    <x:col min="5" max="5" width="28" hidden="0" customWidth="1"/>
    <x:col min="6" max="6" width="25" hidden="0" customWidth="1"/>
    <x:col min="7" max="7" width="18" hidden="0" customWidth="1"/>
    <x:col min="8" max="8" width="22" hidden="0" customWidth="1"/>
    <x:col min="9" max="9" width="12" hidden="0" customWidth="1"/>
    <x:col min="10" max="10" width="32" hidden="0" customWidth="1"/>
  </x:cols>
  <x:sheetData>
    <x:row r="1">
      <x:c r="A1" s="591" t="str">
        <x:v>🗓 Current Route · Oct 26–Nov 11, 2026</x:v>
      </x:c>
      <x:c r="B1" s="591"/>
      <x:c r="C1" s="591"/>
      <x:c r="D1" s="591"/>
      <x:c r="E1" s="591"/>
      <x:c r="F1" s="591"/>
      <x:c r="G1" s="591"/>
      <x:c r="H1" s="591"/>
      <x:c r="I1" s="591"/>
      <x:c r="J1" s="591"/>
    </x:row>
    <x:row r="2">
      <x:c r="A2" s="583"/>
      <x:c r="B2" s="583"/>
      <x:c r="C2" s="583"/>
      <x:c r="D2" s="583"/>
      <x:c r="E2" s="583"/>
      <x:c r="F2" s="583"/>
      <x:c r="G2" s="583"/>
      <x:c r="H2" s="583"/>
      <x:c r="I2" s="583"/>
      <x:c r="J2" s="583"/>
    </x:row>
    <x:row r="3">
      <x:c r="A3" s="626" t="str">
        <x:v>Day</x:v>
      </x:c>
      <x:c r="B3" s="626" t="str">
        <x:v>Date</x:v>
      </x:c>
      <x:c r="C3" s="626" t="str">
        <x:v>City</x:v>
      </x:c>
      <x:c r="D3" s="626" t="str">
        <x:v>Morning</x:v>
      </x:c>
      <x:c r="E3" s="626" t="str">
        <x:v>Afternoon</x:v>
      </x:c>
      <x:c r="F3" s="626" t="str">
        <x:v>Evening</x:v>
      </x:c>
      <x:c r="G3" s="626" t="str">
        <x:v>Hotel</x:v>
      </x:c>
      <x:c r="H3" s="626" t="str">
        <x:v>Theme</x:v>
      </x:c>
      <x:c r="I3" s="626" t="str">
        <x:v>Energy</x:v>
      </x:c>
      <x:c r="J3" s="626" t="str">
        <x:v>Notes</x:v>
      </x:c>
    </x:row>
    <x:row r="4">
      <x:c r="A4" s="278" t="str">
        <x:v>Travel</x:v>
      </x:c>
      <x:c r="B4" s="381" t="n">
        <x:v>46321</x:v>
      </x:c>
      <x:c r="C4" s="278" t="str">
        <x:v>USA / Flight</x:v>
      </x:c>
      <x:c r="D4" s="278" t="str">
        <x:v>Depart USA</x:v>
      </x:c>
      <x:c r="E4" s="278" t="str">
        <x:v>JAL flights from LAX + BOS</x:v>
      </x:c>
      <x:c r="F4" s="278" t="str">
        <x:v>In flight</x:v>
      </x:c>
      <x:c r="G4" s="278" t="str">
        <x:v>Flight</x:v>
      </x:c>
      <x:c r="H4" s="278" t="str">
        <x:v>🔵 Travel</x:v>
      </x:c>
      <x:c r="I4" s="278" t="str">
        <x:v>Easy</x:v>
      </x:c>
      <x:c r="J4" s="278" t="str">
        <x:v>Travel day; not counted</x:v>
      </x:c>
    </x:row>
    <x:row r="5">
      <x:c r="A5" s="286" t="str">
        <x:v>Arrival</x:v>
      </x:c>
      <x:c r="B5" s="627" t="n">
        <x:v>46322</x:v>
      </x:c>
      <x:c r="C5" s="286" t="str">
        <x:v>Tokyo</x:v>
      </x:c>
      <x:c r="D5" s="286" t="str">
        <x:v>Arrive Narita</x:v>
      </x:c>
      <x:c r="E5" s="286" t="str">
        <x:v>Narita Express / taxi to Akasaka</x:v>
      </x:c>
      <x:c r="F5" s="286" t="str">
        <x:v>Easy dinner + sleep</x:v>
      </x:c>
      <x:c r="G5" s="286" t="str">
        <x:v>Akasaka</x:v>
      </x:c>
      <x:c r="H5" s="286" t="str">
        <x:v>🟢 Arrival</x:v>
      </x:c>
      <x:c r="I5" s="286" t="str">
        <x:v>Easy</x:v>
      </x:c>
      <x:c r="J5" s="286" t="str">
        <x:v>Do not schedule major sightseeing</x:v>
      </x:c>
    </x:row>
    <x:row r="6">
      <x:c r="A6" s="282" t="n">
        <x:v>1</x:v>
      </x:c>
      <x:c r="B6" s="380" t="n">
        <x:v>46323</x:v>
      </x:c>
      <x:c r="C6" s="282" t="str">
        <x:v>Tokyo</x:v>
      </x:c>
      <x:c r="D6" s="282" t="str">
        <x:v>Akasaka orientation</x:v>
      </x:c>
      <x:c r="E6" s="282" t="str">
        <x:v>Hie Shrine + nearby cafés</x:v>
      </x:c>
      <x:c r="F6" s="282" t="str">
        <x:v>Welcome dinner</x:v>
      </x:c>
      <x:c r="G6" s="282" t="str">
        <x:v>Akasaka</x:v>
      </x:c>
      <x:c r="H6" s="282" t="str">
        <x:v>🟢 Soft Start</x:v>
      </x:c>
      <x:c r="I6" s="282" t="str">
        <x:v>Easy</x:v>
      </x:c>
      <x:c r="J6" s="282" t="str">
        <x:v>Recover from flight</x:v>
      </x:c>
    </x:row>
    <x:row r="7">
      <x:c r="A7" s="282" t="n">
        <x:v>2</x:v>
      </x:c>
      <x:c r="B7" s="380" t="n">
        <x:v>46324</x:v>
      </x:c>
      <x:c r="C7" s="282" t="str">
        <x:v>Tokyo</x:v>
      </x:c>
      <x:c r="D7" s="282" t="str">
        <x:v>Asakusa + Senso-ji</x:v>
      </x:c>
      <x:c r="E7" s="282" t="str">
        <x:v>Ueno / Ameyoko</x:v>
      </x:c>
      <x:c r="F7" s="282" t="str">
        <x:v>Dinner near hotel</x:v>
      </x:c>
      <x:c r="G7" s="282" t="str">
        <x:v>Akasaka</x:v>
      </x:c>
      <x:c r="H7" s="282" t="str">
        <x:v>🔵 Classic Tokyo</x:v>
      </x:c>
      <x:c r="I7" s="282" t="str">
        <x:v>Moderate</x:v>
      </x:c>
      <x:c r="J7" s="282" t="str">
        <x:v>Traditional Tokyo + markets</x:v>
      </x:c>
    </x:row>
    <x:row r="8">
      <x:c r="A8" s="282" t="n">
        <x:v>3</x:v>
      </x:c>
      <x:c r="B8" s="380" t="n">
        <x:v>46325</x:v>
      </x:c>
      <x:c r="C8" s="282" t="str">
        <x:v>Tokyo</x:v>
      </x:c>
      <x:c r="D8" s="282" t="str">
        <x:v>Meiji Shrine</x:v>
      </x:c>
      <x:c r="E8" s="282" t="str">
        <x:v>Harajuku / Omotesando</x:v>
      </x:c>
      <x:c r="F8" s="282" t="str">
        <x:v>Shibuya Sky if booked</x:v>
      </x:c>
      <x:c r="G8" s="282" t="str">
        <x:v>Akasaka</x:v>
      </x:c>
      <x:c r="H8" s="282" t="str">
        <x:v>🟡 Modern Tokyo</x:v>
      </x:c>
      <x:c r="I8" s="282" t="str">
        <x:v>Moderate</x:v>
      </x:c>
      <x:c r="J8" s="282" t="str">
        <x:v>Sunset reservation if possible</x:v>
      </x:c>
    </x:row>
    <x:row r="9">
      <x:c r="A9" s="282" t="n">
        <x:v>4</x:v>
      </x:c>
      <x:c r="B9" s="380" t="n">
        <x:v>46326</x:v>
      </x:c>
      <x:c r="C9" s="282" t="str">
        <x:v>Tokyo</x:v>
      </x:c>
      <x:c r="D9" s="282" t="str">
        <x:v>Ginza / Tokyo Station</x:v>
      </x:c>
      <x:c r="E9" s="282" t="str">
        <x:v>teamLab or Odaiba</x:v>
      </x:c>
      <x:c r="F9" s="282" t="str">
        <x:v>Halloween evening kept flexible</x:v>
      </x:c>
      <x:c r="G9" s="282" t="str">
        <x:v>Akasaka</x:v>
      </x:c>
      <x:c r="H9" s="282" t="str">
        <x:v>🟣 Tokyo Highlights</x:v>
      </x:c>
      <x:c r="I9" s="282" t="str">
        <x:v>Moderate</x:v>
      </x:c>
      <x:c r="J9" s="282" t="str">
        <x:v>Expect busy nightlife areas</x:v>
      </x:c>
    </x:row>
    <x:row r="10">
      <x:c r="A10" s="282" t="n">
        <x:v>5</x:v>
      </x:c>
      <x:c r="B10" s="380" t="n">
        <x:v>46327</x:v>
      </x:c>
      <x:c r="C10" s="282" t="str">
        <x:v>Tokyo</x:v>
      </x:c>
      <x:c r="D10" s="282" t="str">
        <x:v>Ghibli Museum</x:v>
      </x:c>
      <x:c r="E10" s="282" t="str">
        <x:v>Kichijoji / Inokashira Park</x:v>
      </x:c>
      <x:c r="F10" s="282" t="str">
        <x:v>Relaxed Tokyo dinner</x:v>
      </x:c>
      <x:c r="G10" s="282" t="str">
        <x:v>Akasaka</x:v>
      </x:c>
      <x:c r="H10" s="282" t="str">
        <x:v>🎬 Ghibli Day</x:v>
      </x:c>
      <x:c r="I10" s="282" t="str">
        <x:v>Moderate</x:v>
      </x:c>
      <x:c r="J10" s="282" t="str">
        <x:v>Build around confirmed ticket time</x:v>
      </x:c>
    </x:row>
    <x:row r="11">
      <x:c r="A11" s="282" t="n">
        <x:v>6</x:v>
      </x:c>
      <x:c r="B11" s="380" t="n">
        <x:v>46328</x:v>
      </x:c>
      <x:c r="C11" s="282" t="str">
        <x:v>Hakone</x:v>
      </x:c>
      <x:c r="D11" s="282" t="str">
        <x:v>Forward large luggage to Kyoto</x:v>
      </x:c>
      <x:c r="E11" s="282" t="str">
        <x:v>Travel to Hakone + open-air museum/Gora</x:v>
      </x:c>
      <x:c r="F11" s="282" t="str">
        <x:v>Ryokan + onsen + kaiseki</x:v>
      </x:c>
      <x:c r="G11" s="282" t="str">
        <x:v>Hakone Ryokan</x:v>
      </x:c>
      <x:c r="H11" s="282" t="str">
        <x:v>♨️ Ryokan Reset</x:v>
      </x:c>
      <x:c r="I11" s="282" t="str">
        <x:v>Easy</x:v>
      </x:c>
      <x:c r="J11" s="282" t="str">
        <x:v>Confirm GF + lactose-free meal in writing</x:v>
      </x:c>
    </x:row>
    <x:row r="12">
      <x:c r="A12" s="282" t="n">
        <x:v>7</x:v>
      </x:c>
      <x:c r="B12" s="380" t="n">
        <x:v>46329</x:v>
      </x:c>
      <x:c r="C12" s="282" t="str">
        <x:v>Kyoto</x:v>
      </x:c>
      <x:c r="D12" s="282" t="str">
        <x:v>Hakone morning / travel</x:v>
      </x:c>
      <x:c r="E12" s="282" t="str">
        <x:v>Shinkansen to Kyoto</x:v>
      </x:c>
      <x:c r="F12" s="282" t="str">
        <x:v>Gion evening walk</x:v>
      </x:c>
      <x:c r="G12" s="282" t="str">
        <x:v>Kyoto</x:v>
      </x:c>
      <x:c r="H12" s="282" t="str">
        <x:v>⛩️ Arrive Kyoto</x:v>
      </x:c>
      <x:c r="I12" s="282" t="str">
        <x:v>Moderate</x:v>
      </x:c>
      <x:c r="J12" s="282" t="str">
        <x:v>Gentle evening after transit</x:v>
      </x:c>
    </x:row>
    <x:row r="13">
      <x:c r="A13" s="282" t="n">
        <x:v>8</x:v>
      </x:c>
      <x:c r="B13" s="380" t="n">
        <x:v>46330</x:v>
      </x:c>
      <x:c r="C13" s="282" t="str">
        <x:v>Kyoto</x:v>
      </x:c>
      <x:c r="D13" s="282" t="str">
        <x:v>Fushimi Inari early</x:v>
      </x:c>
      <x:c r="E13" s="282" t="str">
        <x:v>Nishiki Market</x:v>
      </x:c>
      <x:c r="F13" s="282" t="str">
        <x:v>Pontocho / Kamo River</x:v>
      </x:c>
      <x:c r="G13" s="282" t="str">
        <x:v>Kyoto</x:v>
      </x:c>
      <x:c r="H13" s="282" t="str">
        <x:v>⛩️ Fushimi + Food</x:v>
      </x:c>
      <x:c r="I13" s="282" t="str">
        <x:v>Busy</x:v>
      </x:c>
      <x:c r="J13" s="282" t="str">
        <x:v>Early start to beat crowds</x:v>
      </x:c>
    </x:row>
    <x:row r="14">
      <x:c r="A14" s="282" t="n">
        <x:v>9</x:v>
      </x:c>
      <x:c r="B14" s="380" t="n">
        <x:v>46331</x:v>
      </x:c>
      <x:c r="C14" s="282" t="str">
        <x:v>Kyoto</x:v>
      </x:c>
      <x:c r="D14" s="282" t="str">
        <x:v>Arashiyama early</x:v>
      </x:c>
      <x:c r="E14" s="282" t="str">
        <x:v>Bamboo Grove / gardens</x:v>
      </x:c>
      <x:c r="F14" s="282" t="str">
        <x:v>Kaiseki or relaxed dinner</x:v>
      </x:c>
      <x:c r="G14" s="282" t="str">
        <x:v>Kyoto</x:v>
      </x:c>
      <x:c r="H14" s="282" t="str">
        <x:v>🎋 Arashiyama</x:v>
      </x:c>
      <x:c r="I14" s="282" t="str">
        <x:v>Busy</x:v>
      </x:c>
      <x:c r="J14" s="282" t="str">
        <x:v>Start before 7:30 if possible</x:v>
      </x:c>
    </x:row>
    <x:row r="15">
      <x:c r="A15" s="282" t="n">
        <x:v>10</x:v>
      </x:c>
      <x:c r="B15" s="380" t="n">
        <x:v>46332</x:v>
      </x:c>
      <x:c r="C15" s="282" t="str">
        <x:v>Osaka</x:v>
      </x:c>
      <x:c r="D15" s="282" t="str">
        <x:v>Kiyomizu-dera early</x:v>
      </x:c>
      <x:c r="E15" s="282" t="str">
        <x:v>Travel to Osaka + check-in</x:v>
      </x:c>
      <x:c r="F15" s="282" t="str">
        <x:v>Dotonbori / Hozenji Yokocho</x:v>
      </x:c>
      <x:c r="G15" s="282" t="str">
        <x:v>Osaka</x:v>
      </x:c>
      <x:c r="H15" s="282" t="str">
        <x:v>🌃 Osaka Arrival</x:v>
      </x:c>
      <x:c r="I15" s="282" t="str">
        <x:v>Moderate</x:v>
      </x:c>
      <x:c r="J15" s="282" t="str">
        <x:v>Use luggage forwarding if helpful</x:v>
      </x:c>
    </x:row>
    <x:row r="16">
      <x:c r="A16" s="282" t="n">
        <x:v>11</x:v>
      </x:c>
      <x:c r="B16" s="380" t="n">
        <x:v>46333</x:v>
      </x:c>
      <x:c r="C16" s="282" t="str">
        <x:v>Osaka</x:v>
      </x:c>
      <x:c r="D16" s="282" t="str">
        <x:v>Kuromon Market / Osaka Castle</x:v>
      </x:c>
      <x:c r="E16" s="282" t="str">
        <x:v>Umeda or Shinsaibashi</x:v>
      </x:c>
      <x:c r="F16" s="282" t="str">
        <x:v>Osaka food crawl</x:v>
      </x:c>
      <x:c r="G16" s="282" t="str">
        <x:v>Osaka</x:v>
      </x:c>
      <x:c r="H16" s="282" t="str">
        <x:v>🍜 Osaka Food Day</x:v>
      </x:c>
      <x:c r="I16" s="282" t="str">
        <x:v>Busy</x:v>
      </x:c>
      <x:c r="J16" s="282" t="str">
        <x:v>Keep backup GF options saved</x:v>
      </x:c>
    </x:row>
    <x:row r="17">
      <x:c r="A17" s="282" t="n">
        <x:v>12</x:v>
      </x:c>
      <x:c r="B17" s="380" t="n">
        <x:v>46334</x:v>
      </x:c>
      <x:c r="C17" s="282" t="str">
        <x:v>Tokyo</x:v>
      </x:c>
      <x:c r="D17" s="282" t="str">
        <x:v>Shinkansen to Tokyo</x:v>
      </x:c>
      <x:c r="E17" s="282" t="str">
        <x:v>Check in Akasaka + laundry</x:v>
      </x:c>
      <x:c r="F17" s="282" t="str">
        <x:v>Free evening</x:v>
      </x:c>
      <x:c r="G17" s="282" t="str">
        <x:v>Akasaka</x:v>
      </x:c>
      <x:c r="H17" s="282" t="str">
        <x:v>🚄 Back to Tokyo</x:v>
      </x:c>
      <x:c r="I17" s="282" t="str">
        <x:v>Easy</x:v>
      </x:c>
      <x:c r="J17" s="282" t="str">
        <x:v>Good reset day</x:v>
      </x:c>
    </x:row>
    <x:row r="18">
      <x:c r="A18" s="282" t="n">
        <x:v>13</x:v>
      </x:c>
      <x:c r="B18" s="380" t="n">
        <x:v>46335</x:v>
      </x:c>
      <x:c r="C18" s="282" t="str">
        <x:v>Tokyo</x:v>
      </x:c>
      <x:c r="D18" s="282" t="str">
        <x:v>Free-choice neighborhood</x:v>
      </x:c>
      <x:c r="E18" s="282" t="str">
        <x:v>Shopping / museums</x:v>
      </x:c>
      <x:c r="F18" s="282" t="str">
        <x:v>Michelin dinner candidate</x:v>
      </x:c>
      <x:c r="G18" s="282" t="str">
        <x:v>Akasaka</x:v>
      </x:c>
      <x:c r="H18" s="282" t="str">
        <x:v>🛍 Personal Day</x:v>
      </x:c>
      <x:c r="I18" s="282" t="str">
        <x:v>Easy</x:v>
      </x:c>
      <x:c r="J18" s="282" t="str">
        <x:v>Split-up friendly</x:v>
      </x:c>
    </x:row>
    <x:row r="19">
      <x:c r="A19" s="282" t="n">
        <x:v>14</x:v>
      </x:c>
      <x:c r="B19" s="380" t="n">
        <x:v>46336</x:v>
      </x:c>
      <x:c r="C19" s="282" t="str">
        <x:v>Tokyo</x:v>
      </x:c>
      <x:c r="D19" s="282" t="str">
        <x:v>Slow final morning</x:v>
      </x:c>
      <x:c r="E19" s="282" t="str">
        <x:v>Packing + final shopping</x:v>
      </x:c>
      <x:c r="F19" s="282" t="str">
        <x:v>Farewell dinner</x:v>
      </x:c>
      <x:c r="G19" s="282" t="str">
        <x:v>Akasaka</x:v>
      </x:c>
      <x:c r="H19" s="282" t="str">
        <x:v>🟢 Final Full Day</x:v>
      </x:c>
      <x:c r="I19" s="282" t="str">
        <x:v>Easy</x:v>
      </x:c>
      <x:c r="J19" s="282" t="str">
        <x:v>Keep relaxed before flights</x:v>
      </x:c>
    </x:row>
    <x:row r="20">
      <x:c r="A20" s="278" t="str">
        <x:v>Return</x:v>
      </x:c>
      <x:c r="B20" s="381" t="n">
        <x:v>46337</x:v>
      </x:c>
      <x:c r="C20" s="278" t="str">
        <x:v>Tokyo / USA</x:v>
      </x:c>
      <x:c r="D20" s="278" t="str">
        <x:v>Checkout</x:v>
      </x:c>
      <x:c r="E20" s="278" t="str">
        <x:v>Narita Express / airport transfer</x:v>
      </x:c>
      <x:c r="F20" s="278" t="str">
        <x:v>Fly home</x:v>
      </x:c>
      <x:c r="G20" s="278" t="str">
        <x:v>Flight</x:v>
      </x:c>
      <x:c r="H20" s="278" t="str">
        <x:v>🔵 Travel Home</x:v>
      </x:c>
      <x:c r="I20" s="278" t="str">
        <x:v>Moderate</x:v>
      </x:c>
      <x:c r="J20" s="278" t="str">
        <x:v>Travel day; not counted</x:v>
      </x:c>
    </x:row>
    <x:row r="21">
      <x:c r="A21" s="580"/>
      <x:c r="B21" s="580"/>
      <x:c r="C21" s="580"/>
      <x:c r="D21" s="580"/>
      <x:c r="E21" s="580"/>
      <x:c r="F21" s="580"/>
      <x:c r="G21" s="580"/>
      <x:c r="H21" s="580"/>
      <x:c r="I21" s="580"/>
      <x:c r="J21" s="580"/>
    </x:row>
    <x:row r="22">
      <x:c r="A22" s="580"/>
      <x:c r="B22" s="580"/>
      <x:c r="C22" s="580"/>
      <x:c r="D22" s="580"/>
      <x:c r="E22" s="580"/>
      <x:c r="F22" s="580"/>
      <x:c r="G22" s="580"/>
      <x:c r="H22" s="580"/>
      <x:c r="I22" s="580"/>
      <x:c r="J22" s="580"/>
    </x:row>
    <x:row r="23">
      <x:c r="A23" s="580"/>
      <x:c r="B23" s="580"/>
      <x:c r="C23" s="580"/>
      <x:c r="D23" s="580"/>
      <x:c r="E23" s="580"/>
      <x:c r="F23" s="580"/>
      <x:c r="G23" s="580"/>
      <x:c r="H23" s="580"/>
      <x:c r="I23" s="580"/>
      <x:c r="J23" s="580"/>
    </x:row>
    <x:row r="24">
      <x:c r="A24" s="580"/>
      <x:c r="B24" s="580"/>
      <x:c r="C24" s="580"/>
      <x:c r="D24" s="580"/>
      <x:c r="E24" s="580"/>
      <x:c r="F24" s="580"/>
      <x:c r="G24" s="580"/>
      <x:c r="H24" s="580"/>
      <x:c r="I24" s="580"/>
      <x:c r="J24" s="580"/>
    </x:row>
    <x:row r="25">
      <x:c r="A25" s="580"/>
      <x:c r="B25" s="580"/>
      <x:c r="C25" s="580"/>
      <x:c r="D25" s="580"/>
      <x:c r="E25" s="580"/>
      <x:c r="F25" s="580"/>
      <x:c r="G25" s="580"/>
      <x:c r="H25" s="580"/>
      <x:c r="I25" s="580"/>
      <x:c r="J25" s="580"/>
    </x:row>
    <x:row r="26">
      <x:c r="A26" s="580"/>
      <x:c r="B26" s="580"/>
      <x:c r="C26" s="580"/>
      <x:c r="D26" s="580"/>
      <x:c r="E26" s="580"/>
      <x:c r="F26" s="580"/>
      <x:c r="G26" s="580"/>
      <x:c r="H26" s="580"/>
      <x:c r="I26" s="580"/>
      <x:c r="J26" s="580"/>
    </x:row>
    <x:row r="27">
      <x:c r="A27" s="580"/>
      <x:c r="B27" s="580"/>
      <x:c r="C27" s="580"/>
      <x:c r="D27" s="580"/>
      <x:c r="E27" s="580"/>
      <x:c r="F27" s="580"/>
      <x:c r="G27" s="580"/>
      <x:c r="H27" s="580"/>
      <x:c r="I27" s="580"/>
      <x:c r="J27" s="580"/>
    </x:row>
    <x:row r="28">
      <x:c r="A28" s="580"/>
      <x:c r="B28" s="580"/>
      <x:c r="C28" s="580"/>
      <x:c r="D28" s="580"/>
      <x:c r="E28" s="580"/>
      <x:c r="F28" s="580"/>
      <x:c r="G28" s="580"/>
      <x:c r="H28" s="580"/>
      <x:c r="I28" s="580"/>
      <x:c r="J28" s="580"/>
    </x:row>
    <x:row r="29">
      <x:c r="A29" s="580"/>
      <x:c r="B29" s="580"/>
      <x:c r="C29" s="580"/>
      <x:c r="D29" s="580"/>
      <x:c r="E29" s="580"/>
      <x:c r="F29" s="580"/>
      <x:c r="G29" s="580"/>
      <x:c r="H29" s="580"/>
      <x:c r="I29" s="580"/>
      <x:c r="J29" s="580"/>
    </x:row>
    <x:row r="30">
      <x:c r="A30" s="580"/>
      <x:c r="B30" s="580"/>
      <x:c r="C30" s="580"/>
      <x:c r="D30" s="580"/>
      <x:c r="E30" s="580"/>
      <x:c r="F30" s="580"/>
      <x:c r="G30" s="580"/>
      <x:c r="H30" s="580"/>
      <x:c r="I30" s="580"/>
      <x:c r="J30" s="580"/>
    </x:row>
    <x:row r="31">
      <x:c r="A31" s="580"/>
      <x:c r="B31" s="580"/>
      <x:c r="C31" s="580"/>
      <x:c r="D31" s="580"/>
      <x:c r="E31" s="580"/>
      <x:c r="F31" s="580"/>
      <x:c r="G31" s="580"/>
      <x:c r="H31" s="580"/>
      <x:c r="I31" s="580"/>
      <x:c r="J31" s="580"/>
    </x:row>
    <x:row r="32">
      <x:c r="A32" s="580"/>
      <x:c r="B32" s="580"/>
      <x:c r="C32" s="580"/>
      <x:c r="D32" s="580"/>
      <x:c r="E32" s="580"/>
      <x:c r="F32" s="580"/>
      <x:c r="G32" s="580"/>
      <x:c r="H32" s="580"/>
      <x:c r="I32" s="580"/>
      <x:c r="J32" s="580"/>
    </x:row>
    <x:row r="33">
      <x:c r="A33" s="580"/>
      <x:c r="B33" s="580"/>
      <x:c r="C33" s="580"/>
      <x:c r="D33" s="580"/>
      <x:c r="E33" s="580"/>
      <x:c r="F33" s="580"/>
      <x:c r="G33" s="580"/>
      <x:c r="H33" s="580"/>
      <x:c r="I33" s="580"/>
      <x:c r="J33" s="580"/>
    </x:row>
    <x:row r="34">
      <x:c r="A34" s="580"/>
      <x:c r="B34" s="580"/>
      <x:c r="C34" s="580"/>
      <x:c r="D34" s="580"/>
      <x:c r="E34" s="580"/>
      <x:c r="F34" s="580"/>
      <x:c r="G34" s="580"/>
      <x:c r="H34" s="580"/>
      <x:c r="I34" s="580"/>
      <x:c r="J34" s="580"/>
    </x:row>
    <x:row r="35">
      <x:c r="A35" s="580"/>
      <x:c r="B35" s="580"/>
      <x:c r="C35" s="580"/>
      <x:c r="D35" s="580"/>
      <x:c r="E35" s="580"/>
      <x:c r="F35" s="580"/>
      <x:c r="G35" s="580"/>
      <x:c r="H35" s="580"/>
      <x:c r="I35" s="580"/>
      <x:c r="J35" s="580"/>
    </x:row>
    <x:row r="36">
      <x:c r="A36" s="580"/>
      <x:c r="B36" s="580"/>
      <x:c r="C36" s="580"/>
      <x:c r="D36" s="580"/>
      <x:c r="E36" s="580"/>
      <x:c r="F36" s="580"/>
      <x:c r="G36" s="580"/>
      <x:c r="H36" s="580"/>
      <x:c r="I36" s="580"/>
      <x:c r="J36" s="580"/>
    </x:row>
    <x:row r="37">
      <x:c r="A37" s="580"/>
      <x:c r="B37" s="580"/>
      <x:c r="C37" s="580"/>
      <x:c r="D37" s="580"/>
      <x:c r="E37" s="580"/>
      <x:c r="F37" s="580"/>
      <x:c r="G37" s="580"/>
      <x:c r="H37" s="580"/>
      <x:c r="I37" s="580"/>
      <x:c r="J37" s="580"/>
    </x:row>
    <x:row r="38">
      <x:c r="A38" s="580"/>
      <x:c r="B38" s="580"/>
      <x:c r="C38" s="580"/>
      <x:c r="D38" s="580"/>
      <x:c r="E38" s="580"/>
      <x:c r="F38" s="580"/>
      <x:c r="G38" s="580"/>
      <x:c r="H38" s="580"/>
      <x:c r="I38" s="580"/>
      <x:c r="J38" s="580"/>
    </x:row>
    <x:row r="39">
      <x:c r="A39" s="580"/>
      <x:c r="B39" s="580"/>
      <x:c r="C39" s="580"/>
      <x:c r="D39" s="580"/>
      <x:c r="E39" s="580"/>
      <x:c r="F39" s="580"/>
      <x:c r="G39" s="580"/>
      <x:c r="H39" s="580"/>
      <x:c r="I39" s="580"/>
      <x:c r="J39" s="580"/>
    </x:row>
    <x:row r="40">
      <x:c r="A40" s="580"/>
      <x:c r="B40" s="580"/>
      <x:c r="C40" s="580"/>
      <x:c r="D40" s="580"/>
      <x:c r="E40" s="580"/>
      <x:c r="F40" s="580"/>
      <x:c r="G40" s="580"/>
      <x:c r="H40" s="580"/>
      <x:c r="I40" s="580"/>
      <x:c r="J40" s="580"/>
    </x:row>
    <x:row r="41">
      <x:c r="A41" s="580"/>
      <x:c r="B41" s="580"/>
      <x:c r="C41" s="580"/>
      <x:c r="D41" s="580"/>
      <x:c r="E41" s="580"/>
      <x:c r="F41" s="580"/>
      <x:c r="G41" s="580"/>
      <x:c r="H41" s="580"/>
      <x:c r="I41" s="580"/>
      <x:c r="J41" s="580"/>
    </x:row>
    <x:row r="42">
      <x:c r="A42" s="580"/>
      <x:c r="B42" s="580"/>
      <x:c r="C42" s="580"/>
      <x:c r="D42" s="580"/>
      <x:c r="E42" s="580"/>
      <x:c r="F42" s="580"/>
      <x:c r="G42" s="580"/>
      <x:c r="H42" s="580"/>
      <x:c r="I42" s="580"/>
      <x:c r="J42" s="580"/>
    </x:row>
    <x:row r="43">
      <x:c r="A43" s="580"/>
      <x:c r="B43" s="580"/>
      <x:c r="C43" s="580"/>
      <x:c r="D43" s="580"/>
      <x:c r="E43" s="580"/>
      <x:c r="F43" s="580"/>
      <x:c r="G43" s="580"/>
      <x:c r="H43" s="580"/>
      <x:c r="I43" s="580"/>
      <x:c r="J43" s="580"/>
    </x:row>
    <x:row r="44">
      <x:c r="A44" s="580"/>
      <x:c r="B44" s="580"/>
      <x:c r="C44" s="580"/>
      <x:c r="D44" s="580"/>
      <x:c r="E44" s="580"/>
      <x:c r="F44" s="580"/>
      <x:c r="G44" s="580"/>
      <x:c r="H44" s="580"/>
      <x:c r="I44" s="580"/>
      <x:c r="J44" s="580"/>
    </x:row>
    <x:row r="45">
      <x:c r="A45" s="580"/>
      <x:c r="B45" s="580"/>
      <x:c r="C45" s="580"/>
      <x:c r="D45" s="580"/>
      <x:c r="E45" s="580"/>
      <x:c r="F45" s="580"/>
      <x:c r="G45" s="580"/>
      <x:c r="H45" s="580"/>
      <x:c r="I45" s="580"/>
      <x:c r="J45" s="580"/>
    </x:row>
    <x:row r="46">
      <x:c r="A46" s="580"/>
      <x:c r="B46" s="580"/>
      <x:c r="C46" s="580"/>
      <x:c r="D46" s="580"/>
      <x:c r="E46" s="580"/>
      <x:c r="F46" s="580"/>
      <x:c r="G46" s="580"/>
      <x:c r="H46" s="580"/>
      <x:c r="I46" s="580"/>
      <x:c r="J46" s="580"/>
    </x:row>
    <x:row r="47">
      <x:c r="A47" s="580"/>
      <x:c r="B47" s="580"/>
      <x:c r="C47" s="580"/>
      <x:c r="D47" s="580"/>
      <x:c r="E47" s="580"/>
      <x:c r="F47" s="580"/>
      <x:c r="G47" s="580"/>
      <x:c r="H47" s="580"/>
      <x:c r="I47" s="580"/>
      <x:c r="J47" s="580"/>
    </x:row>
    <x:row r="48">
      <x:c r="A48" s="580"/>
      <x:c r="B48" s="580"/>
      <x:c r="C48" s="580"/>
      <x:c r="D48" s="580"/>
      <x:c r="E48" s="580"/>
      <x:c r="F48" s="580"/>
      <x:c r="G48" s="580"/>
      <x:c r="H48" s="580"/>
      <x:c r="I48" s="580"/>
      <x:c r="J48" s="580"/>
    </x:row>
    <x:row r="49">
      <x:c r="A49" s="580"/>
      <x:c r="B49" s="580"/>
      <x:c r="C49" s="580"/>
      <x:c r="D49" s="580"/>
      <x:c r="E49" s="580"/>
      <x:c r="F49" s="580"/>
      <x:c r="G49" s="580"/>
      <x:c r="H49" s="580"/>
      <x:c r="I49" s="580"/>
      <x:c r="J49" s="580"/>
    </x:row>
    <x:row r="50">
      <x:c r="A50" s="580"/>
      <x:c r="B50" s="580"/>
      <x:c r="C50" s="580"/>
      <x:c r="D50" s="580"/>
      <x:c r="E50" s="580"/>
      <x:c r="F50" s="580"/>
      <x:c r="G50" s="580"/>
      <x:c r="H50" s="580"/>
      <x:c r="I50" s="580"/>
      <x:c r="J50" s="580"/>
    </x:row>
    <x:row r="51">
      <x:c r="A51" s="580"/>
      <x:c r="B51" s="580"/>
      <x:c r="C51" s="580"/>
      <x:c r="D51" s="580"/>
      <x:c r="E51" s="580"/>
      <x:c r="F51" s="580"/>
      <x:c r="G51" s="580"/>
      <x:c r="H51" s="580"/>
      <x:c r="I51" s="580"/>
      <x:c r="J51" s="580"/>
    </x:row>
    <x:row r="52">
      <x:c r="A52" s="580"/>
      <x:c r="B52" s="580"/>
      <x:c r="C52" s="580"/>
      <x:c r="D52" s="580"/>
      <x:c r="E52" s="580"/>
      <x:c r="F52" s="580"/>
      <x:c r="G52" s="580"/>
      <x:c r="H52" s="580"/>
      <x:c r="I52" s="580"/>
      <x:c r="J52" s="580"/>
    </x:row>
    <x:row r="53">
      <x:c r="A53" s="580"/>
      <x:c r="B53" s="580"/>
      <x:c r="C53" s="580"/>
      <x:c r="D53" s="580"/>
      <x:c r="E53" s="580"/>
      <x:c r="F53" s="580"/>
      <x:c r="G53" s="580"/>
      <x:c r="H53" s="580"/>
      <x:c r="I53" s="580"/>
      <x:c r="J53" s="580"/>
    </x:row>
    <x:row r="54">
      <x:c r="A54" s="580"/>
      <x:c r="B54" s="580"/>
      <x:c r="C54" s="580"/>
      <x:c r="D54" s="580"/>
      <x:c r="E54" s="580"/>
      <x:c r="F54" s="580"/>
      <x:c r="G54" s="580"/>
      <x:c r="H54" s="580"/>
      <x:c r="I54" s="580"/>
      <x:c r="J54" s="580"/>
    </x:row>
    <x:row r="55">
      <x:c r="A55" s="580"/>
      <x:c r="B55" s="580"/>
      <x:c r="C55" s="580"/>
      <x:c r="D55" s="580"/>
      <x:c r="E55" s="580"/>
      <x:c r="F55" s="580"/>
      <x:c r="G55" s="580"/>
      <x:c r="H55" s="580"/>
      <x:c r="I55" s="580"/>
      <x:c r="J55" s="580"/>
    </x:row>
    <x:row r="56">
      <x:c r="A56" s="580"/>
      <x:c r="B56" s="580"/>
      <x:c r="C56" s="580"/>
      <x:c r="D56" s="580"/>
      <x:c r="E56" s="580"/>
      <x:c r="F56" s="580"/>
      <x:c r="G56" s="580"/>
      <x:c r="H56" s="580"/>
      <x:c r="I56" s="580"/>
      <x:c r="J56" s="580"/>
    </x:row>
    <x:row r="57">
      <x:c r="A57" s="580"/>
      <x:c r="B57" s="580"/>
      <x:c r="C57" s="580"/>
      <x:c r="D57" s="580"/>
      <x:c r="E57" s="580"/>
      <x:c r="F57" s="580"/>
      <x:c r="G57" s="580"/>
      <x:c r="H57" s="580"/>
      <x:c r="I57" s="580"/>
      <x:c r="J57" s="580"/>
    </x:row>
    <x:row r="58">
      <x:c r="A58" s="580"/>
      <x:c r="B58" s="580"/>
      <x:c r="C58" s="580"/>
      <x:c r="D58" s="580"/>
      <x:c r="E58" s="580"/>
      <x:c r="F58" s="580"/>
      <x:c r="G58" s="580"/>
      <x:c r="H58" s="580"/>
      <x:c r="I58" s="580"/>
      <x:c r="J58" s="580"/>
    </x:row>
    <x:row r="59">
      <x:c r="A59" s="580"/>
      <x:c r="B59" s="580"/>
      <x:c r="C59" s="580"/>
      <x:c r="D59" s="580"/>
      <x:c r="E59" s="580"/>
      <x:c r="F59" s="580"/>
      <x:c r="G59" s="580"/>
      <x:c r="H59" s="580"/>
      <x:c r="I59" s="580"/>
      <x:c r="J59" s="580"/>
    </x:row>
    <x:row r="60">
      <x:c r="A60" s="580"/>
      <x:c r="B60" s="580"/>
      <x:c r="C60" s="580"/>
      <x:c r="D60" s="580"/>
      <x:c r="E60" s="580"/>
      <x:c r="F60" s="580"/>
      <x:c r="G60" s="580"/>
      <x:c r="H60" s="580"/>
      <x:c r="I60" s="580"/>
      <x:c r="J60" s="580"/>
    </x:row>
    <x:row r="61">
      <x:c r="A61" s="580"/>
      <x:c r="B61" s="580"/>
      <x:c r="C61" s="580"/>
      <x:c r="D61" s="580"/>
      <x:c r="E61" s="580"/>
      <x:c r="F61" s="580"/>
      <x:c r="G61" s="580"/>
      <x:c r="H61" s="580"/>
      <x:c r="I61" s="580"/>
      <x:c r="J61" s="580"/>
    </x:row>
    <x:row r="62">
      <x:c r="A62" s="580"/>
      <x:c r="B62" s="580"/>
      <x:c r="C62" s="580"/>
      <x:c r="D62" s="580"/>
      <x:c r="E62" s="580"/>
      <x:c r="F62" s="580"/>
      <x:c r="G62" s="580"/>
      <x:c r="H62" s="580"/>
      <x:c r="I62" s="580"/>
      <x:c r="J62" s="580"/>
    </x:row>
    <x:row r="63">
      <x:c r="A63" s="580"/>
      <x:c r="B63" s="580"/>
      <x:c r="C63" s="580"/>
      <x:c r="D63" s="580"/>
      <x:c r="E63" s="580"/>
      <x:c r="F63" s="580"/>
      <x:c r="G63" s="580"/>
      <x:c r="H63" s="580"/>
      <x:c r="I63" s="580"/>
      <x:c r="J63" s="580"/>
    </x:row>
    <x:row r="64">
      <x:c r="A64" s="580"/>
      <x:c r="B64" s="580"/>
      <x:c r="C64" s="580"/>
      <x:c r="D64" s="580"/>
      <x:c r="E64" s="580"/>
      <x:c r="F64" s="580"/>
      <x:c r="G64" s="580"/>
      <x:c r="H64" s="580"/>
      <x:c r="I64" s="580"/>
      <x:c r="J64" s="580"/>
    </x:row>
    <x:row r="65">
      <x:c r="A65" s="580"/>
      <x:c r="B65" s="580"/>
      <x:c r="C65" s="580"/>
      <x:c r="D65" s="580"/>
      <x:c r="E65" s="580"/>
      <x:c r="F65" s="580"/>
      <x:c r="G65" s="580"/>
      <x:c r="H65" s="580"/>
      <x:c r="I65" s="580"/>
      <x:c r="J65" s="580"/>
    </x:row>
    <x:row r="66">
      <x:c r="A66" s="580"/>
      <x:c r="B66" s="580"/>
      <x:c r="C66" s="580"/>
      <x:c r="D66" s="580"/>
      <x:c r="E66" s="580"/>
      <x:c r="F66" s="580"/>
      <x:c r="G66" s="580"/>
      <x:c r="H66" s="580"/>
      <x:c r="I66" s="580"/>
      <x:c r="J66" s="580"/>
    </x:row>
    <x:row r="67">
      <x:c r="A67" s="580"/>
      <x:c r="B67" s="580"/>
      <x:c r="C67" s="580"/>
      <x:c r="D67" s="580"/>
      <x:c r="E67" s="580"/>
      <x:c r="F67" s="580"/>
      <x:c r="G67" s="580"/>
      <x:c r="H67" s="580"/>
      <x:c r="I67" s="580"/>
      <x:c r="J67" s="580"/>
    </x:row>
    <x:row r="68">
      <x:c r="A68" s="580"/>
      <x:c r="B68" s="580"/>
      <x:c r="C68" s="580"/>
      <x:c r="D68" s="580"/>
      <x:c r="E68" s="580"/>
      <x:c r="F68" s="580"/>
      <x:c r="G68" s="580"/>
      <x:c r="H68" s="580"/>
      <x:c r="I68" s="580"/>
      <x:c r="J68" s="580"/>
    </x:row>
    <x:row r="69">
      <x:c r="A69" s="580"/>
      <x:c r="B69" s="580"/>
      <x:c r="C69" s="580"/>
      <x:c r="D69" s="580"/>
      <x:c r="E69" s="580"/>
      <x:c r="F69" s="580"/>
      <x:c r="G69" s="580"/>
      <x:c r="H69" s="580"/>
      <x:c r="I69" s="580"/>
      <x:c r="J69" s="580"/>
    </x:row>
    <x:row r="70">
      <x:c r="A70" s="580"/>
      <x:c r="B70" s="580"/>
      <x:c r="C70" s="580"/>
      <x:c r="D70" s="580"/>
      <x:c r="E70" s="580"/>
      <x:c r="F70" s="580"/>
      <x:c r="G70" s="580"/>
      <x:c r="H70" s="580"/>
      <x:c r="I70" s="580"/>
      <x:c r="J70" s="580"/>
    </x:row>
    <x:row r="71">
      <x:c r="A71" s="580"/>
      <x:c r="B71" s="580"/>
      <x:c r="C71" s="580"/>
      <x:c r="D71" s="580"/>
      <x:c r="E71" s="580"/>
      <x:c r="F71" s="580"/>
      <x:c r="G71" s="580"/>
      <x:c r="H71" s="580"/>
      <x:c r="I71" s="580"/>
      <x:c r="J71" s="580"/>
    </x:row>
    <x:row r="72">
      <x:c r="A72" s="580"/>
      <x:c r="B72" s="580"/>
      <x:c r="C72" s="580"/>
      <x:c r="D72" s="580"/>
      <x:c r="E72" s="580"/>
      <x:c r="F72" s="580"/>
      <x:c r="G72" s="580"/>
      <x:c r="H72" s="580"/>
      <x:c r="I72" s="580"/>
      <x:c r="J72" s="580"/>
    </x:row>
    <x:row r="73">
      <x:c r="A73" s="580"/>
      <x:c r="B73" s="580"/>
      <x:c r="C73" s="580"/>
      <x:c r="D73" s="580"/>
      <x:c r="E73" s="580"/>
      <x:c r="F73" s="580"/>
      <x:c r="G73" s="580"/>
      <x:c r="H73" s="580"/>
      <x:c r="I73" s="580"/>
      <x:c r="J73" s="580"/>
    </x:row>
    <x:row r="74">
      <x:c r="A74" s="580"/>
      <x:c r="B74" s="580"/>
      <x:c r="C74" s="580"/>
      <x:c r="D74" s="580"/>
      <x:c r="E74" s="580"/>
      <x:c r="F74" s="580"/>
      <x:c r="G74" s="580"/>
      <x:c r="H74" s="580"/>
      <x:c r="I74" s="580"/>
      <x:c r="J74" s="580"/>
    </x:row>
    <x:row r="75">
      <x:c r="A75" s="580"/>
      <x:c r="B75" s="580"/>
      <x:c r="C75" s="580"/>
      <x:c r="D75" s="580"/>
      <x:c r="E75" s="580"/>
      <x:c r="F75" s="580"/>
      <x:c r="G75" s="580"/>
      <x:c r="H75" s="580"/>
      <x:c r="I75" s="580"/>
      <x:c r="J75" s="580"/>
    </x:row>
    <x:row r="76">
      <x:c r="A76" s="580"/>
      <x:c r="B76" s="580"/>
      <x:c r="C76" s="580"/>
      <x:c r="D76" s="580"/>
      <x:c r="E76" s="580"/>
      <x:c r="F76" s="580"/>
      <x:c r="G76" s="580"/>
      <x:c r="H76" s="580"/>
      <x:c r="I76" s="580"/>
      <x:c r="J76" s="580"/>
    </x:row>
    <x:row r="77">
      <x:c r="A77" s="580"/>
      <x:c r="B77" s="580"/>
      <x:c r="C77" s="580"/>
      <x:c r="D77" s="580"/>
      <x:c r="E77" s="580"/>
      <x:c r="F77" s="580"/>
      <x:c r="G77" s="580"/>
      <x:c r="H77" s="580"/>
      <x:c r="I77" s="580"/>
      <x:c r="J77" s="580"/>
    </x:row>
    <x:row r="78">
      <x:c r="A78" s="580"/>
      <x:c r="B78" s="580"/>
      <x:c r="C78" s="580"/>
      <x:c r="D78" s="580"/>
      <x:c r="E78" s="580"/>
      <x:c r="F78" s="580"/>
      <x:c r="G78" s="580"/>
      <x:c r="H78" s="580"/>
      <x:c r="I78" s="580"/>
      <x:c r="J78" s="580"/>
    </x:row>
    <x:row r="79">
      <x:c r="A79" s="580"/>
      <x:c r="B79" s="580"/>
      <x:c r="C79" s="580"/>
      <x:c r="D79" s="580"/>
      <x:c r="E79" s="580"/>
      <x:c r="F79" s="580"/>
      <x:c r="G79" s="580"/>
      <x:c r="H79" s="580"/>
      <x:c r="I79" s="580"/>
      <x:c r="J79" s="580"/>
    </x:row>
    <x:row r="80">
      <x:c r="A80" s="580"/>
      <x:c r="B80" s="580"/>
      <x:c r="C80" s="580"/>
      <x:c r="D80" s="580"/>
      <x:c r="E80" s="580"/>
      <x:c r="F80" s="580"/>
      <x:c r="G80" s="580"/>
      <x:c r="H80" s="580"/>
      <x:c r="I80" s="580"/>
      <x:c r="J80" s="580"/>
    </x:row>
    <x:row r="81">
      <x:c r="A81" s="580"/>
      <x:c r="B81" s="580"/>
      <x:c r="C81" s="580"/>
      <x:c r="D81" s="580"/>
      <x:c r="E81" s="580"/>
      <x:c r="F81" s="580"/>
      <x:c r="G81" s="580"/>
      <x:c r="H81" s="580"/>
      <x:c r="I81" s="580"/>
      <x:c r="J81" s="580"/>
    </x:row>
    <x:row r="82">
      <x:c r="A82" s="580"/>
      <x:c r="B82" s="580"/>
      <x:c r="C82" s="580"/>
      <x:c r="D82" s="580"/>
      <x:c r="E82" s="580"/>
      <x:c r="F82" s="580"/>
      <x:c r="G82" s="580"/>
      <x:c r="H82" s="580"/>
      <x:c r="I82" s="580"/>
      <x:c r="J82" s="580"/>
    </x:row>
    <x:row r="83">
      <x:c r="A83" s="580"/>
      <x:c r="B83" s="580"/>
      <x:c r="C83" s="580"/>
      <x:c r="D83" s="580"/>
      <x:c r="E83" s="580"/>
      <x:c r="F83" s="580"/>
      <x:c r="G83" s="580"/>
      <x:c r="H83" s="580"/>
      <x:c r="I83" s="580"/>
      <x:c r="J83" s="580"/>
    </x:row>
    <x:row r="84">
      <x:c r="A84" s="580"/>
      <x:c r="B84" s="580"/>
      <x:c r="C84" s="580"/>
      <x:c r="D84" s="580"/>
      <x:c r="E84" s="580"/>
      <x:c r="F84" s="580"/>
      <x:c r="G84" s="580"/>
      <x:c r="H84" s="580"/>
      <x:c r="I84" s="580"/>
      <x:c r="J84" s="580"/>
    </x:row>
    <x:row r="85">
      <x:c r="A85" s="580"/>
      <x:c r="B85" s="580"/>
      <x:c r="C85" s="580"/>
      <x:c r="D85" s="580"/>
      <x:c r="E85" s="580"/>
      <x:c r="F85" s="580"/>
      <x:c r="G85" s="580"/>
      <x:c r="H85" s="580"/>
      <x:c r="I85" s="580"/>
      <x:c r="J85" s="580"/>
    </x:row>
    <x:row r="86">
      <x:c r="A86" s="580"/>
      <x:c r="B86" s="580"/>
      <x:c r="C86" s="580"/>
      <x:c r="D86" s="580"/>
      <x:c r="E86" s="580"/>
      <x:c r="F86" s="580"/>
      <x:c r="G86" s="580"/>
      <x:c r="H86" s="580"/>
      <x:c r="I86" s="580"/>
      <x:c r="J86" s="580"/>
    </x:row>
    <x:row r="87">
      <x:c r="A87" s="580"/>
      <x:c r="B87" s="580"/>
      <x:c r="C87" s="580"/>
      <x:c r="D87" s="580"/>
      <x:c r="E87" s="580"/>
      <x:c r="F87" s="580"/>
      <x:c r="G87" s="580"/>
      <x:c r="H87" s="580"/>
      <x:c r="I87" s="580"/>
      <x:c r="J87" s="580"/>
    </x:row>
    <x:row r="88">
      <x:c r="A88" s="580"/>
      <x:c r="B88" s="580"/>
      <x:c r="C88" s="580"/>
      <x:c r="D88" s="580"/>
      <x:c r="E88" s="580"/>
      <x:c r="F88" s="580"/>
      <x:c r="G88" s="580"/>
      <x:c r="H88" s="580"/>
      <x:c r="I88" s="580"/>
      <x:c r="J88" s="580"/>
    </x:row>
    <x:row r="89">
      <x:c r="A89" s="580"/>
      <x:c r="B89" s="580"/>
      <x:c r="C89" s="580"/>
      <x:c r="D89" s="580"/>
      <x:c r="E89" s="580"/>
      <x:c r="F89" s="580"/>
      <x:c r="G89" s="580"/>
      <x:c r="H89" s="580"/>
      <x:c r="I89" s="580"/>
      <x:c r="J89" s="580"/>
    </x:row>
    <x:row r="90">
      <x:c r="A90" s="580"/>
      <x:c r="B90" s="580"/>
      <x:c r="C90" s="580"/>
      <x:c r="D90" s="580"/>
      <x:c r="E90" s="580"/>
      <x:c r="F90" s="580"/>
      <x:c r="G90" s="580"/>
      <x:c r="H90" s="580"/>
      <x:c r="I90" s="580"/>
      <x:c r="J90" s="580"/>
    </x:row>
    <x:row r="91">
      <x:c r="A91" s="580"/>
      <x:c r="B91" s="580"/>
      <x:c r="C91" s="580"/>
      <x:c r="D91" s="580"/>
      <x:c r="E91" s="580"/>
      <x:c r="F91" s="580"/>
      <x:c r="G91" s="580"/>
      <x:c r="H91" s="580"/>
      <x:c r="I91" s="580"/>
      <x:c r="J91" s="580"/>
    </x:row>
    <x:row r="92">
      <x:c r="A92" s="580"/>
      <x:c r="B92" s="580"/>
      <x:c r="C92" s="580"/>
      <x:c r="D92" s="580"/>
      <x:c r="E92" s="580"/>
      <x:c r="F92" s="580"/>
      <x:c r="G92" s="580"/>
      <x:c r="H92" s="580"/>
      <x:c r="I92" s="580"/>
      <x:c r="J92" s="580"/>
    </x:row>
    <x:row r="93">
      <x:c r="A93" s="580"/>
      <x:c r="B93" s="580"/>
      <x:c r="C93" s="580"/>
      <x:c r="D93" s="580"/>
      <x:c r="E93" s="580"/>
      <x:c r="F93" s="580"/>
      <x:c r="G93" s="580"/>
      <x:c r="H93" s="580"/>
      <x:c r="I93" s="580"/>
      <x:c r="J93" s="580"/>
    </x:row>
    <x:row r="94">
      <x:c r="A94" s="580"/>
      <x:c r="B94" s="580"/>
      <x:c r="C94" s="580"/>
      <x:c r="D94" s="580"/>
      <x:c r="E94" s="580"/>
      <x:c r="F94" s="580"/>
      <x:c r="G94" s="580"/>
      <x:c r="H94" s="580"/>
      <x:c r="I94" s="580"/>
      <x:c r="J94" s="580"/>
    </x:row>
    <x:row r="95">
      <x:c r="A95" s="580"/>
      <x:c r="B95" s="580"/>
      <x:c r="C95" s="580"/>
      <x:c r="D95" s="580"/>
      <x:c r="E95" s="580"/>
      <x:c r="F95" s="580"/>
      <x:c r="G95" s="580"/>
      <x:c r="H95" s="580"/>
      <x:c r="I95" s="580"/>
      <x:c r="J95" s="580"/>
    </x:row>
    <x:row r="96">
      <x:c r="A96" s="580"/>
      <x:c r="B96" s="580"/>
      <x:c r="C96" s="580"/>
      <x:c r="D96" s="580"/>
      <x:c r="E96" s="580"/>
      <x:c r="F96" s="580"/>
      <x:c r="G96" s="580"/>
      <x:c r="H96" s="580"/>
      <x:c r="I96" s="580"/>
      <x:c r="J96" s="580"/>
    </x:row>
    <x:row r="97">
      <x:c r="A97" s="580"/>
      <x:c r="B97" s="580"/>
      <x:c r="C97" s="580"/>
      <x:c r="D97" s="580"/>
      <x:c r="E97" s="580"/>
      <x:c r="F97" s="580"/>
      <x:c r="G97" s="580"/>
      <x:c r="H97" s="580"/>
      <x:c r="I97" s="580"/>
      <x:c r="J97" s="580"/>
    </x:row>
    <x:row r="98">
      <x:c r="A98" s="580"/>
      <x:c r="B98" s="580"/>
      <x:c r="C98" s="580"/>
      <x:c r="D98" s="580"/>
      <x:c r="E98" s="580"/>
      <x:c r="F98" s="580"/>
      <x:c r="G98" s="580"/>
      <x:c r="H98" s="580"/>
      <x:c r="I98" s="580"/>
      <x:c r="J98" s="580"/>
    </x:row>
    <x:row r="99">
      <x:c r="A99" s="580"/>
      <x:c r="B99" s="580"/>
      <x:c r="C99" s="580"/>
      <x:c r="D99" s="580"/>
      <x:c r="E99" s="580"/>
      <x:c r="F99" s="580"/>
      <x:c r="G99" s="580"/>
      <x:c r="H99" s="580"/>
      <x:c r="I99" s="580"/>
      <x:c r="J99" s="580"/>
    </x:row>
    <x:row r="100">
      <x:c r="A100" s="580"/>
      <x:c r="B100" s="580"/>
      <x:c r="C100" s="580"/>
      <x:c r="D100" s="580"/>
      <x:c r="E100" s="580"/>
      <x:c r="F100" s="580"/>
      <x:c r="G100" s="580"/>
      <x:c r="H100" s="580"/>
      <x:c r="I100" s="580"/>
      <x:c r="J100" s="580"/>
    </x:row>
    <x:row r="101">
      <x:c r="A101" s="580"/>
      <x:c r="B101" s="580"/>
      <x:c r="C101" s="580"/>
      <x:c r="D101" s="580"/>
      <x:c r="E101" s="580"/>
      <x:c r="F101" s="580"/>
      <x:c r="G101" s="580"/>
      <x:c r="H101" s="580"/>
      <x:c r="I101" s="580"/>
      <x:c r="J101" s="580"/>
    </x:row>
    <x:row r="102">
      <x:c r="A102" s="580"/>
      <x:c r="B102" s="580"/>
      <x:c r="C102" s="580"/>
      <x:c r="D102" s="580"/>
      <x:c r="E102" s="580"/>
      <x:c r="F102" s="580"/>
      <x:c r="G102" s="580"/>
      <x:c r="H102" s="580"/>
      <x:c r="I102" s="580"/>
      <x:c r="J102" s="580"/>
    </x:row>
    <x:row r="103">
      <x:c r="A103" s="580"/>
      <x:c r="B103" s="580"/>
      <x:c r="C103" s="580"/>
      <x:c r="D103" s="580"/>
      <x:c r="E103" s="580"/>
      <x:c r="F103" s="580"/>
      <x:c r="G103" s="580"/>
      <x:c r="H103" s="580"/>
      <x:c r="I103" s="580"/>
      <x:c r="J103" s="580"/>
    </x:row>
    <x:row r="104">
      <x:c r="A104" s="580"/>
      <x:c r="B104" s="580"/>
      <x:c r="C104" s="580"/>
      <x:c r="D104" s="580"/>
      <x:c r="E104" s="580"/>
      <x:c r="F104" s="580"/>
      <x:c r="G104" s="580"/>
      <x:c r="H104" s="580"/>
      <x:c r="I104" s="580"/>
      <x:c r="J104" s="580"/>
    </x:row>
    <x:row r="105">
      <x:c r="A105" s="580"/>
      <x:c r="B105" s="580"/>
      <x:c r="C105" s="580"/>
      <x:c r="D105" s="580"/>
      <x:c r="E105" s="580"/>
      <x:c r="F105" s="580"/>
      <x:c r="G105" s="580"/>
      <x:c r="H105" s="580"/>
      <x:c r="I105" s="580"/>
      <x:c r="J105" s="580"/>
    </x:row>
    <x:row r="106">
      <x:c r="A106" s="580"/>
      <x:c r="B106" s="580"/>
      <x:c r="C106" s="580"/>
      <x:c r="D106" s="580"/>
      <x:c r="E106" s="580"/>
      <x:c r="F106" s="580"/>
      <x:c r="G106" s="580"/>
      <x:c r="H106" s="580"/>
      <x:c r="I106" s="580"/>
      <x:c r="J106" s="580"/>
    </x:row>
    <x:row r="107">
      <x:c r="A107" s="580"/>
      <x:c r="B107" s="580"/>
      <x:c r="C107" s="580"/>
      <x:c r="D107" s="580"/>
      <x:c r="E107" s="580"/>
      <x:c r="F107" s="580"/>
      <x:c r="G107" s="580"/>
      <x:c r="H107" s="580"/>
      <x:c r="I107" s="580"/>
      <x:c r="J107" s="580"/>
    </x:row>
    <x:row r="108">
      <x:c r="A108" s="580"/>
      <x:c r="B108" s="580"/>
      <x:c r="C108" s="580"/>
      <x:c r="D108" s="580"/>
      <x:c r="E108" s="580"/>
      <x:c r="F108" s="580"/>
      <x:c r="G108" s="580"/>
      <x:c r="H108" s="580"/>
      <x:c r="I108" s="580"/>
      <x:c r="J108" s="580"/>
    </x:row>
    <x:row r="109">
      <x:c r="A109" s="580"/>
      <x:c r="B109" s="580"/>
      <x:c r="C109" s="580"/>
      <x:c r="D109" s="580"/>
      <x:c r="E109" s="580"/>
      <x:c r="F109" s="580"/>
      <x:c r="G109" s="580"/>
      <x:c r="H109" s="580"/>
      <x:c r="I109" s="580"/>
      <x:c r="J109" s="580"/>
    </x:row>
    <x:row r="110">
      <x:c r="A110" s="580"/>
      <x:c r="B110" s="580"/>
      <x:c r="C110" s="580"/>
      <x:c r="D110" s="580"/>
      <x:c r="E110" s="580"/>
      <x:c r="F110" s="580"/>
      <x:c r="G110" s="580"/>
      <x:c r="H110" s="580"/>
      <x:c r="I110" s="580"/>
      <x:c r="J110" s="580"/>
    </x:row>
    <x:row r="111">
      <x:c r="A111" s="580"/>
      <x:c r="B111" s="580"/>
      <x:c r="C111" s="580"/>
      <x:c r="D111" s="580"/>
      <x:c r="E111" s="580"/>
      <x:c r="F111" s="580"/>
      <x:c r="G111" s="580"/>
      <x:c r="H111" s="580"/>
      <x:c r="I111" s="580"/>
      <x:c r="J111" s="580"/>
    </x:row>
    <x:row r="112">
      <x:c r="A112" s="580"/>
      <x:c r="B112" s="580"/>
      <x:c r="C112" s="580"/>
      <x:c r="D112" s="580"/>
      <x:c r="E112" s="580"/>
      <x:c r="F112" s="580"/>
      <x:c r="G112" s="580"/>
      <x:c r="H112" s="580"/>
      <x:c r="I112" s="580"/>
      <x:c r="J112" s="580"/>
    </x:row>
    <x:row r="113">
      <x:c r="A113" s="580"/>
      <x:c r="B113" s="580"/>
      <x:c r="C113" s="580"/>
      <x:c r="D113" s="580"/>
      <x:c r="E113" s="580"/>
      <x:c r="F113" s="580"/>
      <x:c r="G113" s="580"/>
      <x:c r="H113" s="580"/>
      <x:c r="I113" s="580"/>
      <x:c r="J113" s="580"/>
    </x:row>
    <x:row r="114">
      <x:c r="A114" s="580"/>
      <x:c r="B114" s="580"/>
      <x:c r="C114" s="580"/>
      <x:c r="D114" s="580"/>
      <x:c r="E114" s="580"/>
      <x:c r="F114" s="580"/>
      <x:c r="G114" s="580"/>
      <x:c r="H114" s="580"/>
      <x:c r="I114" s="580"/>
      <x:c r="J114" s="580"/>
    </x:row>
    <x:row r="115">
      <x:c r="A115" s="580"/>
      <x:c r="B115" s="580"/>
      <x:c r="C115" s="580"/>
      <x:c r="D115" s="580"/>
      <x:c r="E115" s="580"/>
      <x:c r="F115" s="580"/>
      <x:c r="G115" s="580"/>
      <x:c r="H115" s="580"/>
      <x:c r="I115" s="580"/>
      <x:c r="J115" s="580"/>
    </x:row>
    <x:row r="116">
      <x:c r="A116" s="580"/>
      <x:c r="B116" s="580"/>
      <x:c r="C116" s="580"/>
      <x:c r="D116" s="580"/>
      <x:c r="E116" s="580"/>
      <x:c r="F116" s="580"/>
      <x:c r="G116" s="580"/>
      <x:c r="H116" s="580"/>
      <x:c r="I116" s="580"/>
      <x:c r="J116" s="580"/>
    </x:row>
    <x:row r="117">
      <x:c r="A117" s="580"/>
      <x:c r="B117" s="580"/>
      <x:c r="C117" s="580"/>
      <x:c r="D117" s="580"/>
      <x:c r="E117" s="580"/>
      <x:c r="F117" s="580"/>
      <x:c r="G117" s="580"/>
      <x:c r="H117" s="580"/>
      <x:c r="I117" s="580"/>
      <x:c r="J117" s="580"/>
    </x:row>
    <x:row r="118">
      <x:c r="A118" s="580"/>
      <x:c r="B118" s="580"/>
      <x:c r="C118" s="580"/>
      <x:c r="D118" s="580"/>
      <x:c r="E118" s="580"/>
      <x:c r="F118" s="580"/>
      <x:c r="G118" s="580"/>
      <x:c r="H118" s="580"/>
      <x:c r="I118" s="580"/>
      <x:c r="J118" s="580"/>
    </x:row>
    <x:row r="119">
      <x:c r="A119" s="580"/>
      <x:c r="B119" s="580"/>
      <x:c r="C119" s="580"/>
      <x:c r="D119" s="580"/>
      <x:c r="E119" s="580"/>
      <x:c r="F119" s="580"/>
      <x:c r="G119" s="580"/>
      <x:c r="H119" s="580"/>
      <x:c r="I119" s="580"/>
      <x:c r="J119" s="580"/>
    </x:row>
    <x:row r="120">
      <x:c r="A120" s="580"/>
      <x:c r="B120" s="580"/>
      <x:c r="C120" s="580"/>
      <x:c r="D120" s="580"/>
      <x:c r="E120" s="580"/>
      <x:c r="F120" s="580"/>
      <x:c r="G120" s="580"/>
      <x:c r="H120" s="580"/>
      <x:c r="I120" s="580"/>
      <x:c r="J120" s="580"/>
    </x:row>
    <x:row r="121">
      <x:c r="A121" s="580"/>
      <x:c r="B121" s="580"/>
      <x:c r="C121" s="580"/>
      <x:c r="D121" s="580"/>
      <x:c r="E121" s="580"/>
      <x:c r="F121" s="580"/>
      <x:c r="G121" s="580"/>
      <x:c r="H121" s="580"/>
      <x:c r="I121" s="580"/>
      <x:c r="J121" s="580"/>
    </x:row>
    <x:row r="122">
      <x:c r="A122" s="580"/>
      <x:c r="B122" s="580"/>
      <x:c r="C122" s="580"/>
      <x:c r="D122" s="580"/>
      <x:c r="E122" s="580"/>
      <x:c r="F122" s="580"/>
      <x:c r="G122" s="580"/>
      <x:c r="H122" s="580"/>
      <x:c r="I122" s="580"/>
      <x:c r="J122" s="580"/>
    </x:row>
    <x:row r="123">
      <x:c r="A123" s="580"/>
      <x:c r="B123" s="580"/>
      <x:c r="C123" s="580"/>
      <x:c r="D123" s="580"/>
      <x:c r="E123" s="580"/>
      <x:c r="F123" s="580"/>
      <x:c r="G123" s="580"/>
      <x:c r="H123" s="580"/>
      <x:c r="I123" s="580"/>
      <x:c r="J123" s="580"/>
    </x:row>
    <x:row r="124">
      <x:c r="A124" s="580"/>
      <x:c r="B124" s="580"/>
      <x:c r="C124" s="580"/>
      <x:c r="D124" s="580"/>
      <x:c r="E124" s="580"/>
      <x:c r="F124" s="580"/>
      <x:c r="G124" s="580"/>
      <x:c r="H124" s="580"/>
      <x:c r="I124" s="580"/>
      <x:c r="J124" s="580"/>
    </x:row>
    <x:row r="125">
      <x:c r="A125" s="580"/>
      <x:c r="B125" s="580"/>
      <x:c r="C125" s="580"/>
      <x:c r="D125" s="580"/>
      <x:c r="E125" s="580"/>
      <x:c r="F125" s="580"/>
      <x:c r="G125" s="580"/>
      <x:c r="H125" s="580"/>
      <x:c r="I125" s="580"/>
      <x:c r="J125" s="580"/>
    </x:row>
    <x:row r="126">
      <x:c r="A126" s="580"/>
      <x:c r="B126" s="580"/>
      <x:c r="C126" s="580"/>
      <x:c r="D126" s="580"/>
      <x:c r="E126" s="580"/>
      <x:c r="F126" s="580"/>
      <x:c r="G126" s="580"/>
      <x:c r="H126" s="580"/>
      <x:c r="I126" s="580"/>
      <x:c r="J126" s="580"/>
    </x:row>
    <x:row r="127">
      <x:c r="A127" s="580"/>
      <x:c r="B127" s="580"/>
      <x:c r="C127" s="580"/>
      <x:c r="D127" s="580"/>
      <x:c r="E127" s="580"/>
      <x:c r="F127" s="580"/>
      <x:c r="G127" s="580"/>
      <x:c r="H127" s="580"/>
      <x:c r="I127" s="580"/>
      <x:c r="J127" s="580"/>
    </x:row>
    <x:row r="128">
      <x:c r="A128" s="580"/>
      <x:c r="B128" s="580"/>
      <x:c r="C128" s="580"/>
      <x:c r="D128" s="580"/>
      <x:c r="E128" s="580"/>
      <x:c r="F128" s="580"/>
      <x:c r="G128" s="580"/>
      <x:c r="H128" s="580"/>
      <x:c r="I128" s="580"/>
      <x:c r="J128" s="580"/>
    </x:row>
    <x:row r="129">
      <x:c r="A129" s="580"/>
      <x:c r="B129" s="580"/>
      <x:c r="C129" s="580"/>
      <x:c r="D129" s="580"/>
      <x:c r="E129" s="580"/>
      <x:c r="F129" s="580"/>
      <x:c r="G129" s="580"/>
      <x:c r="H129" s="580"/>
      <x:c r="I129" s="580"/>
      <x:c r="J129" s="580"/>
    </x:row>
    <x:row r="130">
      <x:c r="A130" s="580"/>
      <x:c r="B130" s="580"/>
      <x:c r="C130" s="580"/>
      <x:c r="D130" s="580"/>
      <x:c r="E130" s="580"/>
      <x:c r="F130" s="580"/>
      <x:c r="G130" s="580"/>
      <x:c r="H130" s="580"/>
      <x:c r="I130" s="580"/>
      <x:c r="J130" s="580"/>
    </x:row>
    <x:row r="131">
      <x:c r="A131" s="580"/>
      <x:c r="B131" s="580"/>
      <x:c r="C131" s="580"/>
      <x:c r="D131" s="580"/>
      <x:c r="E131" s="580"/>
      <x:c r="F131" s="580"/>
      <x:c r="G131" s="580"/>
      <x:c r="H131" s="580"/>
      <x:c r="I131" s="580"/>
      <x:c r="J131" s="580"/>
    </x:row>
    <x:row r="132">
      <x:c r="A132" s="580"/>
      <x:c r="B132" s="580"/>
      <x:c r="C132" s="580"/>
      <x:c r="D132" s="580"/>
      <x:c r="E132" s="580"/>
      <x:c r="F132" s="580"/>
      <x:c r="G132" s="580"/>
      <x:c r="H132" s="580"/>
      <x:c r="I132" s="580"/>
      <x:c r="J132" s="580"/>
    </x:row>
    <x:row r="133">
      <x:c r="A133" s="580"/>
      <x:c r="B133" s="580"/>
      <x:c r="C133" s="580"/>
      <x:c r="D133" s="580"/>
      <x:c r="E133" s="580"/>
      <x:c r="F133" s="580"/>
      <x:c r="G133" s="580"/>
      <x:c r="H133" s="580"/>
      <x:c r="I133" s="580"/>
      <x:c r="J133" s="580"/>
    </x:row>
    <x:row r="134">
      <x:c r="A134" s="580"/>
      <x:c r="B134" s="580"/>
      <x:c r="C134" s="580"/>
      <x:c r="D134" s="580"/>
      <x:c r="E134" s="580"/>
      <x:c r="F134" s="580"/>
      <x:c r="G134" s="580"/>
      <x:c r="H134" s="580"/>
      <x:c r="I134" s="580"/>
      <x:c r="J134" s="580"/>
    </x:row>
    <x:row r="135">
      <x:c r="A135" s="580"/>
      <x:c r="B135" s="580"/>
      <x:c r="C135" s="580"/>
      <x:c r="D135" s="580"/>
      <x:c r="E135" s="580"/>
      <x:c r="F135" s="580"/>
      <x:c r="G135" s="580"/>
      <x:c r="H135" s="580"/>
      <x:c r="I135" s="580"/>
      <x:c r="J135" s="580"/>
    </x:row>
    <x:row r="136">
      <x:c r="A136" s="580"/>
      <x:c r="B136" s="580"/>
      <x:c r="C136" s="580"/>
      <x:c r="D136" s="580"/>
      <x:c r="E136" s="580"/>
      <x:c r="F136" s="580"/>
      <x:c r="G136" s="580"/>
      <x:c r="H136" s="580"/>
      <x:c r="I136" s="580"/>
      <x:c r="J136" s="580"/>
    </x:row>
    <x:row r="137">
      <x:c r="A137" s="580"/>
      <x:c r="B137" s="580"/>
      <x:c r="C137" s="580"/>
      <x:c r="D137" s="580"/>
      <x:c r="E137" s="580"/>
      <x:c r="F137" s="580"/>
      <x:c r="G137" s="580"/>
      <x:c r="H137" s="580"/>
      <x:c r="I137" s="580"/>
      <x:c r="J137" s="580"/>
    </x:row>
    <x:row r="138">
      <x:c r="A138" s="580"/>
      <x:c r="B138" s="580"/>
      <x:c r="C138" s="580"/>
      <x:c r="D138" s="580"/>
      <x:c r="E138" s="580"/>
      <x:c r="F138" s="580"/>
      <x:c r="G138" s="580"/>
      <x:c r="H138" s="580"/>
      <x:c r="I138" s="580"/>
      <x:c r="J138" s="580"/>
    </x:row>
    <x:row r="139">
      <x:c r="A139" s="580"/>
      <x:c r="B139" s="580"/>
      <x:c r="C139" s="580"/>
      <x:c r="D139" s="580"/>
      <x:c r="E139" s="580"/>
      <x:c r="F139" s="580"/>
      <x:c r="G139" s="580"/>
      <x:c r="H139" s="580"/>
      <x:c r="I139" s="580"/>
      <x:c r="J139" s="580"/>
    </x:row>
    <x:row r="140">
      <x:c r="A140" s="580"/>
      <x:c r="B140" s="580"/>
      <x:c r="C140" s="580"/>
      <x:c r="D140" s="580"/>
      <x:c r="E140" s="580"/>
      <x:c r="F140" s="580"/>
      <x:c r="G140" s="580"/>
      <x:c r="H140" s="580"/>
      <x:c r="I140" s="580"/>
      <x:c r="J140" s="580"/>
    </x:row>
    <x:row r="141">
      <x:c r="A141" s="580"/>
      <x:c r="B141" s="580"/>
      <x:c r="C141" s="580"/>
      <x:c r="D141" s="580"/>
      <x:c r="E141" s="580"/>
      <x:c r="F141" s="580"/>
      <x:c r="G141" s="580"/>
      <x:c r="H141" s="580"/>
      <x:c r="I141" s="580"/>
      <x:c r="J141" s="580"/>
    </x:row>
    <x:row r="142">
      <x:c r="A142" s="580"/>
      <x:c r="B142" s="580"/>
      <x:c r="C142" s="580"/>
      <x:c r="D142" s="580"/>
      <x:c r="E142" s="580"/>
      <x:c r="F142" s="580"/>
      <x:c r="G142" s="580"/>
      <x:c r="H142" s="580"/>
      <x:c r="I142" s="580"/>
      <x:c r="J142" s="580"/>
    </x:row>
    <x:row r="143">
      <x:c r="A143" s="580"/>
      <x:c r="B143" s="580"/>
      <x:c r="C143" s="580"/>
      <x:c r="D143" s="580"/>
      <x:c r="E143" s="580"/>
      <x:c r="F143" s="580"/>
      <x:c r="G143" s="580"/>
      <x:c r="H143" s="580"/>
      <x:c r="I143" s="580"/>
      <x:c r="J143" s="580"/>
    </x:row>
    <x:row r="144">
      <x:c r="A144" s="580"/>
      <x:c r="B144" s="580"/>
      <x:c r="C144" s="580"/>
      <x:c r="D144" s="580"/>
      <x:c r="E144" s="580"/>
      <x:c r="F144" s="580"/>
      <x:c r="G144" s="580"/>
      <x:c r="H144" s="580"/>
      <x:c r="I144" s="580"/>
      <x:c r="J144" s="580"/>
    </x:row>
    <x:row r="145">
      <x:c r="A145" s="580"/>
      <x:c r="B145" s="580"/>
      <x:c r="C145" s="580"/>
      <x:c r="D145" s="580"/>
      <x:c r="E145" s="580"/>
      <x:c r="F145" s="580"/>
      <x:c r="G145" s="580"/>
      <x:c r="H145" s="580"/>
      <x:c r="I145" s="580"/>
      <x:c r="J145" s="580"/>
    </x:row>
    <x:row r="146">
      <x:c r="A146" s="580"/>
      <x:c r="B146" s="580"/>
      <x:c r="C146" s="580"/>
      <x:c r="D146" s="580"/>
      <x:c r="E146" s="580"/>
      <x:c r="F146" s="580"/>
      <x:c r="G146" s="580"/>
      <x:c r="H146" s="580"/>
      <x:c r="I146" s="580"/>
      <x:c r="J146" s="580"/>
    </x:row>
    <x:row r="147">
      <x:c r="A147" s="580"/>
      <x:c r="B147" s="580"/>
      <x:c r="C147" s="580"/>
      <x:c r="D147" s="580"/>
      <x:c r="E147" s="580"/>
      <x:c r="F147" s="580"/>
      <x:c r="G147" s="580"/>
      <x:c r="H147" s="580"/>
      <x:c r="I147" s="580"/>
      <x:c r="J147" s="580"/>
    </x:row>
    <x:row r="148">
      <x:c r="A148" s="580"/>
      <x:c r="B148" s="580"/>
      <x:c r="C148" s="580"/>
      <x:c r="D148" s="580"/>
      <x:c r="E148" s="580"/>
      <x:c r="F148" s="580"/>
      <x:c r="G148" s="580"/>
      <x:c r="H148" s="580"/>
      <x:c r="I148" s="580"/>
      <x:c r="J148" s="580"/>
    </x:row>
    <x:row r="149">
      <x:c r="A149" s="580"/>
      <x:c r="B149" s="580"/>
      <x:c r="C149" s="580"/>
      <x:c r="D149" s="580"/>
      <x:c r="E149" s="580"/>
      <x:c r="F149" s="580"/>
      <x:c r="G149" s="580"/>
      <x:c r="H149" s="580"/>
      <x:c r="I149" s="580"/>
      <x:c r="J149" s="580"/>
    </x:row>
    <x:row r="150">
      <x:c r="A150" s="580"/>
      <x:c r="B150" s="580"/>
      <x:c r="C150" s="580"/>
      <x:c r="D150" s="580"/>
      <x:c r="E150" s="580"/>
      <x:c r="F150" s="580"/>
      <x:c r="G150" s="580"/>
      <x:c r="H150" s="580"/>
      <x:c r="I150" s="580"/>
      <x:c r="J150" s="580"/>
    </x:row>
    <x:row r="151">
      <x:c r="A151" s="580"/>
      <x:c r="B151" s="580"/>
      <x:c r="C151" s="580"/>
      <x:c r="D151" s="580"/>
      <x:c r="E151" s="580"/>
      <x:c r="F151" s="580"/>
      <x:c r="G151" s="580"/>
      <x:c r="H151" s="580"/>
      <x:c r="I151" s="580"/>
      <x:c r="J151" s="580"/>
    </x:row>
    <x:row r="152">
      <x:c r="A152" s="580"/>
      <x:c r="B152" s="580"/>
      <x:c r="C152" s="580"/>
      <x:c r="D152" s="580"/>
      <x:c r="E152" s="580"/>
      <x:c r="F152" s="580"/>
      <x:c r="G152" s="580"/>
      <x:c r="H152" s="580"/>
      <x:c r="I152" s="580"/>
      <x:c r="J152" s="580"/>
    </x:row>
    <x:row r="153">
      <x:c r="A153" s="580"/>
      <x:c r="B153" s="580"/>
      <x:c r="C153" s="580"/>
      <x:c r="D153" s="580"/>
      <x:c r="E153" s="580"/>
      <x:c r="F153" s="580"/>
      <x:c r="G153" s="580"/>
      <x:c r="H153" s="580"/>
      <x:c r="I153" s="580"/>
      <x:c r="J153" s="580"/>
    </x:row>
    <x:row r="154">
      <x:c r="A154" s="580"/>
      <x:c r="B154" s="580"/>
      <x:c r="C154" s="580"/>
      <x:c r="D154" s="580"/>
      <x:c r="E154" s="580"/>
      <x:c r="F154" s="580"/>
      <x:c r="G154" s="580"/>
      <x:c r="H154" s="580"/>
      <x:c r="I154" s="580"/>
      <x:c r="J154" s="580"/>
    </x:row>
    <x:row r="155">
      <x:c r="A155" s="580"/>
      <x:c r="B155" s="580"/>
      <x:c r="C155" s="580"/>
      <x:c r="D155" s="580"/>
      <x:c r="E155" s="580"/>
      <x:c r="F155" s="580"/>
      <x:c r="G155" s="580"/>
      <x:c r="H155" s="580"/>
      <x:c r="I155" s="580"/>
      <x:c r="J155" s="580"/>
    </x:row>
    <x:row r="156">
      <x:c r="A156" s="580"/>
      <x:c r="B156" s="580"/>
      <x:c r="C156" s="580"/>
      <x:c r="D156" s="580"/>
      <x:c r="E156" s="580"/>
      <x:c r="F156" s="580"/>
      <x:c r="G156" s="580"/>
      <x:c r="H156" s="580"/>
      <x:c r="I156" s="580"/>
      <x:c r="J156" s="580"/>
    </x:row>
    <x:row r="157">
      <x:c r="A157" s="580"/>
      <x:c r="B157" s="580"/>
      <x:c r="C157" s="580"/>
      <x:c r="D157" s="580"/>
      <x:c r="E157" s="580"/>
      <x:c r="F157" s="580"/>
      <x:c r="G157" s="580"/>
      <x:c r="H157" s="580"/>
      <x:c r="I157" s="580"/>
      <x:c r="J157" s="580"/>
    </x:row>
    <x:row r="158">
      <x:c r="A158" s="580"/>
      <x:c r="B158" s="580"/>
      <x:c r="C158" s="580"/>
      <x:c r="D158" s="580"/>
      <x:c r="E158" s="580"/>
      <x:c r="F158" s="580"/>
      <x:c r="G158" s="580"/>
      <x:c r="H158" s="580"/>
      <x:c r="I158" s="580"/>
      <x:c r="J158" s="580"/>
    </x:row>
    <x:row r="159">
      <x:c r="A159" s="580"/>
      <x:c r="B159" s="580"/>
      <x:c r="C159" s="580"/>
      <x:c r="D159" s="580"/>
      <x:c r="E159" s="580"/>
      <x:c r="F159" s="580"/>
      <x:c r="G159" s="580"/>
      <x:c r="H159" s="580"/>
      <x:c r="I159" s="580"/>
      <x:c r="J159" s="580"/>
    </x:row>
    <x:row r="160">
      <x:c r="A160" s="580"/>
      <x:c r="B160" s="580"/>
      <x:c r="C160" s="580"/>
      <x:c r="D160" s="580"/>
      <x:c r="E160" s="580"/>
      <x:c r="F160" s="580"/>
      <x:c r="G160" s="580"/>
      <x:c r="H160" s="580"/>
      <x:c r="I160" s="580"/>
      <x:c r="J160" s="580"/>
    </x:row>
    <x:row r="161">
      <x:c r="A161" s="580"/>
      <x:c r="B161" s="580"/>
      <x:c r="C161" s="580"/>
      <x:c r="D161" s="580"/>
      <x:c r="E161" s="580"/>
      <x:c r="F161" s="580"/>
      <x:c r="G161" s="580"/>
      <x:c r="H161" s="580"/>
      <x:c r="I161" s="580"/>
      <x:c r="J161" s="580"/>
    </x:row>
    <x:row r="162">
      <x:c r="A162" s="580"/>
      <x:c r="B162" s="580"/>
      <x:c r="C162" s="580"/>
      <x:c r="D162" s="580"/>
      <x:c r="E162" s="580"/>
      <x:c r="F162" s="580"/>
      <x:c r="G162" s="580"/>
      <x:c r="H162" s="580"/>
      <x:c r="I162" s="580"/>
      <x:c r="J162" s="580"/>
    </x:row>
    <x:row r="163">
      <x:c r="A163" s="580"/>
      <x:c r="B163" s="580"/>
      <x:c r="C163" s="580"/>
      <x:c r="D163" s="580"/>
      <x:c r="E163" s="580"/>
      <x:c r="F163" s="580"/>
      <x:c r="G163" s="580"/>
      <x:c r="H163" s="580"/>
      <x:c r="I163" s="580"/>
      <x:c r="J163" s="580"/>
    </x:row>
    <x:row r="164">
      <x:c r="A164" s="580"/>
      <x:c r="B164" s="580"/>
      <x:c r="C164" s="580"/>
      <x:c r="D164" s="580"/>
      <x:c r="E164" s="580"/>
      <x:c r="F164" s="580"/>
      <x:c r="G164" s="580"/>
      <x:c r="H164" s="580"/>
      <x:c r="I164" s="580"/>
      <x:c r="J164" s="580"/>
    </x:row>
    <x:row r="165">
      <x:c r="A165" s="580"/>
      <x:c r="B165" s="580"/>
      <x:c r="C165" s="580"/>
      <x:c r="D165" s="580"/>
      <x:c r="E165" s="580"/>
      <x:c r="F165" s="580"/>
      <x:c r="G165" s="580"/>
      <x:c r="H165" s="580"/>
      <x:c r="I165" s="580"/>
      <x:c r="J165" s="580"/>
    </x:row>
    <x:row r="166">
      <x:c r="A166" s="580"/>
      <x:c r="B166" s="580"/>
      <x:c r="C166" s="580"/>
      <x:c r="D166" s="580"/>
      <x:c r="E166" s="580"/>
      <x:c r="F166" s="580"/>
      <x:c r="G166" s="580"/>
      <x:c r="H166" s="580"/>
      <x:c r="I166" s="580"/>
      <x:c r="J166" s="580"/>
    </x:row>
    <x:row r="167">
      <x:c r="A167" s="580"/>
      <x:c r="B167" s="580"/>
      <x:c r="C167" s="580"/>
      <x:c r="D167" s="580"/>
      <x:c r="E167" s="580"/>
      <x:c r="F167" s="580"/>
      <x:c r="G167" s="580"/>
      <x:c r="H167" s="580"/>
      <x:c r="I167" s="580"/>
      <x:c r="J167" s="580"/>
    </x:row>
    <x:row r="168">
      <x:c r="A168" s="580"/>
      <x:c r="B168" s="580"/>
      <x:c r="C168" s="580"/>
      <x:c r="D168" s="580"/>
      <x:c r="E168" s="580"/>
      <x:c r="F168" s="580"/>
      <x:c r="G168" s="580"/>
      <x:c r="H168" s="580"/>
      <x:c r="I168" s="580"/>
      <x:c r="J168" s="580"/>
    </x:row>
    <x:row r="169">
      <x:c r="A169" s="580"/>
      <x:c r="B169" s="580"/>
      <x:c r="C169" s="580"/>
      <x:c r="D169" s="580"/>
      <x:c r="E169" s="580"/>
      <x:c r="F169" s="580"/>
      <x:c r="G169" s="580"/>
      <x:c r="H169" s="580"/>
      <x:c r="I169" s="580"/>
      <x:c r="J169" s="580"/>
    </x:row>
    <x:row r="170">
      <x:c r="A170" s="580"/>
      <x:c r="B170" s="580"/>
      <x:c r="C170" s="580"/>
      <x:c r="D170" s="580"/>
      <x:c r="E170" s="580"/>
      <x:c r="F170" s="580"/>
      <x:c r="G170" s="580"/>
      <x:c r="H170" s="580"/>
      <x:c r="I170" s="580"/>
      <x:c r="J170" s="580"/>
    </x:row>
    <x:row r="171">
      <x:c r="A171" s="580"/>
      <x:c r="B171" s="580"/>
      <x:c r="C171" s="580"/>
      <x:c r="D171" s="580"/>
      <x:c r="E171" s="580"/>
      <x:c r="F171" s="580"/>
      <x:c r="G171" s="580"/>
      <x:c r="H171" s="580"/>
      <x:c r="I171" s="580"/>
      <x:c r="J171" s="580"/>
    </x:row>
    <x:row r="172">
      <x:c r="A172" s="580"/>
      <x:c r="B172" s="580"/>
      <x:c r="C172" s="580"/>
      <x:c r="D172" s="580"/>
      <x:c r="E172" s="580"/>
      <x:c r="F172" s="580"/>
      <x:c r="G172" s="580"/>
      <x:c r="H172" s="580"/>
      <x:c r="I172" s="580"/>
      <x:c r="J172" s="580"/>
    </x:row>
    <x:row r="173">
      <x:c r="A173" s="580"/>
      <x:c r="B173" s="580"/>
      <x:c r="C173" s="580"/>
      <x:c r="D173" s="580"/>
      <x:c r="E173" s="580"/>
      <x:c r="F173" s="580"/>
      <x:c r="G173" s="580"/>
      <x:c r="H173" s="580"/>
      <x:c r="I173" s="580"/>
      <x:c r="J173" s="580"/>
    </x:row>
    <x:row r="174">
      <x:c r="A174" s="580"/>
      <x:c r="B174" s="580"/>
      <x:c r="C174" s="580"/>
      <x:c r="D174" s="580"/>
      <x:c r="E174" s="580"/>
      <x:c r="F174" s="580"/>
      <x:c r="G174" s="580"/>
      <x:c r="H174" s="580"/>
      <x:c r="I174" s="580"/>
      <x:c r="J174" s="580"/>
    </x:row>
    <x:row r="175">
      <x:c r="A175" s="580"/>
      <x:c r="B175" s="580"/>
      <x:c r="C175" s="580"/>
      <x:c r="D175" s="580"/>
      <x:c r="E175" s="580"/>
      <x:c r="F175" s="580"/>
      <x:c r="G175" s="580"/>
      <x:c r="H175" s="580"/>
      <x:c r="I175" s="580"/>
      <x:c r="J175" s="580"/>
    </x:row>
    <x:row r="176">
      <x:c r="A176" s="580"/>
      <x:c r="B176" s="580"/>
      <x:c r="C176" s="580"/>
      <x:c r="D176" s="580"/>
      <x:c r="E176" s="580"/>
      <x:c r="F176" s="580"/>
      <x:c r="G176" s="580"/>
      <x:c r="H176" s="580"/>
      <x:c r="I176" s="580"/>
      <x:c r="J176" s="580"/>
    </x:row>
    <x:row r="177">
      <x:c r="A177" s="580"/>
      <x:c r="B177" s="580"/>
      <x:c r="C177" s="580"/>
      <x:c r="D177" s="580"/>
      <x:c r="E177" s="580"/>
      <x:c r="F177" s="580"/>
      <x:c r="G177" s="580"/>
      <x:c r="H177" s="580"/>
      <x:c r="I177" s="580"/>
      <x:c r="J177" s="580"/>
    </x:row>
    <x:row r="178">
      <x:c r="A178" s="580"/>
      <x:c r="B178" s="580"/>
      <x:c r="C178" s="580"/>
      <x:c r="D178" s="580"/>
      <x:c r="E178" s="580"/>
      <x:c r="F178" s="580"/>
      <x:c r="G178" s="580"/>
      <x:c r="H178" s="580"/>
      <x:c r="I178" s="580"/>
      <x:c r="J178" s="580"/>
    </x:row>
    <x:row r="179">
      <x:c r="A179" s="580"/>
      <x:c r="B179" s="580"/>
      <x:c r="C179" s="580"/>
      <x:c r="D179" s="580"/>
      <x:c r="E179" s="580"/>
      <x:c r="F179" s="580"/>
      <x:c r="G179" s="580"/>
      <x:c r="H179" s="580"/>
      <x:c r="I179" s="580"/>
      <x:c r="J179" s="580"/>
    </x:row>
    <x:row r="180">
      <x:c r="A180" s="580"/>
      <x:c r="B180" s="580"/>
      <x:c r="C180" s="580"/>
      <x:c r="D180" s="580"/>
      <x:c r="E180" s="580"/>
      <x:c r="F180" s="580"/>
      <x:c r="G180" s="580"/>
      <x:c r="H180" s="580"/>
      <x:c r="I180" s="580"/>
      <x:c r="J180" s="580"/>
    </x:row>
    <x:row r="181">
      <x:c r="A181" s="580"/>
      <x:c r="B181" s="580"/>
      <x:c r="C181" s="580"/>
      <x:c r="D181" s="580"/>
      <x:c r="E181" s="580"/>
      <x:c r="F181" s="580"/>
      <x:c r="G181" s="580"/>
      <x:c r="H181" s="580"/>
      <x:c r="I181" s="580"/>
      <x:c r="J181" s="580"/>
    </x:row>
    <x:row r="182">
      <x:c r="A182" s="580"/>
      <x:c r="B182" s="580"/>
      <x:c r="C182" s="580"/>
      <x:c r="D182" s="580"/>
      <x:c r="E182" s="580"/>
      <x:c r="F182" s="580"/>
      <x:c r="G182" s="580"/>
      <x:c r="H182" s="580"/>
      <x:c r="I182" s="580"/>
      <x:c r="J182" s="580"/>
    </x:row>
    <x:row r="183">
      <x:c r="A183" s="580"/>
      <x:c r="B183" s="580"/>
      <x:c r="C183" s="580"/>
      <x:c r="D183" s="580"/>
      <x:c r="E183" s="580"/>
      <x:c r="F183" s="580"/>
      <x:c r="G183" s="580"/>
      <x:c r="H183" s="580"/>
      <x:c r="I183" s="580"/>
      <x:c r="J183" s="580"/>
    </x:row>
    <x:row r="184">
      <x:c r="A184" s="580"/>
      <x:c r="B184" s="580"/>
      <x:c r="C184" s="580"/>
      <x:c r="D184" s="580"/>
      <x:c r="E184" s="580"/>
      <x:c r="F184" s="580"/>
      <x:c r="G184" s="580"/>
      <x:c r="H184" s="580"/>
      <x:c r="I184" s="580"/>
      <x:c r="J184" s="580"/>
    </x:row>
    <x:row r="185">
      <x:c r="A185" s="580"/>
      <x:c r="B185" s="580"/>
      <x:c r="C185" s="580"/>
      <x:c r="D185" s="580"/>
      <x:c r="E185" s="580"/>
      <x:c r="F185" s="580"/>
      <x:c r="G185" s="580"/>
      <x:c r="H185" s="580"/>
      <x:c r="I185" s="580"/>
      <x:c r="J185" s="580"/>
    </x:row>
    <x:row r="186">
      <x:c r="A186" s="580"/>
      <x:c r="B186" s="580"/>
      <x:c r="C186" s="580"/>
      <x:c r="D186" s="580"/>
      <x:c r="E186" s="580"/>
      <x:c r="F186" s="580"/>
      <x:c r="G186" s="580"/>
      <x:c r="H186" s="580"/>
      <x:c r="I186" s="580"/>
      <x:c r="J186" s="580"/>
    </x:row>
    <x:row r="187">
      <x:c r="A187" s="580"/>
      <x:c r="B187" s="580"/>
      <x:c r="C187" s="580"/>
      <x:c r="D187" s="580"/>
      <x:c r="E187" s="580"/>
      <x:c r="F187" s="580"/>
      <x:c r="G187" s="580"/>
      <x:c r="H187" s="580"/>
      <x:c r="I187" s="580"/>
      <x:c r="J187" s="580"/>
    </x:row>
    <x:row r="188">
      <x:c r="A188" s="580"/>
      <x:c r="B188" s="580"/>
      <x:c r="C188" s="580"/>
      <x:c r="D188" s="580"/>
      <x:c r="E188" s="580"/>
      <x:c r="F188" s="580"/>
      <x:c r="G188" s="580"/>
      <x:c r="H188" s="580"/>
      <x:c r="I188" s="580"/>
      <x:c r="J188" s="580"/>
    </x:row>
    <x:row r="189">
      <x:c r="A189" s="580"/>
      <x:c r="B189" s="580"/>
      <x:c r="C189" s="580"/>
      <x:c r="D189" s="580"/>
      <x:c r="E189" s="580"/>
      <x:c r="F189" s="580"/>
      <x:c r="G189" s="580"/>
      <x:c r="H189" s="580"/>
      <x:c r="I189" s="580"/>
      <x:c r="J189" s="580"/>
    </x:row>
    <x:row r="190">
      <x:c r="A190" s="580"/>
      <x:c r="B190" s="580"/>
      <x:c r="C190" s="580"/>
      <x:c r="D190" s="580"/>
      <x:c r="E190" s="580"/>
      <x:c r="F190" s="580"/>
      <x:c r="G190" s="580"/>
      <x:c r="H190" s="580"/>
      <x:c r="I190" s="580"/>
      <x:c r="J190" s="580"/>
    </x:row>
    <x:row r="191">
      <x:c r="A191" s="580"/>
      <x:c r="B191" s="580"/>
      <x:c r="C191" s="580"/>
      <x:c r="D191" s="580"/>
      <x:c r="E191" s="580"/>
      <x:c r="F191" s="580"/>
      <x:c r="G191" s="580"/>
      <x:c r="H191" s="580"/>
      <x:c r="I191" s="580"/>
      <x:c r="J191" s="580"/>
    </x:row>
    <x:row r="192">
      <x:c r="A192" s="580"/>
      <x:c r="B192" s="580"/>
      <x:c r="C192" s="580"/>
      <x:c r="D192" s="580"/>
      <x:c r="E192" s="580"/>
      <x:c r="F192" s="580"/>
      <x:c r="G192" s="580"/>
      <x:c r="H192" s="580"/>
      <x:c r="I192" s="580"/>
      <x:c r="J192" s="580"/>
    </x:row>
    <x:row r="193">
      <x:c r="A193" s="580"/>
      <x:c r="B193" s="580"/>
      <x:c r="C193" s="580"/>
      <x:c r="D193" s="580"/>
      <x:c r="E193" s="580"/>
      <x:c r="F193" s="580"/>
      <x:c r="G193" s="580"/>
      <x:c r="H193" s="580"/>
      <x:c r="I193" s="580"/>
      <x:c r="J193" s="580"/>
    </x:row>
    <x:row r="194">
      <x:c r="A194" s="580"/>
      <x:c r="B194" s="580"/>
      <x:c r="C194" s="580"/>
      <x:c r="D194" s="580"/>
      <x:c r="E194" s="580"/>
      <x:c r="F194" s="580"/>
      <x:c r="G194" s="580"/>
      <x:c r="H194" s="580"/>
      <x:c r="I194" s="580"/>
      <x:c r="J194" s="580"/>
    </x:row>
    <x:row r="195">
      <x:c r="A195" s="580"/>
      <x:c r="B195" s="580"/>
      <x:c r="C195" s="580"/>
      <x:c r="D195" s="580"/>
      <x:c r="E195" s="580"/>
      <x:c r="F195" s="580"/>
      <x:c r="G195" s="580"/>
      <x:c r="H195" s="580"/>
      <x:c r="I195" s="580"/>
      <x:c r="J195" s="580"/>
    </x:row>
    <x:row r="196">
      <x:c r="A196" s="580"/>
      <x:c r="B196" s="580"/>
      <x:c r="C196" s="580"/>
      <x:c r="D196" s="580"/>
      <x:c r="E196" s="580"/>
      <x:c r="F196" s="580"/>
      <x:c r="G196" s="580"/>
      <x:c r="H196" s="580"/>
      <x:c r="I196" s="580"/>
      <x:c r="J196" s="580"/>
    </x:row>
    <x:row r="197">
      <x:c r="A197" s="580"/>
      <x:c r="B197" s="580"/>
      <x:c r="C197" s="580"/>
      <x:c r="D197" s="580"/>
      <x:c r="E197" s="580"/>
      <x:c r="F197" s="580"/>
      <x:c r="G197" s="580"/>
      <x:c r="H197" s="580"/>
      <x:c r="I197" s="580"/>
      <x:c r="J197" s="580"/>
    </x:row>
    <x:row r="198">
      <x:c r="A198" s="580"/>
      <x:c r="B198" s="580"/>
      <x:c r="C198" s="580"/>
      <x:c r="D198" s="580"/>
      <x:c r="E198" s="580"/>
      <x:c r="F198" s="580"/>
      <x:c r="G198" s="580"/>
      <x:c r="H198" s="580"/>
      <x:c r="I198" s="580"/>
      <x:c r="J198" s="580"/>
    </x:row>
    <x:row r="199">
      <x:c r="A199" s="580"/>
      <x:c r="B199" s="580"/>
      <x:c r="C199" s="580"/>
      <x:c r="D199" s="580"/>
      <x:c r="E199" s="580"/>
      <x:c r="F199" s="580"/>
      <x:c r="G199" s="580"/>
      <x:c r="H199" s="580"/>
      <x:c r="I199" s="580"/>
      <x:c r="J199" s="580"/>
    </x:row>
    <x:row r="200">
      <x:c r="A200" s="580"/>
      <x:c r="B200" s="580"/>
      <x:c r="C200" s="580"/>
      <x:c r="D200" s="580"/>
      <x:c r="E200" s="580"/>
      <x:c r="F200" s="580"/>
      <x:c r="G200" s="580"/>
      <x:c r="H200" s="580"/>
      <x:c r="I200" s="580"/>
      <x:c r="J200" s="580"/>
    </x:row>
    <x:row r="201">
      <x:c r="A201" s="580"/>
      <x:c r="B201" s="580"/>
      <x:c r="C201" s="580"/>
      <x:c r="D201" s="580"/>
      <x:c r="E201" s="580"/>
      <x:c r="F201" s="580"/>
      <x:c r="G201" s="580"/>
      <x:c r="H201" s="580"/>
      <x:c r="I201" s="580"/>
      <x:c r="J201" s="580"/>
    </x:row>
    <x:row r="202">
      <x:c r="A202" s="580"/>
      <x:c r="B202" s="580"/>
      <x:c r="C202" s="580"/>
      <x:c r="D202" s="580"/>
      <x:c r="E202" s="580"/>
      <x:c r="F202" s="580"/>
      <x:c r="G202" s="580"/>
      <x:c r="H202" s="580"/>
      <x:c r="I202" s="580"/>
      <x:c r="J202" s="580"/>
    </x:row>
    <x:row r="203">
      <x:c r="A203" s="580"/>
      <x:c r="B203" s="580"/>
      <x:c r="C203" s="580"/>
      <x:c r="D203" s="580"/>
      <x:c r="E203" s="580"/>
      <x:c r="F203" s="580"/>
      <x:c r="G203" s="580"/>
      <x:c r="H203" s="580"/>
      <x:c r="I203" s="580"/>
      <x:c r="J203" s="580"/>
    </x:row>
    <x:row r="204">
      <x:c r="A204" s="580"/>
      <x:c r="B204" s="580"/>
      <x:c r="C204" s="580"/>
      <x:c r="D204" s="580"/>
      <x:c r="E204" s="580"/>
      <x:c r="F204" s="580"/>
      <x:c r="G204" s="580"/>
      <x:c r="H204" s="580"/>
      <x:c r="I204" s="580"/>
      <x:c r="J204" s="580"/>
    </x:row>
    <x:row r="205">
      <x:c r="A205" s="580"/>
      <x:c r="B205" s="580"/>
      <x:c r="C205" s="580"/>
      <x:c r="D205" s="580"/>
      <x:c r="E205" s="580"/>
      <x:c r="F205" s="580"/>
      <x:c r="G205" s="580"/>
      <x:c r="H205" s="580"/>
      <x:c r="I205" s="580"/>
      <x:c r="J205" s="580"/>
    </x:row>
    <x:row r="206">
      <x:c r="A206" s="580"/>
      <x:c r="B206" s="580"/>
      <x:c r="C206" s="580"/>
      <x:c r="D206" s="580"/>
      <x:c r="E206" s="580"/>
      <x:c r="F206" s="580"/>
      <x:c r="G206" s="580"/>
      <x:c r="H206" s="580"/>
      <x:c r="I206" s="580"/>
      <x:c r="J206" s="580"/>
    </x:row>
    <x:row r="207">
      <x:c r="A207" s="580"/>
      <x:c r="B207" s="580"/>
      <x:c r="C207" s="580"/>
      <x:c r="D207" s="580"/>
      <x:c r="E207" s="580"/>
      <x:c r="F207" s="580"/>
      <x:c r="G207" s="580"/>
      <x:c r="H207" s="580"/>
      <x:c r="I207" s="580"/>
      <x:c r="J207" s="580"/>
    </x:row>
    <x:row r="208">
      <x:c r="A208" s="580"/>
      <x:c r="B208" s="580"/>
      <x:c r="C208" s="580"/>
      <x:c r="D208" s="580"/>
      <x:c r="E208" s="580"/>
      <x:c r="F208" s="580"/>
      <x:c r="G208" s="580"/>
      <x:c r="H208" s="580"/>
      <x:c r="I208" s="580"/>
      <x:c r="J208" s="580"/>
    </x:row>
    <x:row r="209">
      <x:c r="A209" s="580"/>
      <x:c r="B209" s="580"/>
      <x:c r="C209" s="580"/>
      <x:c r="D209" s="580"/>
      <x:c r="E209" s="580"/>
      <x:c r="F209" s="580"/>
      <x:c r="G209" s="580"/>
      <x:c r="H209" s="580"/>
      <x:c r="I209" s="580"/>
      <x:c r="J209" s="580"/>
    </x:row>
    <x:row r="210">
      <x:c r="A210" s="580"/>
      <x:c r="B210" s="580"/>
      <x:c r="C210" s="580"/>
      <x:c r="D210" s="580"/>
      <x:c r="E210" s="580"/>
      <x:c r="F210" s="580"/>
      <x:c r="G210" s="580"/>
      <x:c r="H210" s="580"/>
      <x:c r="I210" s="580"/>
      <x:c r="J210" s="580"/>
    </x:row>
    <x:row r="211">
      <x:c r="A211" s="580"/>
      <x:c r="B211" s="580"/>
      <x:c r="C211" s="580"/>
      <x:c r="D211" s="580"/>
      <x:c r="E211" s="580"/>
      <x:c r="F211" s="580"/>
      <x:c r="G211" s="580"/>
      <x:c r="H211" s="580"/>
      <x:c r="I211" s="580"/>
      <x:c r="J211" s="580"/>
    </x:row>
    <x:row r="212">
      <x:c r="A212" s="580"/>
      <x:c r="B212" s="580"/>
      <x:c r="C212" s="580"/>
      <x:c r="D212" s="580"/>
      <x:c r="E212" s="580"/>
      <x:c r="F212" s="580"/>
      <x:c r="G212" s="580"/>
      <x:c r="H212" s="580"/>
      <x:c r="I212" s="580"/>
      <x:c r="J212" s="580"/>
    </x:row>
    <x:row r="213">
      <x:c r="A213" s="580"/>
      <x:c r="B213" s="580"/>
      <x:c r="C213" s="580"/>
      <x:c r="D213" s="580"/>
      <x:c r="E213" s="580"/>
      <x:c r="F213" s="580"/>
      <x:c r="G213" s="580"/>
      <x:c r="H213" s="580"/>
      <x:c r="I213" s="580"/>
      <x:c r="J213" s="580"/>
    </x:row>
    <x:row r="214">
      <x:c r="A214" s="580"/>
      <x:c r="B214" s="580"/>
      <x:c r="C214" s="580"/>
      <x:c r="D214" s="580"/>
      <x:c r="E214" s="580"/>
      <x:c r="F214" s="580"/>
      <x:c r="G214" s="580"/>
      <x:c r="H214" s="580"/>
      <x:c r="I214" s="580"/>
      <x:c r="J214" s="580"/>
    </x:row>
    <x:row r="215">
      <x:c r="A215" s="580"/>
      <x:c r="B215" s="580"/>
      <x:c r="C215" s="580"/>
      <x:c r="D215" s="580"/>
      <x:c r="E215" s="580"/>
      <x:c r="F215" s="580"/>
      <x:c r="G215" s="580"/>
      <x:c r="H215" s="580"/>
      <x:c r="I215" s="580"/>
      <x:c r="J215" s="580"/>
    </x:row>
    <x:row r="216">
      <x:c r="A216" s="580"/>
      <x:c r="B216" s="580"/>
      <x:c r="C216" s="580"/>
      <x:c r="D216" s="580"/>
      <x:c r="E216" s="580"/>
      <x:c r="F216" s="580"/>
      <x:c r="G216" s="580"/>
      <x:c r="H216" s="580"/>
      <x:c r="I216" s="580"/>
      <x:c r="J216" s="580"/>
    </x:row>
    <x:row r="217">
      <x:c r="A217" s="580"/>
      <x:c r="B217" s="580"/>
      <x:c r="C217" s="580"/>
      <x:c r="D217" s="580"/>
      <x:c r="E217" s="580"/>
      <x:c r="F217" s="580"/>
      <x:c r="G217" s="580"/>
      <x:c r="H217" s="580"/>
      <x:c r="I217" s="580"/>
      <x:c r="J217" s="580"/>
    </x:row>
    <x:row r="218">
      <x:c r="A218" s="580"/>
      <x:c r="B218" s="580"/>
      <x:c r="C218" s="580"/>
      <x:c r="D218" s="580"/>
      <x:c r="E218" s="580"/>
      <x:c r="F218" s="580"/>
      <x:c r="G218" s="580"/>
      <x:c r="H218" s="580"/>
      <x:c r="I218" s="580"/>
      <x:c r="J218" s="580"/>
    </x:row>
    <x:row r="219">
      <x:c r="A219" s="580"/>
      <x:c r="B219" s="580"/>
      <x:c r="C219" s="580"/>
      <x:c r="D219" s="580"/>
      <x:c r="E219" s="580"/>
      <x:c r="F219" s="580"/>
      <x:c r="G219" s="580"/>
      <x:c r="H219" s="580"/>
      <x:c r="I219" s="580"/>
      <x:c r="J219" s="580"/>
    </x:row>
    <x:row r="220">
      <x:c r="A220" s="580"/>
      <x:c r="B220" s="580"/>
      <x:c r="C220" s="580"/>
      <x:c r="D220" s="580"/>
      <x:c r="E220" s="580"/>
      <x:c r="F220" s="580"/>
      <x:c r="G220" s="580"/>
      <x:c r="H220" s="580"/>
      <x:c r="I220" s="580"/>
      <x:c r="J220" s="580"/>
    </x:row>
    <x:row r="221">
      <x:c r="A221" s="580"/>
      <x:c r="B221" s="580"/>
      <x:c r="C221" s="580"/>
      <x:c r="D221" s="580"/>
      <x:c r="E221" s="580"/>
      <x:c r="F221" s="580"/>
      <x:c r="G221" s="580"/>
      <x:c r="H221" s="580"/>
      <x:c r="I221" s="580"/>
      <x:c r="J221" s="580"/>
    </x:row>
    <x:row r="222">
      <x:c r="A222" s="580"/>
      <x:c r="B222" s="580"/>
      <x:c r="C222" s="580"/>
      <x:c r="D222" s="580"/>
      <x:c r="E222" s="580"/>
      <x:c r="F222" s="580"/>
      <x:c r="G222" s="580"/>
      <x:c r="H222" s="580"/>
      <x:c r="I222" s="580"/>
      <x:c r="J222" s="580"/>
    </x:row>
    <x:row r="223">
      <x:c r="A223" s="580"/>
      <x:c r="B223" s="580"/>
      <x:c r="C223" s="580"/>
      <x:c r="D223" s="580"/>
      <x:c r="E223" s="580"/>
      <x:c r="F223" s="580"/>
      <x:c r="G223" s="580"/>
      <x:c r="H223" s="580"/>
      <x:c r="I223" s="580"/>
      <x:c r="J223" s="580"/>
    </x:row>
    <x:row r="224">
      <x:c r="A224" s="580"/>
      <x:c r="B224" s="580"/>
      <x:c r="C224" s="580"/>
      <x:c r="D224" s="580"/>
      <x:c r="E224" s="580"/>
      <x:c r="F224" s="580"/>
      <x:c r="G224" s="580"/>
      <x:c r="H224" s="580"/>
      <x:c r="I224" s="580"/>
      <x:c r="J224" s="580"/>
    </x:row>
    <x:row r="225">
      <x:c r="A225" s="580"/>
      <x:c r="B225" s="580"/>
      <x:c r="C225" s="580"/>
      <x:c r="D225" s="580"/>
      <x:c r="E225" s="580"/>
      <x:c r="F225" s="580"/>
      <x:c r="G225" s="580"/>
      <x:c r="H225" s="580"/>
      <x:c r="I225" s="580"/>
      <x:c r="J225" s="580"/>
    </x:row>
    <x:row r="226">
      <x:c r="A226" s="580"/>
      <x:c r="B226" s="580"/>
      <x:c r="C226" s="580"/>
      <x:c r="D226" s="580"/>
      <x:c r="E226" s="580"/>
      <x:c r="F226" s="580"/>
      <x:c r="G226" s="580"/>
      <x:c r="H226" s="580"/>
      <x:c r="I226" s="580"/>
      <x:c r="J226" s="580"/>
    </x:row>
    <x:row r="227">
      <x:c r="A227" s="580"/>
      <x:c r="B227" s="580"/>
      <x:c r="C227" s="580"/>
      <x:c r="D227" s="580"/>
      <x:c r="E227" s="580"/>
      <x:c r="F227" s="580"/>
      <x:c r="G227" s="580"/>
      <x:c r="H227" s="580"/>
      <x:c r="I227" s="580"/>
      <x:c r="J227" s="580"/>
    </x:row>
    <x:row r="228">
      <x:c r="A228" s="580"/>
      <x:c r="B228" s="580"/>
      <x:c r="C228" s="580"/>
      <x:c r="D228" s="580"/>
      <x:c r="E228" s="580"/>
      <x:c r="F228" s="580"/>
      <x:c r="G228" s="580"/>
      <x:c r="H228" s="580"/>
      <x:c r="I228" s="580"/>
      <x:c r="J228" s="580"/>
    </x:row>
    <x:row r="229">
      <x:c r="A229" s="580"/>
      <x:c r="B229" s="580"/>
      <x:c r="C229" s="580"/>
      <x:c r="D229" s="580"/>
      <x:c r="E229" s="580"/>
      <x:c r="F229" s="580"/>
      <x:c r="G229" s="580"/>
      <x:c r="H229" s="580"/>
      <x:c r="I229" s="580"/>
      <x:c r="J229" s="580"/>
    </x:row>
    <x:row r="230">
      <x:c r="A230" s="580"/>
      <x:c r="B230" s="580"/>
      <x:c r="C230" s="580"/>
      <x:c r="D230" s="580"/>
      <x:c r="E230" s="580"/>
      <x:c r="F230" s="580"/>
      <x:c r="G230" s="580"/>
      <x:c r="H230" s="580"/>
      <x:c r="I230" s="580"/>
      <x:c r="J230" s="580"/>
    </x:row>
    <x:row r="231">
      <x:c r="A231" s="580"/>
      <x:c r="B231" s="580"/>
      <x:c r="C231" s="580"/>
      <x:c r="D231" s="580"/>
      <x:c r="E231" s="580"/>
      <x:c r="F231" s="580"/>
      <x:c r="G231" s="580"/>
      <x:c r="H231" s="580"/>
      <x:c r="I231" s="580"/>
      <x:c r="J231" s="580"/>
    </x:row>
    <x:row r="232">
      <x:c r="A232" s="580"/>
      <x:c r="B232" s="580"/>
      <x:c r="C232" s="580"/>
      <x:c r="D232" s="580"/>
      <x:c r="E232" s="580"/>
      <x:c r="F232" s="580"/>
      <x:c r="G232" s="580"/>
      <x:c r="H232" s="580"/>
      <x:c r="I232" s="580"/>
      <x:c r="J232" s="580"/>
    </x:row>
    <x:row r="233">
      <x:c r="A233" s="580"/>
      <x:c r="B233" s="580"/>
      <x:c r="C233" s="580"/>
      <x:c r="D233" s="580"/>
      <x:c r="E233" s="580"/>
      <x:c r="F233" s="580"/>
      <x:c r="G233" s="580"/>
      <x:c r="H233" s="580"/>
      <x:c r="I233" s="580"/>
      <x:c r="J233" s="580"/>
    </x:row>
    <x:row r="234">
      <x:c r="A234" s="580"/>
      <x:c r="B234" s="580"/>
      <x:c r="C234" s="580"/>
      <x:c r="D234" s="580"/>
      <x:c r="E234" s="580"/>
      <x:c r="F234" s="580"/>
      <x:c r="G234" s="580"/>
      <x:c r="H234" s="580"/>
      <x:c r="I234" s="580"/>
      <x:c r="J234" s="580"/>
    </x:row>
    <x:row r="235">
      <x:c r="A235" s="580"/>
      <x:c r="B235" s="580"/>
      <x:c r="C235" s="580"/>
      <x:c r="D235" s="580"/>
      <x:c r="E235" s="580"/>
      <x:c r="F235" s="580"/>
      <x:c r="G235" s="580"/>
      <x:c r="H235" s="580"/>
      <x:c r="I235" s="580"/>
      <x:c r="J235" s="580"/>
    </x:row>
    <x:row r="236">
      <x:c r="A236" s="580"/>
      <x:c r="B236" s="580"/>
      <x:c r="C236" s="580"/>
      <x:c r="D236" s="580"/>
      <x:c r="E236" s="580"/>
      <x:c r="F236" s="580"/>
      <x:c r="G236" s="580"/>
      <x:c r="H236" s="580"/>
      <x:c r="I236" s="580"/>
      <x:c r="J236" s="580"/>
    </x:row>
    <x:row r="237">
      <x:c r="A237" s="580"/>
      <x:c r="B237" s="580"/>
      <x:c r="C237" s="580"/>
      <x:c r="D237" s="580"/>
      <x:c r="E237" s="580"/>
      <x:c r="F237" s="580"/>
      <x:c r="G237" s="580"/>
      <x:c r="H237" s="580"/>
      <x:c r="I237" s="580"/>
      <x:c r="J237" s="580"/>
    </x:row>
    <x:row r="238">
      <x:c r="A238" s="580"/>
      <x:c r="B238" s="580"/>
      <x:c r="C238" s="580"/>
      <x:c r="D238" s="580"/>
      <x:c r="E238" s="580"/>
      <x:c r="F238" s="580"/>
      <x:c r="G238" s="580"/>
      <x:c r="H238" s="580"/>
      <x:c r="I238" s="580"/>
      <x:c r="J238" s="580"/>
    </x:row>
    <x:row r="239">
      <x:c r="A239" s="580"/>
      <x:c r="B239" s="580"/>
      <x:c r="C239" s="580"/>
      <x:c r="D239" s="580"/>
      <x:c r="E239" s="580"/>
      <x:c r="F239" s="580"/>
      <x:c r="G239" s="580"/>
      <x:c r="H239" s="580"/>
      <x:c r="I239" s="580"/>
      <x:c r="J239" s="580"/>
    </x:row>
    <x:row r="240">
      <x:c r="A240" s="580"/>
      <x:c r="B240" s="580"/>
      <x:c r="C240" s="580"/>
      <x:c r="D240" s="580"/>
      <x:c r="E240" s="580"/>
      <x:c r="F240" s="580"/>
      <x:c r="G240" s="580"/>
      <x:c r="H240" s="580"/>
      <x:c r="I240" s="580"/>
      <x:c r="J240" s="580"/>
    </x:row>
  </x:sheetData>
  <x:mergeCells>
    <x:mergeCell ref="A3:J3"/>
    <x:mergeCell ref="A1:J1"/>
  </x:mergeCells>
  <x:dataValidations count="1">
    <x:dataValidation type="list" sqref="J6:J40">
      <x:formula1>"Draft,Planned,Booked,Final"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56" hidden="0" customWidth="1"/>
    <x:col min="4" max="4" width="22" hidden="0" customWidth="1"/>
    <x:col min="5" max="5" width="16" hidden="0" customWidth="1"/>
  </x:cols>
  <x:sheetData>
    <x:row r="1">
      <x:c r="A1" s="583" t="str">
        <x:v>✦ Smart Mode Rules</x:v>
      </x:c>
      <x:c r="B1" s="583"/>
      <x:c r="C1" s="583"/>
      <x:c r="D1" s="583"/>
      <x:c r="E1" s="583"/>
    </x:row>
    <x:row r="2">
      <x:c r="A2" s="583"/>
      <x:c r="B2" s="583"/>
      <x:c r="C2" s="583"/>
      <x:c r="D2" s="583"/>
      <x:c r="E2" s="583"/>
    </x:row>
    <x:row r="3">
      <x:c r="A3" s="584" t="str">
        <x:v>These rules power the app’s contextual Smart Mode. Keep wording short and reassuring.</x:v>
      </x:c>
      <x:c r="B3" s="584"/>
      <x:c r="C3" s="584"/>
      <x:c r="D3" s="584"/>
      <x:c r="E3" s="584"/>
    </x:row>
    <x:row r="4">
      <x:c r="A4" s="580"/>
      <x:c r="B4" s="580"/>
      <x:c r="C4" s="580"/>
      <x:c r="D4" s="580"/>
      <x:c r="E4" s="580"/>
    </x:row>
    <x:row r="5">
      <x:c r="A5" s="587" t="str">
        <x:v>Context</x:v>
      </x:c>
      <x:c r="B5" s="587" t="str">
        <x:v>Trigger</x:v>
      </x:c>
      <x:c r="C5" s="587" t="str">
        <x:v>Home Recommendation</x:v>
      </x:c>
      <x:c r="D5" s="587" t="str">
        <x:v>Primary Screen</x:v>
      </x:c>
      <x:c r="E5" s="587" t="str">
        <x:v>Priority</x:v>
      </x:c>
    </x:row>
    <x:row r="6">
      <x:c r="A6" s="588" t="str">
        <x:v>Before Trip</x:v>
      </x:c>
      <x:c r="B6" s="588" t="str">
        <x:v>Current date before Oct 27, 2026</x:v>
      </x:c>
      <x:c r="C6" s="588" t="str">
        <x:v>Bookings, packing, Apple Wallet Suica, readiness</x:v>
      </x:c>
      <x:c r="D6" s="588" t="str">
        <x:v>Before Trip</x:v>
      </x:c>
      <x:c r="E6" s="588" t="str">
        <x:v>High</x:v>
      </x:c>
    </x:row>
    <x:row r="7">
      <x:c r="A7" s="588" t="str">
        <x:v>Flight Day</x:v>
      </x:c>
      <x:c r="B7" s="588" t="str">
        <x:v>Itinerary contains airport/flight/Narita/Haneda</x:v>
      </x:c>
      <x:c r="C7" s="588" t="str">
        <x:v>Passport, flight, hotel, arrival route</x:v>
      </x:c>
      <x:c r="D7" s="588" t="str">
        <x:v>Airport Mode</x:v>
      </x:c>
      <x:c r="E7" s="588" t="str">
        <x:v>Critical</x:v>
      </x:c>
    </x:row>
    <x:row r="8">
      <x:c r="A8" s="588" t="str">
        <x:v>Transit Day</x:v>
      </x:c>
      <x:c r="B8" s="588" t="str">
        <x:v>Itinerary contains train, transfer, Shinkansen, Hakone</x:v>
      </x:c>
      <x:c r="C8" s="588" t="str">
        <x:v>Route, luggage, exits, Suica</x:v>
      </x:c>
      <x:c r="D8" s="588" t="str">
        <x:v>Transit Mode</x:v>
      </x:c>
      <x:c r="E8" s="588" t="str">
        <x:v>High</x:v>
      </x:c>
    </x:row>
    <x:row r="9">
      <x:c r="A9" s="588" t="str">
        <x:v>Morning</x:v>
      </x:c>
      <x:c r="B9" s="588" t="str">
        <x:v>Before 11 AM</x:v>
      </x:c>
      <x:c r="C9" s="588" t="str">
        <x:v>Weather, breakfast, first transit, what to bring</x:v>
      </x:c>
      <x:c r="D9" s="588" t="str">
        <x:v>Today</x:v>
      </x:c>
      <x:c r="E9" s="588" t="str">
        <x:v>High</x:v>
      </x:c>
    </x:row>
    <x:row r="10">
      <x:c r="A10" s="588" t="str">
        <x:v>Afternoon</x:v>
      </x:c>
      <x:c r="B10" s="588" t="str">
        <x:v>11 AM–5 PM</x:v>
      </x:c>
      <x:c r="C10" s="588" t="str">
        <x:v>Nearby food, attractions, bathrooms, maps</x:v>
      </x:c>
      <x:c r="D10" s="588" t="str">
        <x:v>Explore</x:v>
      </x:c>
      <x:c r="E10" s="588" t="str">
        <x:v>Medium</x:v>
      </x:c>
    </x:row>
    <x:row r="11">
      <x:c r="A11" s="588" t="str">
        <x:v>Evening</x:v>
      </x:c>
      <x:c r="B11" s="588" t="str">
        <x:v>After 5 PM</x:v>
      </x:c>
      <x:c r="C11" s="588" t="str">
        <x:v>Dinner, tomorrow, charging, journal, packing</x:v>
      </x:c>
      <x:c r="D11" s="588" t="str">
        <x:v>Evening Mode</x:v>
      </x:c>
      <x:c r="E11" s="588" t="str">
        <x:v>High</x:v>
      </x:c>
    </x:row>
    <x:row r="12">
      <x:c r="A12" s="588" t="str">
        <x:v>Rain</x:v>
      </x:c>
      <x:c r="B12" s="588" t="str">
        <x:v>Precipitation probability ≥40%</x:v>
      </x:c>
      <x:c r="C12" s="588" t="str">
        <x:v>Umbrella and Rain Mode</x:v>
      </x:c>
      <x:c r="D12" s="588" t="str">
        <x:v>Rain Mode</x:v>
      </x:c>
      <x:c r="E12" s="588" t="str">
        <x:v>Medium</x:v>
      </x:c>
    </x:row>
    <x:row r="13">
      <x:c r="A13" s="588" t="str">
        <x:v>Busy Day</x:v>
      </x:c>
      <x:c r="B13" s="588" t="str">
        <x:v>Energy contains Busy</x:v>
      </x:c>
      <x:c r="C13" s="588" t="str">
        <x:v>Rest stop, bathroom, taxi option</x:v>
      </x:c>
      <x:c r="D13" s="588" t="str">
        <x:v>Peace of Mind</x:v>
      </x:c>
      <x:c r="E13" s="588" t="str">
        <x:v>High</x:v>
      </x:c>
    </x:row>
    <x:row r="14">
      <x:c r="A14" s="580"/>
      <x:c r="B14" s="580"/>
      <x:c r="C14" s="580"/>
      <x:c r="D14" s="580"/>
      <x:c r="E14" s="580"/>
    </x:row>
    <x:row r="15">
      <x:c r="A15" s="580"/>
      <x:c r="B15" s="580"/>
      <x:c r="C15" s="580"/>
      <x:c r="D15" s="580"/>
      <x:c r="E15" s="580"/>
    </x:row>
    <x:row r="16">
      <x:c r="A16" s="580"/>
      <x:c r="B16" s="580"/>
      <x:c r="C16" s="580"/>
      <x:c r="D16" s="580"/>
      <x:c r="E16" s="580"/>
    </x:row>
    <x:row r="17">
      <x:c r="A17" s="580"/>
      <x:c r="B17" s="580"/>
      <x:c r="C17" s="580"/>
      <x:c r="D17" s="580"/>
      <x:c r="E17" s="580"/>
    </x:row>
    <x:row r="18">
      <x:c r="A18" s="580"/>
      <x:c r="B18" s="580"/>
      <x:c r="C18" s="580"/>
      <x:c r="D18" s="580"/>
      <x:c r="E18" s="580"/>
    </x:row>
    <x:row r="19">
      <x:c r="A19" s="580"/>
      <x:c r="B19" s="580"/>
      <x:c r="C19" s="580"/>
      <x:c r="D19" s="580"/>
      <x:c r="E19" s="580"/>
    </x:row>
    <x:row r="20">
      <x:c r="A20" s="580"/>
      <x:c r="B20" s="580"/>
      <x:c r="C20" s="580"/>
      <x:c r="D20" s="580"/>
      <x:c r="E20" s="580"/>
    </x:row>
    <x:row r="21">
      <x:c r="A21" s="580"/>
      <x:c r="B21" s="580"/>
      <x:c r="C21" s="580"/>
      <x:c r="D21" s="580"/>
      <x:c r="E21" s="580"/>
    </x:row>
    <x:row r="22">
      <x:c r="A22" s="580"/>
      <x:c r="B22" s="580"/>
      <x:c r="C22" s="580"/>
      <x:c r="D22" s="580"/>
      <x:c r="E22" s="580"/>
    </x:row>
    <x:row r="23">
      <x:c r="A23" s="580"/>
      <x:c r="B23" s="580"/>
      <x:c r="C23" s="580"/>
      <x:c r="D23" s="580"/>
      <x:c r="E23" s="580"/>
    </x:row>
    <x:row r="24">
      <x:c r="A24" s="580"/>
      <x:c r="B24" s="580"/>
      <x:c r="C24" s="580"/>
      <x:c r="D24" s="580"/>
      <x:c r="E24" s="580"/>
    </x:row>
    <x:row r="25">
      <x:c r="A25" s="580"/>
      <x:c r="B25" s="580"/>
      <x:c r="C25" s="580"/>
      <x:c r="D25" s="580"/>
      <x:c r="E25" s="580"/>
    </x:row>
    <x:row r="26">
      <x:c r="A26" s="580"/>
      <x:c r="B26" s="580"/>
      <x:c r="C26" s="580"/>
      <x:c r="D26" s="580"/>
      <x:c r="E26" s="580"/>
    </x:row>
    <x:row r="27">
      <x:c r="A27" s="580"/>
      <x:c r="B27" s="580"/>
      <x:c r="C27" s="580"/>
      <x:c r="D27" s="580"/>
      <x:c r="E27" s="580"/>
    </x:row>
    <x:row r="28">
      <x:c r="A28" s="580"/>
      <x:c r="B28" s="580"/>
      <x:c r="C28" s="580"/>
      <x:c r="D28" s="580"/>
      <x:c r="E28" s="580"/>
    </x:row>
    <x:row r="29">
      <x:c r="A29" s="580"/>
      <x:c r="B29" s="580"/>
      <x:c r="C29" s="580"/>
      <x:c r="D29" s="580"/>
      <x:c r="E29" s="580"/>
    </x:row>
    <x:row r="30">
      <x:c r="A30" s="580"/>
      <x:c r="B30" s="580"/>
      <x:c r="C30" s="580"/>
      <x:c r="D30" s="580"/>
      <x:c r="E30" s="580"/>
    </x:row>
    <x:row r="31">
      <x:c r="A31" s="580"/>
      <x:c r="B31" s="580"/>
      <x:c r="C31" s="580"/>
      <x:c r="D31" s="580"/>
      <x:c r="E31" s="580"/>
    </x:row>
    <x:row r="32">
      <x:c r="A32" s="580"/>
      <x:c r="B32" s="580"/>
      <x:c r="C32" s="580"/>
      <x:c r="D32" s="580"/>
      <x:c r="E32" s="580"/>
    </x:row>
    <x:row r="33">
      <x:c r="A33" s="580"/>
      <x:c r="B33" s="580"/>
      <x:c r="C33" s="580"/>
      <x:c r="D33" s="580"/>
      <x:c r="E33" s="580"/>
    </x:row>
    <x:row r="34">
      <x:c r="A34" s="580"/>
      <x:c r="B34" s="580"/>
      <x:c r="C34" s="580"/>
      <x:c r="D34" s="580"/>
      <x:c r="E34" s="580"/>
    </x:row>
    <x:row r="35">
      <x:c r="A35" s="580"/>
      <x:c r="B35" s="580"/>
      <x:c r="C35" s="580"/>
      <x:c r="D35" s="580"/>
      <x:c r="E35" s="580"/>
    </x:row>
    <x:row r="36">
      <x:c r="A36" s="580"/>
      <x:c r="B36" s="580"/>
      <x:c r="C36" s="580"/>
      <x:c r="D36" s="580"/>
      <x:c r="E36" s="580"/>
    </x:row>
    <x:row r="37">
      <x:c r="A37" s="580"/>
      <x:c r="B37" s="580"/>
      <x:c r="C37" s="580"/>
      <x:c r="D37" s="580"/>
      <x:c r="E37" s="580"/>
    </x:row>
    <x:row r="38">
      <x:c r="A38" s="580"/>
      <x:c r="B38" s="580"/>
      <x:c r="C38" s="580"/>
      <x:c r="D38" s="580"/>
      <x:c r="E38" s="580"/>
    </x:row>
    <x:row r="39">
      <x:c r="A39" s="580"/>
      <x:c r="B39" s="580"/>
      <x:c r="C39" s="580"/>
      <x:c r="D39" s="580"/>
      <x:c r="E39" s="580"/>
    </x:row>
    <x:row r="40">
      <x:c r="A40" s="580"/>
      <x:c r="B40" s="580"/>
      <x:c r="C40" s="580"/>
      <x:c r="D40" s="580"/>
      <x:c r="E40" s="580"/>
    </x:row>
    <x:row r="41">
      <x:c r="A41" s="580"/>
      <x:c r="B41" s="580"/>
      <x:c r="C41" s="580"/>
      <x:c r="D41" s="580"/>
      <x:c r="E41" s="580"/>
    </x:row>
    <x:row r="42">
      <x:c r="A42" s="580"/>
      <x:c r="B42" s="580"/>
      <x:c r="C42" s="580"/>
      <x:c r="D42" s="580"/>
      <x:c r="E42" s="580"/>
    </x:row>
    <x:row r="43">
      <x:c r="A43" s="580"/>
      <x:c r="B43" s="580"/>
      <x:c r="C43" s="580"/>
      <x:c r="D43" s="580"/>
      <x:c r="E43" s="580"/>
    </x:row>
    <x:row r="44">
      <x:c r="A44" s="580"/>
      <x:c r="B44" s="580"/>
      <x:c r="C44" s="580"/>
      <x:c r="D44" s="580"/>
      <x:c r="E44" s="580"/>
    </x:row>
    <x:row r="45">
      <x:c r="A45" s="580"/>
      <x:c r="B45" s="580"/>
      <x:c r="C45" s="580"/>
      <x:c r="D45" s="580"/>
      <x:c r="E45" s="580"/>
    </x:row>
    <x:row r="46">
      <x:c r="A46" s="580"/>
      <x:c r="B46" s="580"/>
      <x:c r="C46" s="580"/>
      <x:c r="D46" s="580"/>
      <x:c r="E46" s="580"/>
    </x:row>
    <x:row r="47">
      <x:c r="A47" s="580"/>
      <x:c r="B47" s="580"/>
      <x:c r="C47" s="580"/>
      <x:c r="D47" s="580"/>
      <x:c r="E47" s="580"/>
    </x:row>
    <x:row r="48">
      <x:c r="A48" s="580"/>
      <x:c r="B48" s="580"/>
      <x:c r="C48" s="580"/>
      <x:c r="D48" s="580"/>
      <x:c r="E48" s="580"/>
    </x:row>
    <x:row r="49">
      <x:c r="A49" s="580"/>
      <x:c r="B49" s="580"/>
      <x:c r="C49" s="580"/>
      <x:c r="D49" s="580"/>
      <x:c r="E49" s="580"/>
    </x:row>
    <x:row r="50">
      <x:c r="A50" s="580"/>
      <x:c r="B50" s="580"/>
      <x:c r="C50" s="580"/>
      <x:c r="D50" s="580"/>
      <x:c r="E50" s="580"/>
    </x:row>
    <x:row r="51">
      <x:c r="A51" s="580"/>
      <x:c r="B51" s="580"/>
      <x:c r="C51" s="580"/>
      <x:c r="D51" s="580"/>
      <x:c r="E51" s="580"/>
    </x:row>
    <x:row r="52">
      <x:c r="A52" s="580"/>
      <x:c r="B52" s="580"/>
      <x:c r="C52" s="580"/>
      <x:c r="D52" s="580"/>
      <x:c r="E52" s="580"/>
    </x:row>
    <x:row r="53">
      <x:c r="A53" s="580"/>
      <x:c r="B53" s="580"/>
      <x:c r="C53" s="580"/>
      <x:c r="D53" s="580"/>
      <x:c r="E53" s="580"/>
    </x:row>
    <x:row r="54">
      <x:c r="A54" s="580"/>
      <x:c r="B54" s="580"/>
      <x:c r="C54" s="580"/>
      <x:c r="D54" s="580"/>
      <x:c r="E54" s="580"/>
    </x:row>
    <x:row r="55">
      <x:c r="A55" s="580"/>
      <x:c r="B55" s="580"/>
      <x:c r="C55" s="580"/>
      <x:c r="D55" s="580"/>
      <x:c r="E55" s="580"/>
    </x:row>
    <x:row r="56">
      <x:c r="A56" s="580"/>
      <x:c r="B56" s="580"/>
      <x:c r="C56" s="580"/>
      <x:c r="D56" s="580"/>
      <x:c r="E56" s="580"/>
    </x:row>
    <x:row r="57">
      <x:c r="A57" s="580"/>
      <x:c r="B57" s="580"/>
      <x:c r="C57" s="580"/>
      <x:c r="D57" s="580"/>
      <x:c r="E57" s="580"/>
    </x:row>
    <x:row r="58">
      <x:c r="A58" s="580"/>
      <x:c r="B58" s="580"/>
      <x:c r="C58" s="580"/>
      <x:c r="D58" s="580"/>
      <x:c r="E58" s="580"/>
    </x:row>
    <x:row r="59">
      <x:c r="A59" s="580"/>
      <x:c r="B59" s="580"/>
      <x:c r="C59" s="580"/>
      <x:c r="D59" s="580"/>
      <x:c r="E59" s="580"/>
    </x:row>
    <x:row r="60">
      <x:c r="A60" s="580"/>
      <x:c r="B60" s="580"/>
      <x:c r="C60" s="580"/>
      <x:c r="D60" s="580"/>
      <x:c r="E60" s="580"/>
    </x:row>
    <x:row r="61">
      <x:c r="A61" s="580"/>
      <x:c r="B61" s="580"/>
      <x:c r="C61" s="580"/>
      <x:c r="D61" s="580"/>
      <x:c r="E61" s="580"/>
    </x:row>
    <x:row r="62">
      <x:c r="A62" s="580"/>
      <x:c r="B62" s="580"/>
      <x:c r="C62" s="580"/>
      <x:c r="D62" s="580"/>
      <x:c r="E62" s="580"/>
    </x:row>
    <x:row r="63">
      <x:c r="A63" s="580"/>
      <x:c r="B63" s="580"/>
      <x:c r="C63" s="580"/>
      <x:c r="D63" s="580"/>
      <x:c r="E63" s="580"/>
    </x:row>
    <x:row r="64">
      <x:c r="A64" s="580"/>
      <x:c r="B64" s="580"/>
      <x:c r="C64" s="580"/>
      <x:c r="D64" s="580"/>
      <x:c r="E64" s="580"/>
    </x:row>
    <x:row r="65">
      <x:c r="A65" s="580"/>
      <x:c r="B65" s="580"/>
      <x:c r="C65" s="580"/>
      <x:c r="D65" s="580"/>
      <x:c r="E65" s="580"/>
    </x:row>
    <x:row r="66">
      <x:c r="A66" s="580"/>
      <x:c r="B66" s="580"/>
      <x:c r="C66" s="580"/>
      <x:c r="D66" s="580"/>
      <x:c r="E66" s="580"/>
    </x:row>
    <x:row r="67">
      <x:c r="A67" s="580"/>
      <x:c r="B67" s="580"/>
      <x:c r="C67" s="580"/>
      <x:c r="D67" s="580"/>
      <x:c r="E67" s="580"/>
    </x:row>
    <x:row r="68">
      <x:c r="A68" s="580"/>
      <x:c r="B68" s="580"/>
      <x:c r="C68" s="580"/>
      <x:c r="D68" s="580"/>
      <x:c r="E68" s="580"/>
    </x:row>
    <x:row r="69">
      <x:c r="A69" s="580"/>
      <x:c r="B69" s="580"/>
      <x:c r="C69" s="580"/>
      <x:c r="D69" s="580"/>
      <x:c r="E69" s="580"/>
    </x:row>
    <x:row r="70">
      <x:c r="A70" s="580"/>
      <x:c r="B70" s="580"/>
      <x:c r="C70" s="580"/>
      <x:c r="D70" s="580"/>
      <x:c r="E70" s="580"/>
    </x:row>
    <x:row r="71">
      <x:c r="A71" s="580"/>
      <x:c r="B71" s="580"/>
      <x:c r="C71" s="580"/>
      <x:c r="D71" s="580"/>
      <x:c r="E71" s="580"/>
    </x:row>
    <x:row r="72">
      <x:c r="A72" s="580"/>
      <x:c r="B72" s="580"/>
      <x:c r="C72" s="580"/>
      <x:c r="D72" s="580"/>
      <x:c r="E72" s="580"/>
    </x:row>
    <x:row r="73">
      <x:c r="A73" s="580"/>
      <x:c r="B73" s="580"/>
      <x:c r="C73" s="580"/>
      <x:c r="D73" s="580"/>
      <x:c r="E73" s="580"/>
    </x:row>
    <x:row r="74">
      <x:c r="A74" s="580"/>
      <x:c r="B74" s="580"/>
      <x:c r="C74" s="580"/>
      <x:c r="D74" s="580"/>
      <x:c r="E74" s="580"/>
    </x:row>
    <x:row r="75">
      <x:c r="A75" s="580"/>
      <x:c r="B75" s="580"/>
      <x:c r="C75" s="580"/>
      <x:c r="D75" s="580"/>
      <x:c r="E75" s="580"/>
    </x:row>
    <x:row r="76">
      <x:c r="A76" s="580"/>
      <x:c r="B76" s="580"/>
      <x:c r="C76" s="580"/>
      <x:c r="D76" s="580"/>
      <x:c r="E76" s="580"/>
    </x:row>
    <x:row r="77">
      <x:c r="A77" s="580"/>
      <x:c r="B77" s="580"/>
      <x:c r="C77" s="580"/>
      <x:c r="D77" s="580"/>
      <x:c r="E77" s="580"/>
    </x:row>
    <x:row r="78">
      <x:c r="A78" s="580"/>
      <x:c r="B78" s="580"/>
      <x:c r="C78" s="580"/>
      <x:c r="D78" s="580"/>
      <x:c r="E78" s="580"/>
    </x:row>
    <x:row r="79">
      <x:c r="A79" s="580"/>
      <x:c r="B79" s="580"/>
      <x:c r="C79" s="580"/>
      <x:c r="D79" s="580"/>
      <x:c r="E79" s="580"/>
    </x:row>
    <x:row r="80">
      <x:c r="A80" s="580"/>
      <x:c r="B80" s="580"/>
      <x:c r="C80" s="580"/>
      <x:c r="D80" s="580"/>
      <x:c r="E80" s="580"/>
    </x:row>
    <x:row r="81">
      <x:c r="A81" s="580"/>
      <x:c r="B81" s="580"/>
      <x:c r="C81" s="580"/>
      <x:c r="D81" s="580"/>
      <x:c r="E81" s="580"/>
    </x:row>
    <x:row r="82">
      <x:c r="A82" s="580"/>
      <x:c r="B82" s="580"/>
      <x:c r="C82" s="580"/>
      <x:c r="D82" s="580"/>
      <x:c r="E82" s="580"/>
    </x:row>
    <x:row r="83">
      <x:c r="A83" s="580"/>
      <x:c r="B83" s="580"/>
      <x:c r="C83" s="580"/>
      <x:c r="D83" s="580"/>
      <x:c r="E83" s="580"/>
    </x:row>
    <x:row r="84">
      <x:c r="A84" s="580"/>
      <x:c r="B84" s="580"/>
      <x:c r="C84" s="580"/>
      <x:c r="D84" s="580"/>
      <x:c r="E84" s="580"/>
    </x:row>
    <x:row r="85">
      <x:c r="A85" s="580"/>
      <x:c r="B85" s="580"/>
      <x:c r="C85" s="580"/>
      <x:c r="D85" s="580"/>
      <x:c r="E85" s="580"/>
    </x:row>
    <x:row r="86">
      <x:c r="A86" s="580"/>
      <x:c r="B86" s="580"/>
      <x:c r="C86" s="580"/>
      <x:c r="D86" s="580"/>
      <x:c r="E86" s="580"/>
    </x:row>
    <x:row r="87">
      <x:c r="A87" s="580"/>
      <x:c r="B87" s="580"/>
      <x:c r="C87" s="580"/>
      <x:c r="D87" s="580"/>
      <x:c r="E87" s="580"/>
    </x:row>
    <x:row r="88">
      <x:c r="A88" s="580"/>
      <x:c r="B88" s="580"/>
      <x:c r="C88" s="580"/>
      <x:c r="D88" s="580"/>
      <x:c r="E88" s="580"/>
    </x:row>
    <x:row r="89">
      <x:c r="A89" s="580"/>
      <x:c r="B89" s="580"/>
      <x:c r="C89" s="580"/>
      <x:c r="D89" s="580"/>
      <x:c r="E89" s="580"/>
    </x:row>
    <x:row r="90">
      <x:c r="A90" s="580"/>
      <x:c r="B90" s="580"/>
      <x:c r="C90" s="580"/>
      <x:c r="D90" s="580"/>
      <x:c r="E90" s="580"/>
    </x:row>
    <x:row r="91">
      <x:c r="A91" s="580"/>
      <x:c r="B91" s="580"/>
      <x:c r="C91" s="580"/>
      <x:c r="D91" s="580"/>
      <x:c r="E91" s="580"/>
    </x:row>
    <x:row r="92">
      <x:c r="A92" s="580"/>
      <x:c r="B92" s="580"/>
      <x:c r="C92" s="580"/>
      <x:c r="D92" s="580"/>
      <x:c r="E92" s="580"/>
    </x:row>
    <x:row r="93">
      <x:c r="A93" s="580"/>
      <x:c r="B93" s="580"/>
      <x:c r="C93" s="580"/>
      <x:c r="D93" s="580"/>
      <x:c r="E93" s="580"/>
    </x:row>
    <x:row r="94">
      <x:c r="A94" s="580"/>
      <x:c r="B94" s="580"/>
      <x:c r="C94" s="580"/>
      <x:c r="D94" s="580"/>
      <x:c r="E94" s="580"/>
    </x:row>
    <x:row r="95">
      <x:c r="A95" s="580"/>
      <x:c r="B95" s="580"/>
      <x:c r="C95" s="580"/>
      <x:c r="D95" s="580"/>
      <x:c r="E95" s="580"/>
    </x:row>
    <x:row r="96">
      <x:c r="A96" s="580"/>
      <x:c r="B96" s="580"/>
      <x:c r="C96" s="580"/>
      <x:c r="D96" s="580"/>
      <x:c r="E96" s="580"/>
    </x:row>
    <x:row r="97">
      <x:c r="A97" s="580"/>
      <x:c r="B97" s="580"/>
      <x:c r="C97" s="580"/>
      <x:c r="D97" s="580"/>
      <x:c r="E97" s="580"/>
    </x:row>
    <x:row r="98">
      <x:c r="A98" s="580"/>
      <x:c r="B98" s="580"/>
      <x:c r="C98" s="580"/>
      <x:c r="D98" s="580"/>
      <x:c r="E98" s="580"/>
    </x:row>
    <x:row r="99">
      <x:c r="A99" s="580"/>
      <x:c r="B99" s="580"/>
      <x:c r="C99" s="580"/>
      <x:c r="D99" s="580"/>
      <x:c r="E99" s="580"/>
    </x:row>
    <x:row r="100">
      <x:c r="A100" s="580"/>
      <x:c r="B100" s="580"/>
      <x:c r="C100" s="580"/>
      <x:c r="D100" s="580"/>
      <x:c r="E100" s="580"/>
    </x:row>
    <x:row r="101">
      <x:c r="A101" s="580"/>
      <x:c r="B101" s="580"/>
      <x:c r="C101" s="580"/>
      <x:c r="D101" s="580"/>
      <x:c r="E101" s="580"/>
    </x:row>
    <x:row r="102">
      <x:c r="A102" s="580"/>
      <x:c r="B102" s="580"/>
      <x:c r="C102" s="580"/>
      <x:c r="D102" s="580"/>
      <x:c r="E102" s="580"/>
    </x:row>
    <x:row r="103">
      <x:c r="A103" s="580"/>
      <x:c r="B103" s="580"/>
      <x:c r="C103" s="580"/>
      <x:c r="D103" s="580"/>
      <x:c r="E103" s="580"/>
    </x:row>
    <x:row r="104">
      <x:c r="A104" s="580"/>
      <x:c r="B104" s="580"/>
      <x:c r="C104" s="580"/>
      <x:c r="D104" s="580"/>
      <x:c r="E104" s="580"/>
    </x:row>
    <x:row r="105">
      <x:c r="A105" s="580"/>
      <x:c r="B105" s="580"/>
      <x:c r="C105" s="580"/>
      <x:c r="D105" s="580"/>
      <x:c r="E105" s="580"/>
    </x:row>
    <x:row r="106">
      <x:c r="A106" s="580"/>
      <x:c r="B106" s="580"/>
      <x:c r="C106" s="580"/>
      <x:c r="D106" s="580"/>
      <x:c r="E106" s="580"/>
    </x:row>
    <x:row r="107">
      <x:c r="A107" s="580"/>
      <x:c r="B107" s="580"/>
      <x:c r="C107" s="580"/>
      <x:c r="D107" s="580"/>
      <x:c r="E107" s="580"/>
    </x:row>
    <x:row r="108">
      <x:c r="A108" s="580"/>
      <x:c r="B108" s="580"/>
      <x:c r="C108" s="580"/>
      <x:c r="D108" s="580"/>
      <x:c r="E108" s="580"/>
    </x:row>
    <x:row r="109">
      <x:c r="A109" s="580"/>
      <x:c r="B109" s="580"/>
      <x:c r="C109" s="580"/>
      <x:c r="D109" s="580"/>
      <x:c r="E109" s="580"/>
    </x:row>
    <x:row r="110">
      <x:c r="A110" s="580"/>
      <x:c r="B110" s="580"/>
      <x:c r="C110" s="580"/>
      <x:c r="D110" s="580"/>
      <x:c r="E110" s="580"/>
    </x:row>
    <x:row r="111">
      <x:c r="A111" s="580"/>
      <x:c r="B111" s="580"/>
      <x:c r="C111" s="580"/>
      <x:c r="D111" s="580"/>
      <x:c r="E111" s="580"/>
    </x:row>
    <x:row r="112">
      <x:c r="A112" s="580"/>
      <x:c r="B112" s="580"/>
      <x:c r="C112" s="580"/>
      <x:c r="D112" s="580"/>
      <x:c r="E112" s="580"/>
    </x:row>
    <x:row r="113">
      <x:c r="A113" s="580"/>
      <x:c r="B113" s="580"/>
      <x:c r="C113" s="580"/>
      <x:c r="D113" s="580"/>
      <x:c r="E113" s="580"/>
    </x:row>
    <x:row r="114">
      <x:c r="A114" s="580"/>
      <x:c r="B114" s="580"/>
      <x:c r="C114" s="580"/>
      <x:c r="D114" s="580"/>
      <x:c r="E114" s="580"/>
    </x:row>
    <x:row r="115">
      <x:c r="A115" s="580"/>
      <x:c r="B115" s="580"/>
      <x:c r="C115" s="580"/>
      <x:c r="D115" s="580"/>
      <x:c r="E115" s="580"/>
    </x:row>
    <x:row r="116">
      <x:c r="A116" s="580"/>
      <x:c r="B116" s="580"/>
      <x:c r="C116" s="580"/>
      <x:c r="D116" s="580"/>
      <x:c r="E116" s="580"/>
    </x:row>
    <x:row r="117">
      <x:c r="A117" s="580"/>
      <x:c r="B117" s="580"/>
      <x:c r="C117" s="580"/>
      <x:c r="D117" s="580"/>
      <x:c r="E117" s="580"/>
    </x:row>
    <x:row r="118">
      <x:c r="A118" s="580"/>
      <x:c r="B118" s="580"/>
      <x:c r="C118" s="580"/>
      <x:c r="D118" s="580"/>
      <x:c r="E118" s="580"/>
    </x:row>
    <x:row r="119">
      <x:c r="A119" s="580"/>
      <x:c r="B119" s="580"/>
      <x:c r="C119" s="580"/>
      <x:c r="D119" s="580"/>
      <x:c r="E119" s="580"/>
    </x:row>
    <x:row r="120">
      <x:c r="A120" s="580"/>
      <x:c r="B120" s="580"/>
      <x:c r="C120" s="580"/>
      <x:c r="D120" s="580"/>
      <x:c r="E120" s="580"/>
    </x:row>
    <x:row r="121">
      <x:c r="A121" s="580"/>
      <x:c r="B121" s="580"/>
      <x:c r="C121" s="580"/>
      <x:c r="D121" s="580"/>
      <x:c r="E121" s="580"/>
    </x:row>
    <x:row r="122">
      <x:c r="A122" s="580"/>
      <x:c r="B122" s="580"/>
      <x:c r="C122" s="580"/>
      <x:c r="D122" s="580"/>
      <x:c r="E122" s="580"/>
    </x:row>
    <x:row r="123">
      <x:c r="A123" s="580"/>
      <x:c r="B123" s="580"/>
      <x:c r="C123" s="580"/>
      <x:c r="D123" s="580"/>
      <x:c r="E123" s="580"/>
    </x:row>
    <x:row r="124">
      <x:c r="A124" s="580"/>
      <x:c r="B124" s="580"/>
      <x:c r="C124" s="580"/>
      <x:c r="D124" s="580"/>
      <x:c r="E124" s="580"/>
    </x:row>
    <x:row r="125">
      <x:c r="A125" s="580"/>
      <x:c r="B125" s="580"/>
      <x:c r="C125" s="580"/>
      <x:c r="D125" s="580"/>
      <x:c r="E125" s="580"/>
    </x:row>
    <x:row r="126">
      <x:c r="A126" s="580"/>
      <x:c r="B126" s="580"/>
      <x:c r="C126" s="580"/>
      <x:c r="D126" s="580"/>
      <x:c r="E126" s="580"/>
    </x:row>
    <x:row r="127">
      <x:c r="A127" s="580"/>
      <x:c r="B127" s="580"/>
      <x:c r="C127" s="580"/>
      <x:c r="D127" s="580"/>
      <x:c r="E127" s="580"/>
    </x:row>
    <x:row r="128">
      <x:c r="A128" s="580"/>
      <x:c r="B128" s="580"/>
      <x:c r="C128" s="580"/>
      <x:c r="D128" s="580"/>
      <x:c r="E128" s="580"/>
    </x:row>
    <x:row r="129">
      <x:c r="A129" s="580"/>
      <x:c r="B129" s="580"/>
      <x:c r="C129" s="580"/>
      <x:c r="D129" s="580"/>
      <x:c r="E129" s="580"/>
    </x:row>
    <x:row r="130">
      <x:c r="A130" s="580"/>
      <x:c r="B130" s="580"/>
      <x:c r="C130" s="580"/>
      <x:c r="D130" s="580"/>
      <x:c r="E130" s="580"/>
    </x:row>
    <x:row r="131">
      <x:c r="A131" s="580"/>
      <x:c r="B131" s="580"/>
      <x:c r="C131" s="580"/>
      <x:c r="D131" s="580"/>
      <x:c r="E131" s="580"/>
    </x:row>
    <x:row r="132">
      <x:c r="A132" s="580"/>
      <x:c r="B132" s="580"/>
      <x:c r="C132" s="580"/>
      <x:c r="D132" s="580"/>
      <x:c r="E132" s="580"/>
    </x:row>
    <x:row r="133">
      <x:c r="A133" s="580"/>
      <x:c r="B133" s="580"/>
      <x:c r="C133" s="580"/>
      <x:c r="D133" s="580"/>
      <x:c r="E133" s="580"/>
    </x:row>
    <x:row r="134">
      <x:c r="A134" s="580"/>
      <x:c r="B134" s="580"/>
      <x:c r="C134" s="580"/>
      <x:c r="D134" s="580"/>
      <x:c r="E134" s="580"/>
    </x:row>
    <x:row r="135">
      <x:c r="A135" s="580"/>
      <x:c r="B135" s="580"/>
      <x:c r="C135" s="580"/>
      <x:c r="D135" s="580"/>
      <x:c r="E135" s="580"/>
    </x:row>
    <x:row r="136">
      <x:c r="A136" s="580"/>
      <x:c r="B136" s="580"/>
      <x:c r="C136" s="580"/>
      <x:c r="D136" s="580"/>
      <x:c r="E136" s="580"/>
    </x:row>
    <x:row r="137">
      <x:c r="A137" s="580"/>
      <x:c r="B137" s="580"/>
      <x:c r="C137" s="580"/>
      <x:c r="D137" s="580"/>
      <x:c r="E137" s="580"/>
    </x:row>
    <x:row r="138">
      <x:c r="A138" s="580"/>
      <x:c r="B138" s="580"/>
      <x:c r="C138" s="580"/>
      <x:c r="D138" s="580"/>
      <x:c r="E138" s="580"/>
    </x:row>
    <x:row r="139">
      <x:c r="A139" s="580"/>
      <x:c r="B139" s="580"/>
      <x:c r="C139" s="580"/>
      <x:c r="D139" s="580"/>
      <x:c r="E139" s="580"/>
    </x:row>
    <x:row r="140">
      <x:c r="A140" s="580"/>
      <x:c r="B140" s="580"/>
      <x:c r="C140" s="580"/>
      <x:c r="D140" s="580"/>
      <x:c r="E140" s="580"/>
    </x:row>
    <x:row r="141">
      <x:c r="A141" s="580"/>
      <x:c r="B141" s="580"/>
      <x:c r="C141" s="580"/>
      <x:c r="D141" s="580"/>
      <x:c r="E141" s="580"/>
    </x:row>
    <x:row r="142">
      <x:c r="A142" s="580"/>
      <x:c r="B142" s="580"/>
      <x:c r="C142" s="580"/>
      <x:c r="D142" s="580"/>
      <x:c r="E142" s="580"/>
    </x:row>
    <x:row r="143">
      <x:c r="A143" s="580"/>
      <x:c r="B143" s="580"/>
      <x:c r="C143" s="580"/>
      <x:c r="D143" s="580"/>
      <x:c r="E143" s="580"/>
    </x:row>
    <x:row r="144">
      <x:c r="A144" s="580"/>
      <x:c r="B144" s="580"/>
      <x:c r="C144" s="580"/>
      <x:c r="D144" s="580"/>
      <x:c r="E144" s="580"/>
    </x:row>
    <x:row r="145">
      <x:c r="A145" s="580"/>
      <x:c r="B145" s="580"/>
      <x:c r="C145" s="580"/>
      <x:c r="D145" s="580"/>
      <x:c r="E145" s="580"/>
    </x:row>
    <x:row r="146">
      <x:c r="A146" s="580"/>
      <x:c r="B146" s="580"/>
      <x:c r="C146" s="580"/>
      <x:c r="D146" s="580"/>
      <x:c r="E146" s="580"/>
    </x:row>
    <x:row r="147">
      <x:c r="A147" s="580"/>
      <x:c r="B147" s="580"/>
      <x:c r="C147" s="580"/>
      <x:c r="D147" s="580"/>
      <x:c r="E147" s="580"/>
    </x:row>
    <x:row r="148">
      <x:c r="A148" s="580"/>
      <x:c r="B148" s="580"/>
      <x:c r="C148" s="580"/>
      <x:c r="D148" s="580"/>
      <x:c r="E148" s="580"/>
    </x:row>
    <x:row r="149">
      <x:c r="A149" s="580"/>
      <x:c r="B149" s="580"/>
      <x:c r="C149" s="580"/>
      <x:c r="D149" s="580"/>
      <x:c r="E149" s="580"/>
    </x:row>
    <x:row r="150">
      <x:c r="A150" s="580"/>
      <x:c r="B150" s="580"/>
      <x:c r="C150" s="580"/>
      <x:c r="D150" s="580"/>
      <x:c r="E150" s="580"/>
    </x:row>
    <x:row r="151">
      <x:c r="A151" s="580"/>
      <x:c r="B151" s="580"/>
      <x:c r="C151" s="580"/>
      <x:c r="D151" s="580"/>
      <x:c r="E151" s="580"/>
    </x:row>
    <x:row r="152">
      <x:c r="A152" s="580"/>
      <x:c r="B152" s="580"/>
      <x:c r="C152" s="580"/>
      <x:c r="D152" s="580"/>
      <x:c r="E152" s="580"/>
    </x:row>
    <x:row r="153">
      <x:c r="A153" s="580"/>
      <x:c r="B153" s="580"/>
      <x:c r="C153" s="580"/>
      <x:c r="D153" s="580"/>
      <x:c r="E153" s="580"/>
    </x:row>
    <x:row r="154">
      <x:c r="A154" s="580"/>
      <x:c r="B154" s="580"/>
      <x:c r="C154" s="580"/>
      <x:c r="D154" s="580"/>
      <x:c r="E154" s="580"/>
    </x:row>
    <x:row r="155">
      <x:c r="A155" s="580"/>
      <x:c r="B155" s="580"/>
      <x:c r="C155" s="580"/>
      <x:c r="D155" s="580"/>
      <x:c r="E155" s="580"/>
    </x:row>
    <x:row r="156">
      <x:c r="A156" s="580"/>
      <x:c r="B156" s="580"/>
      <x:c r="C156" s="580"/>
      <x:c r="D156" s="580"/>
      <x:c r="E156" s="580"/>
    </x:row>
    <x:row r="157">
      <x:c r="A157" s="580"/>
      <x:c r="B157" s="580"/>
      <x:c r="C157" s="580"/>
      <x:c r="D157" s="580"/>
      <x:c r="E157" s="580"/>
    </x:row>
    <x:row r="158">
      <x:c r="A158" s="580"/>
      <x:c r="B158" s="580"/>
      <x:c r="C158" s="580"/>
      <x:c r="D158" s="580"/>
      <x:c r="E158" s="580"/>
    </x:row>
    <x:row r="159">
      <x:c r="A159" s="580"/>
      <x:c r="B159" s="580"/>
      <x:c r="C159" s="580"/>
      <x:c r="D159" s="580"/>
      <x:c r="E159" s="580"/>
    </x:row>
    <x:row r="160">
      <x:c r="A160" s="580"/>
      <x:c r="B160" s="580"/>
      <x:c r="C160" s="580"/>
      <x:c r="D160" s="580"/>
      <x:c r="E160" s="580"/>
    </x:row>
    <x:row r="161">
      <x:c r="A161" s="580"/>
      <x:c r="B161" s="580"/>
      <x:c r="C161" s="580"/>
      <x:c r="D161" s="580"/>
      <x:c r="E161" s="580"/>
    </x:row>
    <x:row r="162">
      <x:c r="A162" s="580"/>
      <x:c r="B162" s="580"/>
      <x:c r="C162" s="580"/>
      <x:c r="D162" s="580"/>
      <x:c r="E162" s="580"/>
    </x:row>
    <x:row r="163">
      <x:c r="A163" s="580"/>
      <x:c r="B163" s="580"/>
      <x:c r="C163" s="580"/>
      <x:c r="D163" s="580"/>
      <x:c r="E163" s="580"/>
    </x:row>
    <x:row r="164">
      <x:c r="A164" s="580"/>
      <x:c r="B164" s="580"/>
      <x:c r="C164" s="580"/>
      <x:c r="D164" s="580"/>
      <x:c r="E164" s="580"/>
    </x:row>
    <x:row r="165">
      <x:c r="A165" s="580"/>
      <x:c r="B165" s="580"/>
      <x:c r="C165" s="580"/>
      <x:c r="D165" s="580"/>
      <x:c r="E165" s="580"/>
    </x:row>
    <x:row r="166">
      <x:c r="A166" s="580"/>
      <x:c r="B166" s="580"/>
      <x:c r="C166" s="580"/>
      <x:c r="D166" s="580"/>
      <x:c r="E166" s="580"/>
    </x:row>
    <x:row r="167">
      <x:c r="A167" s="580"/>
      <x:c r="B167" s="580"/>
      <x:c r="C167" s="580"/>
      <x:c r="D167" s="580"/>
      <x:c r="E167" s="580"/>
    </x:row>
    <x:row r="168">
      <x:c r="A168" s="580"/>
      <x:c r="B168" s="580"/>
      <x:c r="C168" s="580"/>
      <x:c r="D168" s="580"/>
      <x:c r="E168" s="580"/>
    </x:row>
    <x:row r="169">
      <x:c r="A169" s="580"/>
      <x:c r="B169" s="580"/>
      <x:c r="C169" s="580"/>
      <x:c r="D169" s="580"/>
      <x:c r="E169" s="580"/>
    </x:row>
    <x:row r="170">
      <x:c r="A170" s="580"/>
      <x:c r="B170" s="580"/>
      <x:c r="C170" s="580"/>
      <x:c r="D170" s="580"/>
      <x:c r="E170" s="580"/>
    </x:row>
    <x:row r="171">
      <x:c r="A171" s="580"/>
      <x:c r="B171" s="580"/>
      <x:c r="C171" s="580"/>
      <x:c r="D171" s="580"/>
      <x:c r="E171" s="580"/>
    </x:row>
    <x:row r="172">
      <x:c r="A172" s="580"/>
      <x:c r="B172" s="580"/>
      <x:c r="C172" s="580"/>
      <x:c r="D172" s="580"/>
      <x:c r="E172" s="580"/>
    </x:row>
    <x:row r="173">
      <x:c r="A173" s="580"/>
      <x:c r="B173" s="580"/>
      <x:c r="C173" s="580"/>
      <x:c r="D173" s="580"/>
      <x:c r="E173" s="580"/>
    </x:row>
    <x:row r="174">
      <x:c r="A174" s="580"/>
      <x:c r="B174" s="580"/>
      <x:c r="C174" s="580"/>
      <x:c r="D174" s="580"/>
      <x:c r="E174" s="580"/>
    </x:row>
    <x:row r="175">
      <x:c r="A175" s="580"/>
      <x:c r="B175" s="580"/>
      <x:c r="C175" s="580"/>
      <x:c r="D175" s="580"/>
      <x:c r="E175" s="580"/>
    </x:row>
    <x:row r="176">
      <x:c r="A176" s="580"/>
      <x:c r="B176" s="580"/>
      <x:c r="C176" s="580"/>
      <x:c r="D176" s="580"/>
      <x:c r="E176" s="580"/>
    </x:row>
    <x:row r="177">
      <x:c r="A177" s="580"/>
      <x:c r="B177" s="580"/>
      <x:c r="C177" s="580"/>
      <x:c r="D177" s="580"/>
      <x:c r="E177" s="580"/>
    </x:row>
    <x:row r="178">
      <x:c r="A178" s="580"/>
      <x:c r="B178" s="580"/>
      <x:c r="C178" s="580"/>
      <x:c r="D178" s="580"/>
      <x:c r="E178" s="580"/>
    </x:row>
    <x:row r="179">
      <x:c r="A179" s="580"/>
      <x:c r="B179" s="580"/>
      <x:c r="C179" s="580"/>
      <x:c r="D179" s="580"/>
      <x:c r="E179" s="580"/>
    </x:row>
    <x:row r="180">
      <x:c r="A180" s="580"/>
      <x:c r="B180" s="580"/>
      <x:c r="C180" s="580"/>
      <x:c r="D180" s="580"/>
      <x:c r="E180" s="580"/>
    </x:row>
    <x:row r="181">
      <x:c r="A181" s="580"/>
      <x:c r="B181" s="580"/>
      <x:c r="C181" s="580"/>
      <x:c r="D181" s="580"/>
      <x:c r="E181" s="580"/>
    </x:row>
    <x:row r="182">
      <x:c r="A182" s="580"/>
      <x:c r="B182" s="580"/>
      <x:c r="C182" s="580"/>
      <x:c r="D182" s="580"/>
      <x:c r="E182" s="580"/>
    </x:row>
    <x:row r="183">
      <x:c r="A183" s="580"/>
      <x:c r="B183" s="580"/>
      <x:c r="C183" s="580"/>
      <x:c r="D183" s="580"/>
      <x:c r="E183" s="580"/>
    </x:row>
    <x:row r="184">
      <x:c r="A184" s="580"/>
      <x:c r="B184" s="580"/>
      <x:c r="C184" s="580"/>
      <x:c r="D184" s="580"/>
      <x:c r="E184" s="580"/>
    </x:row>
    <x:row r="185">
      <x:c r="A185" s="580"/>
      <x:c r="B185" s="580"/>
      <x:c r="C185" s="580"/>
      <x:c r="D185" s="580"/>
      <x:c r="E185" s="580"/>
    </x:row>
    <x:row r="186">
      <x:c r="A186" s="580"/>
      <x:c r="B186" s="580"/>
      <x:c r="C186" s="580"/>
      <x:c r="D186" s="580"/>
      <x:c r="E186" s="580"/>
    </x:row>
    <x:row r="187">
      <x:c r="A187" s="580"/>
      <x:c r="B187" s="580"/>
      <x:c r="C187" s="580"/>
      <x:c r="D187" s="580"/>
      <x:c r="E187" s="580"/>
    </x:row>
    <x:row r="188">
      <x:c r="A188" s="580"/>
      <x:c r="B188" s="580"/>
      <x:c r="C188" s="580"/>
      <x:c r="D188" s="580"/>
      <x:c r="E188" s="580"/>
    </x:row>
    <x:row r="189">
      <x:c r="A189" s="580"/>
      <x:c r="B189" s="580"/>
      <x:c r="C189" s="580"/>
      <x:c r="D189" s="580"/>
      <x:c r="E189" s="580"/>
    </x:row>
    <x:row r="190">
      <x:c r="A190" s="580"/>
      <x:c r="B190" s="580"/>
      <x:c r="C190" s="580"/>
      <x:c r="D190" s="580"/>
      <x:c r="E190" s="580"/>
    </x:row>
    <x:row r="191">
      <x:c r="A191" s="580"/>
      <x:c r="B191" s="580"/>
      <x:c r="C191" s="580"/>
      <x:c r="D191" s="580"/>
      <x:c r="E191" s="580"/>
    </x:row>
    <x:row r="192">
      <x:c r="A192" s="580"/>
      <x:c r="B192" s="580"/>
      <x:c r="C192" s="580"/>
      <x:c r="D192" s="580"/>
      <x:c r="E192" s="580"/>
    </x:row>
    <x:row r="193">
      <x:c r="A193" s="580"/>
      <x:c r="B193" s="580"/>
      <x:c r="C193" s="580"/>
      <x:c r="D193" s="580"/>
      <x:c r="E193" s="580"/>
    </x:row>
    <x:row r="194">
      <x:c r="A194" s="580"/>
      <x:c r="B194" s="580"/>
      <x:c r="C194" s="580"/>
      <x:c r="D194" s="580"/>
      <x:c r="E194" s="580"/>
    </x:row>
    <x:row r="195">
      <x:c r="A195" s="580"/>
      <x:c r="B195" s="580"/>
      <x:c r="C195" s="580"/>
      <x:c r="D195" s="580"/>
      <x:c r="E195" s="580"/>
    </x:row>
    <x:row r="196">
      <x:c r="A196" s="580"/>
      <x:c r="B196" s="580"/>
      <x:c r="C196" s="580"/>
      <x:c r="D196" s="580"/>
      <x:c r="E196" s="580"/>
    </x:row>
    <x:row r="197">
      <x:c r="A197" s="580"/>
      <x:c r="B197" s="580"/>
      <x:c r="C197" s="580"/>
      <x:c r="D197" s="580"/>
      <x:c r="E197" s="580"/>
    </x:row>
    <x:row r="198">
      <x:c r="A198" s="580"/>
      <x:c r="B198" s="580"/>
      <x:c r="C198" s="580"/>
      <x:c r="D198" s="580"/>
      <x:c r="E198" s="580"/>
    </x:row>
    <x:row r="199">
      <x:c r="A199" s="580"/>
      <x:c r="B199" s="580"/>
      <x:c r="C199" s="580"/>
      <x:c r="D199" s="580"/>
      <x:c r="E199" s="580"/>
    </x:row>
    <x:row r="200">
      <x:c r="A200" s="580"/>
      <x:c r="B200" s="580"/>
      <x:c r="C200" s="580"/>
      <x:c r="D200" s="580"/>
      <x:c r="E200" s="580"/>
    </x:row>
    <x:row r="201">
      <x:c r="A201" s="580"/>
      <x:c r="B201" s="580"/>
      <x:c r="C201" s="580"/>
      <x:c r="D201" s="580"/>
      <x:c r="E201" s="580"/>
    </x:row>
    <x:row r="202">
      <x:c r="A202" s="580"/>
      <x:c r="B202" s="580"/>
      <x:c r="C202" s="580"/>
      <x:c r="D202" s="580"/>
      <x:c r="E202" s="580"/>
    </x:row>
    <x:row r="203">
      <x:c r="A203" s="580"/>
      <x:c r="B203" s="580"/>
      <x:c r="C203" s="580"/>
      <x:c r="D203" s="580"/>
      <x:c r="E203" s="580"/>
    </x:row>
    <x:row r="204">
      <x:c r="A204" s="580"/>
      <x:c r="B204" s="580"/>
      <x:c r="C204" s="580"/>
      <x:c r="D204" s="580"/>
      <x:c r="E204" s="580"/>
    </x:row>
    <x:row r="205">
      <x:c r="A205" s="580"/>
      <x:c r="B205" s="580"/>
      <x:c r="C205" s="580"/>
      <x:c r="D205" s="580"/>
      <x:c r="E205" s="580"/>
    </x:row>
    <x:row r="206">
      <x:c r="A206" s="580"/>
      <x:c r="B206" s="580"/>
      <x:c r="C206" s="580"/>
      <x:c r="D206" s="580"/>
      <x:c r="E206" s="580"/>
    </x:row>
    <x:row r="207">
      <x:c r="A207" s="580"/>
      <x:c r="B207" s="580"/>
      <x:c r="C207" s="580"/>
      <x:c r="D207" s="580"/>
      <x:c r="E207" s="580"/>
    </x:row>
    <x:row r="208">
      <x:c r="A208" s="580"/>
      <x:c r="B208" s="580"/>
      <x:c r="C208" s="580"/>
      <x:c r="D208" s="580"/>
      <x:c r="E208" s="580"/>
    </x:row>
    <x:row r="209">
      <x:c r="A209" s="580"/>
      <x:c r="B209" s="580"/>
      <x:c r="C209" s="580"/>
      <x:c r="D209" s="580"/>
      <x:c r="E209" s="580"/>
    </x:row>
    <x:row r="210">
      <x:c r="A210" s="580"/>
      <x:c r="B210" s="580"/>
      <x:c r="C210" s="580"/>
      <x:c r="D210" s="580"/>
      <x:c r="E210" s="580"/>
    </x:row>
    <x:row r="211">
      <x:c r="A211" s="580"/>
      <x:c r="B211" s="580"/>
      <x:c r="C211" s="580"/>
      <x:c r="D211" s="580"/>
      <x:c r="E211" s="580"/>
    </x:row>
    <x:row r="212">
      <x:c r="A212" s="580"/>
      <x:c r="B212" s="580"/>
      <x:c r="C212" s="580"/>
      <x:c r="D212" s="580"/>
      <x:c r="E212" s="580"/>
    </x:row>
    <x:row r="213">
      <x:c r="A213" s="580"/>
      <x:c r="B213" s="580"/>
      <x:c r="C213" s="580"/>
      <x:c r="D213" s="580"/>
      <x:c r="E213" s="580"/>
    </x:row>
    <x:row r="214">
      <x:c r="A214" s="580"/>
      <x:c r="B214" s="580"/>
      <x:c r="C214" s="580"/>
      <x:c r="D214" s="580"/>
      <x:c r="E214" s="580"/>
    </x:row>
    <x:row r="215">
      <x:c r="A215" s="580"/>
      <x:c r="B215" s="580"/>
      <x:c r="C215" s="580"/>
      <x:c r="D215" s="580"/>
      <x:c r="E215" s="580"/>
    </x:row>
    <x:row r="216">
      <x:c r="A216" s="580"/>
      <x:c r="B216" s="580"/>
      <x:c r="C216" s="580"/>
      <x:c r="D216" s="580"/>
      <x:c r="E216" s="580"/>
    </x:row>
    <x:row r="217">
      <x:c r="A217" s="580"/>
      <x:c r="B217" s="580"/>
      <x:c r="C217" s="580"/>
      <x:c r="D217" s="580"/>
      <x:c r="E217" s="580"/>
    </x:row>
    <x:row r="218">
      <x:c r="A218" s="580"/>
      <x:c r="B218" s="580"/>
      <x:c r="C218" s="580"/>
      <x:c r="D218" s="580"/>
      <x:c r="E218" s="580"/>
    </x:row>
    <x:row r="219">
      <x:c r="A219" s="580"/>
      <x:c r="B219" s="580"/>
      <x:c r="C219" s="580"/>
      <x:c r="D219" s="580"/>
      <x:c r="E219" s="580"/>
    </x:row>
    <x:row r="220">
      <x:c r="A220" s="580"/>
      <x:c r="B220" s="580"/>
      <x:c r="C220" s="580"/>
      <x:c r="D220" s="580"/>
      <x:c r="E220" s="580"/>
    </x:row>
    <x:row r="221">
      <x:c r="A221" s="580"/>
      <x:c r="B221" s="580"/>
      <x:c r="C221" s="580"/>
      <x:c r="D221" s="580"/>
      <x:c r="E221" s="580"/>
    </x:row>
    <x:row r="222">
      <x:c r="A222" s="580"/>
      <x:c r="B222" s="580"/>
      <x:c r="C222" s="580"/>
      <x:c r="D222" s="580"/>
      <x:c r="E222" s="580"/>
    </x:row>
    <x:row r="223">
      <x:c r="A223" s="580"/>
      <x:c r="B223" s="580"/>
      <x:c r="C223" s="580"/>
      <x:c r="D223" s="580"/>
      <x:c r="E223" s="580"/>
    </x:row>
    <x:row r="224">
      <x:c r="A224" s="580"/>
      <x:c r="B224" s="580"/>
      <x:c r="C224" s="580"/>
      <x:c r="D224" s="580"/>
      <x:c r="E224" s="580"/>
    </x:row>
    <x:row r="225">
      <x:c r="A225" s="580"/>
      <x:c r="B225" s="580"/>
      <x:c r="C225" s="580"/>
      <x:c r="D225" s="580"/>
      <x:c r="E225" s="580"/>
    </x:row>
    <x:row r="226">
      <x:c r="A226" s="580"/>
      <x:c r="B226" s="580"/>
      <x:c r="C226" s="580"/>
      <x:c r="D226" s="580"/>
      <x:c r="E226" s="580"/>
    </x:row>
    <x:row r="227">
      <x:c r="A227" s="580"/>
      <x:c r="B227" s="580"/>
      <x:c r="C227" s="580"/>
      <x:c r="D227" s="580"/>
      <x:c r="E227" s="580"/>
    </x:row>
    <x:row r="228">
      <x:c r="A228" s="580"/>
      <x:c r="B228" s="580"/>
      <x:c r="C228" s="580"/>
      <x:c r="D228" s="580"/>
      <x:c r="E228" s="580"/>
    </x:row>
    <x:row r="229">
      <x:c r="A229" s="580"/>
      <x:c r="B229" s="580"/>
      <x:c r="C229" s="580"/>
      <x:c r="D229" s="580"/>
      <x:c r="E229" s="580"/>
    </x:row>
    <x:row r="230">
      <x:c r="A230" s="580"/>
      <x:c r="B230" s="580"/>
      <x:c r="C230" s="580"/>
      <x:c r="D230" s="580"/>
      <x:c r="E230" s="580"/>
    </x:row>
    <x:row r="231">
      <x:c r="A231" s="580"/>
      <x:c r="B231" s="580"/>
      <x:c r="C231" s="580"/>
      <x:c r="D231" s="580"/>
      <x:c r="E231" s="580"/>
    </x:row>
    <x:row r="232">
      <x:c r="A232" s="580"/>
      <x:c r="B232" s="580"/>
      <x:c r="C232" s="580"/>
      <x:c r="D232" s="580"/>
      <x:c r="E232" s="580"/>
    </x:row>
    <x:row r="233">
      <x:c r="A233" s="580"/>
      <x:c r="B233" s="580"/>
      <x:c r="C233" s="580"/>
      <x:c r="D233" s="580"/>
      <x:c r="E233" s="580"/>
    </x:row>
    <x:row r="234">
      <x:c r="A234" s="580"/>
      <x:c r="B234" s="580"/>
      <x:c r="C234" s="580"/>
      <x:c r="D234" s="580"/>
      <x:c r="E234" s="580"/>
    </x:row>
    <x:row r="235">
      <x:c r="A235" s="580"/>
      <x:c r="B235" s="580"/>
      <x:c r="C235" s="580"/>
      <x:c r="D235" s="580"/>
      <x:c r="E235" s="580"/>
    </x:row>
    <x:row r="236">
      <x:c r="A236" s="580"/>
      <x:c r="B236" s="580"/>
      <x:c r="C236" s="580"/>
      <x:c r="D236" s="580"/>
      <x:c r="E236" s="580"/>
    </x:row>
    <x:row r="237">
      <x:c r="A237" s="580"/>
      <x:c r="B237" s="580"/>
      <x:c r="C237" s="580"/>
      <x:c r="D237" s="580"/>
      <x:c r="E237" s="580"/>
    </x:row>
    <x:row r="238">
      <x:c r="A238" s="580"/>
      <x:c r="B238" s="580"/>
      <x:c r="C238" s="580"/>
      <x:c r="D238" s="580"/>
      <x:c r="E238" s="580"/>
    </x:row>
    <x:row r="239">
      <x:c r="A239" s="580"/>
      <x:c r="B239" s="580"/>
      <x:c r="C239" s="580"/>
      <x:c r="D239" s="580"/>
      <x:c r="E239" s="580"/>
    </x:row>
    <x:row r="240">
      <x:c r="A240" s="580"/>
      <x:c r="B240" s="580"/>
      <x:c r="C240" s="580"/>
      <x:c r="D240" s="580"/>
      <x:c r="E240" s="580"/>
    </x:row>
  </x:sheetData>
  <x:mergeCells>
    <x:mergeCell ref="A3:E3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58" hidden="0" customWidth="1"/>
  </x:cols>
  <x:sheetData>
    <x:row r="1">
      <x:c r="A1" s="583" t="str">
        <x:v>📸 Photo Quest</x:v>
      </x:c>
      <x:c r="B1" s="583"/>
      <x:c r="C1" s="583"/>
      <x:c r="D1" s="583"/>
    </x:row>
    <x:row r="2">
      <x:c r="A2" s="583"/>
      <x:c r="B2" s="583"/>
      <x:c r="C2" s="583"/>
      <x:c r="D2" s="583"/>
    </x:row>
    <x:row r="3">
      <x:c r="A3" s="584" t="str">
        <x:v>The in-app checklist is stored locally on each iPhone. Use this sheet for shared notes or the final Memory Book.</x:v>
      </x:c>
      <x:c r="B3" s="584"/>
      <x:c r="C3" s="584"/>
      <x:c r="D3" s="584"/>
    </x:row>
    <x:row r="4">
      <x:c r="A4" s="580"/>
      <x:c r="B4" s="580"/>
      <x:c r="C4" s="580"/>
      <x:c r="D4" s="580"/>
    </x:row>
    <x:row r="5">
      <x:c r="A5" s="587" t="str">
        <x:v>Quest</x:v>
      </x:c>
      <x:c r="B5" s="587" t="str">
        <x:v>Category</x:v>
      </x:c>
      <x:c r="C5" s="587" t="str">
        <x:v>Completed?</x:v>
      </x:c>
      <x:c r="D5" s="587" t="str">
        <x:v>Favorite Photo / Note</x:v>
      </x:c>
    </x:row>
    <x:row r="6">
      <x:c r="A6" s="588" t="str">
        <x:v>Tokyo skyline</x:v>
      </x:c>
      <x:c r="B6" s="588" t="str">
        <x:v>City</x:v>
      </x:c>
      <x:c r="C6" s="588" t="str">
        <x:v>No</x:v>
      </x:c>
      <x:c r="D6" s="588" t="str"/>
    </x:row>
    <x:row r="7">
      <x:c r="A7" s="588" t="str">
        <x:v>Torii gate</x:v>
      </x:c>
      <x:c r="B7" s="588" t="str">
        <x:v>Culture</x:v>
      </x:c>
      <x:c r="C7" s="588" t="str">
        <x:v>No</x:v>
      </x:c>
      <x:c r="D7" s="588" t="str"/>
    </x:row>
    <x:row r="8">
      <x:c r="A8" s="588" t="str">
        <x:v>Vending machine</x:v>
      </x:c>
      <x:c r="B8" s="588" t="str">
        <x:v>Everyday Japan</x:v>
      </x:c>
      <x:c r="C8" s="588" t="str">
        <x:v>No</x:v>
      </x:c>
      <x:c r="D8" s="588" t="str"/>
    </x:row>
    <x:row r="9">
      <x:c r="A9" s="588" t="str">
        <x:v>Capsule toy</x:v>
      </x:c>
      <x:c r="B9" s="588" t="str">
        <x:v>Shopping</x:v>
      </x:c>
      <x:c r="C9" s="588" t="str">
        <x:v>No</x:v>
      </x:c>
      <x:c r="D9" s="588" t="str"/>
    </x:row>
    <x:row r="10">
      <x:c r="A10" s="588" t="str">
        <x:v>Shinkansen</x:v>
      </x:c>
      <x:c r="B10" s="588" t="str">
        <x:v>Transit</x:v>
      </x:c>
      <x:c r="C10" s="588" t="str">
        <x:v>No</x:v>
      </x:c>
      <x:c r="D10" s="588" t="str"/>
    </x:row>
    <x:row r="11">
      <x:c r="A11" s="588" t="str">
        <x:v>Mt. Fuji view</x:v>
      </x:c>
      <x:c r="B11" s="588" t="str">
        <x:v>Scenery</x:v>
      </x:c>
      <x:c r="C11" s="588" t="str">
        <x:v>No</x:v>
      </x:c>
      <x:c r="D11" s="588" t="str"/>
    </x:row>
    <x:row r="12">
      <x:c r="A12" s="588" t="str">
        <x:v>Nara deer</x:v>
      </x:c>
      <x:c r="B12" s="588" t="str">
        <x:v>Nara</x:v>
      </x:c>
      <x:c r="C12" s="588" t="str">
        <x:v>No</x:v>
      </x:c>
      <x:c r="D12" s="588" t="str"/>
    </x:row>
    <x:row r="13">
      <x:c r="A13" s="588" t="str">
        <x:v>Konbini meal</x:v>
      </x:c>
      <x:c r="B13" s="588" t="str">
        <x:v>Food</x:v>
      </x:c>
      <x:c r="C13" s="588" t="str">
        <x:v>No</x:v>
      </x:c>
      <x:c r="D13" s="588" t="str"/>
    </x:row>
    <x:row r="14">
      <x:c r="A14" s="588" t="str">
        <x:v>Osaka night sign</x:v>
      </x:c>
      <x:c r="B14" s="588" t="str">
        <x:v>Osaka</x:v>
      </x:c>
      <x:c r="C14" s="588" t="str">
        <x:v>No</x:v>
      </x:c>
      <x:c r="D14" s="588" t="str"/>
    </x:row>
    <x:row r="15">
      <x:c r="A15" s="588" t="str">
        <x:v>Favorite group photo</x:v>
      </x:c>
      <x:c r="B15" s="588" t="str">
        <x:v>People</x:v>
      </x:c>
      <x:c r="C15" s="588" t="str">
        <x:v>No</x:v>
      </x:c>
      <x:c r="D15" s="588" t="str"/>
    </x:row>
    <x:row r="16">
      <x:c r="A16" s="588" t="str">
        <x:v>Best meal</x:v>
      </x:c>
      <x:c r="B16" s="588" t="str">
        <x:v>Food</x:v>
      </x:c>
      <x:c r="C16" s="588" t="str">
        <x:v>No</x:v>
      </x:c>
      <x:c r="D16" s="588" t="str"/>
    </x:row>
    <x:row r="17">
      <x:c r="A17" s="588" t="str">
        <x:v>Unexpected discovery</x:v>
      </x:c>
      <x:c r="B17" s="588" t="str">
        <x:v>Memory</x:v>
      </x:c>
      <x:c r="C17" s="588" t="str">
        <x:v>No</x:v>
      </x:c>
      <x:c r="D17" s="588" t="str"/>
    </x:row>
    <x:row r="18">
      <x:c r="A18" s="580"/>
      <x:c r="B18" s="580"/>
      <x:c r="C18" s="580"/>
      <x:c r="D18" s="580"/>
    </x:row>
    <x:row r="19">
      <x:c r="A19" s="580"/>
      <x:c r="B19" s="580"/>
      <x:c r="C19" s="580"/>
      <x:c r="D19" s="580"/>
    </x:row>
    <x:row r="20">
      <x:c r="A20" s="580"/>
      <x:c r="B20" s="580"/>
      <x:c r="C20" s="580"/>
      <x:c r="D20" s="580"/>
    </x:row>
    <x:row r="21">
      <x:c r="A21" s="580"/>
      <x:c r="B21" s="580"/>
      <x:c r="C21" s="580"/>
      <x:c r="D21" s="580"/>
    </x:row>
    <x:row r="22">
      <x:c r="A22" s="580"/>
      <x:c r="B22" s="580"/>
      <x:c r="C22" s="580"/>
      <x:c r="D22" s="580"/>
    </x:row>
    <x:row r="23">
      <x:c r="A23" s="580"/>
      <x:c r="B23" s="580"/>
      <x:c r="C23" s="580"/>
      <x:c r="D23" s="580"/>
    </x:row>
    <x:row r="24">
      <x:c r="A24" s="580"/>
      <x:c r="B24" s="580"/>
      <x:c r="C24" s="580"/>
      <x:c r="D24" s="580"/>
    </x:row>
    <x:row r="25">
      <x:c r="A25" s="580"/>
      <x:c r="B25" s="580"/>
      <x:c r="C25" s="580"/>
      <x:c r="D25" s="580"/>
    </x:row>
    <x:row r="26">
      <x:c r="A26" s="580"/>
      <x:c r="B26" s="580"/>
      <x:c r="C26" s="580"/>
      <x:c r="D26" s="580"/>
    </x:row>
    <x:row r="27">
      <x:c r="A27" s="580"/>
      <x:c r="B27" s="580"/>
      <x:c r="C27" s="580"/>
      <x:c r="D27" s="580"/>
    </x:row>
    <x:row r="28">
      <x:c r="A28" s="580"/>
      <x:c r="B28" s="580"/>
      <x:c r="C28" s="580"/>
      <x:c r="D28" s="580"/>
    </x:row>
    <x:row r="29">
      <x:c r="A29" s="580"/>
      <x:c r="B29" s="580"/>
      <x:c r="C29" s="580"/>
      <x:c r="D29" s="580"/>
    </x:row>
    <x:row r="30">
      <x:c r="A30" s="580"/>
      <x:c r="B30" s="580"/>
      <x:c r="C30" s="580"/>
      <x:c r="D30" s="580"/>
    </x:row>
    <x:row r="31">
      <x:c r="A31" s="580"/>
      <x:c r="B31" s="580"/>
      <x:c r="C31" s="580"/>
      <x:c r="D31" s="580"/>
    </x:row>
    <x:row r="32">
      <x:c r="A32" s="580"/>
      <x:c r="B32" s="580"/>
      <x:c r="C32" s="580"/>
      <x:c r="D32" s="580"/>
    </x:row>
    <x:row r="33">
      <x:c r="A33" s="580"/>
      <x:c r="B33" s="580"/>
      <x:c r="C33" s="580"/>
      <x:c r="D33" s="580"/>
    </x:row>
    <x:row r="34">
      <x:c r="A34" s="580"/>
      <x:c r="B34" s="580"/>
      <x:c r="C34" s="580"/>
      <x:c r="D34" s="580"/>
    </x:row>
    <x:row r="35">
      <x:c r="A35" s="580"/>
      <x:c r="B35" s="580"/>
      <x:c r="C35" s="580"/>
      <x:c r="D35" s="580"/>
    </x:row>
    <x:row r="36">
      <x:c r="A36" s="580"/>
      <x:c r="B36" s="580"/>
      <x:c r="C36" s="580"/>
      <x:c r="D36" s="580"/>
    </x:row>
    <x:row r="37">
      <x:c r="A37" s="580"/>
      <x:c r="B37" s="580"/>
      <x:c r="C37" s="580"/>
      <x:c r="D37" s="580"/>
    </x:row>
    <x:row r="38">
      <x:c r="A38" s="580"/>
      <x:c r="B38" s="580"/>
      <x:c r="C38" s="580"/>
      <x:c r="D38" s="580"/>
    </x:row>
    <x:row r="39">
      <x:c r="A39" s="580"/>
      <x:c r="B39" s="580"/>
      <x:c r="C39" s="580"/>
      <x:c r="D39" s="580"/>
    </x:row>
    <x:row r="40">
      <x:c r="A40" s="580"/>
      <x:c r="B40" s="580"/>
      <x:c r="C40" s="580"/>
      <x:c r="D40" s="580"/>
    </x:row>
    <x:row r="41">
      <x:c r="A41" s="580"/>
      <x:c r="B41" s="580"/>
      <x:c r="C41" s="580"/>
      <x:c r="D41" s="580"/>
    </x:row>
    <x:row r="42">
      <x:c r="A42" s="580"/>
      <x:c r="B42" s="580"/>
      <x:c r="C42" s="580"/>
      <x:c r="D42" s="580"/>
    </x:row>
    <x:row r="43">
      <x:c r="A43" s="580"/>
      <x:c r="B43" s="580"/>
      <x:c r="C43" s="580"/>
      <x:c r="D43" s="580"/>
    </x:row>
    <x:row r="44">
      <x:c r="A44" s="580"/>
      <x:c r="B44" s="580"/>
      <x:c r="C44" s="580"/>
      <x:c r="D44" s="580"/>
    </x:row>
    <x:row r="45">
      <x:c r="A45" s="580"/>
      <x:c r="B45" s="580"/>
      <x:c r="C45" s="580"/>
      <x:c r="D45" s="580"/>
    </x:row>
    <x:row r="46">
      <x:c r="A46" s="580"/>
      <x:c r="B46" s="580"/>
      <x:c r="C46" s="580"/>
      <x:c r="D46" s="580"/>
    </x:row>
    <x:row r="47">
      <x:c r="A47" s="580"/>
      <x:c r="B47" s="580"/>
      <x:c r="C47" s="580"/>
      <x:c r="D47" s="580"/>
    </x:row>
    <x:row r="48">
      <x:c r="A48" s="580"/>
      <x:c r="B48" s="580"/>
      <x:c r="C48" s="580"/>
      <x:c r="D48" s="580"/>
    </x:row>
    <x:row r="49">
      <x:c r="A49" s="580"/>
      <x:c r="B49" s="580"/>
      <x:c r="C49" s="580"/>
      <x:c r="D49" s="580"/>
    </x:row>
    <x:row r="50">
      <x:c r="A50" s="580"/>
      <x:c r="B50" s="580"/>
      <x:c r="C50" s="580"/>
      <x:c r="D50" s="580"/>
    </x:row>
    <x:row r="51">
      <x:c r="A51" s="580"/>
      <x:c r="B51" s="580"/>
      <x:c r="C51" s="580"/>
      <x:c r="D51" s="580"/>
    </x:row>
    <x:row r="52">
      <x:c r="A52" s="580"/>
      <x:c r="B52" s="580"/>
      <x:c r="C52" s="580"/>
      <x:c r="D52" s="580"/>
    </x:row>
    <x:row r="53">
      <x:c r="A53" s="580"/>
      <x:c r="B53" s="580"/>
      <x:c r="C53" s="580"/>
      <x:c r="D53" s="580"/>
    </x:row>
    <x:row r="54">
      <x:c r="A54" s="580"/>
      <x:c r="B54" s="580"/>
      <x:c r="C54" s="580"/>
      <x:c r="D54" s="580"/>
    </x:row>
    <x:row r="55">
      <x:c r="A55" s="580"/>
      <x:c r="B55" s="580"/>
      <x:c r="C55" s="580"/>
      <x:c r="D55" s="580"/>
    </x:row>
    <x:row r="56">
      <x:c r="A56" s="580"/>
      <x:c r="B56" s="580"/>
      <x:c r="C56" s="580"/>
      <x:c r="D56" s="580"/>
    </x:row>
    <x:row r="57">
      <x:c r="A57" s="580"/>
      <x:c r="B57" s="580"/>
      <x:c r="C57" s="580"/>
      <x:c r="D57" s="580"/>
    </x:row>
    <x:row r="58">
      <x:c r="A58" s="580"/>
      <x:c r="B58" s="580"/>
      <x:c r="C58" s="580"/>
      <x:c r="D58" s="580"/>
    </x:row>
    <x:row r="59">
      <x:c r="A59" s="580"/>
      <x:c r="B59" s="580"/>
      <x:c r="C59" s="580"/>
      <x:c r="D59" s="580"/>
    </x:row>
    <x:row r="60">
      <x:c r="A60" s="580"/>
      <x:c r="B60" s="580"/>
      <x:c r="C60" s="580"/>
      <x:c r="D60" s="580"/>
    </x:row>
    <x:row r="61">
      <x:c r="A61" s="580"/>
      <x:c r="B61" s="580"/>
      <x:c r="C61" s="580"/>
      <x:c r="D61" s="580"/>
    </x:row>
    <x:row r="62">
      <x:c r="A62" s="580"/>
      <x:c r="B62" s="580"/>
      <x:c r="C62" s="580"/>
      <x:c r="D62" s="580"/>
    </x:row>
    <x:row r="63">
      <x:c r="A63" s="580"/>
      <x:c r="B63" s="580"/>
      <x:c r="C63" s="580"/>
      <x:c r="D63" s="580"/>
    </x:row>
    <x:row r="64">
      <x:c r="A64" s="580"/>
      <x:c r="B64" s="580"/>
      <x:c r="C64" s="580"/>
      <x:c r="D64" s="580"/>
    </x:row>
    <x:row r="65">
      <x:c r="A65" s="580"/>
      <x:c r="B65" s="580"/>
      <x:c r="C65" s="580"/>
      <x:c r="D65" s="580"/>
    </x:row>
    <x:row r="66">
      <x:c r="A66" s="580"/>
      <x:c r="B66" s="580"/>
      <x:c r="C66" s="580"/>
      <x:c r="D66" s="580"/>
    </x:row>
    <x:row r="67">
      <x:c r="A67" s="580"/>
      <x:c r="B67" s="580"/>
      <x:c r="C67" s="580"/>
      <x:c r="D67" s="580"/>
    </x:row>
    <x:row r="68">
      <x:c r="A68" s="580"/>
      <x:c r="B68" s="580"/>
      <x:c r="C68" s="580"/>
      <x:c r="D68" s="580"/>
    </x:row>
    <x:row r="69">
      <x:c r="A69" s="580"/>
      <x:c r="B69" s="580"/>
      <x:c r="C69" s="580"/>
      <x:c r="D69" s="580"/>
    </x:row>
    <x:row r="70">
      <x:c r="A70" s="580"/>
      <x:c r="B70" s="580"/>
      <x:c r="C70" s="580"/>
      <x:c r="D70" s="580"/>
    </x:row>
    <x:row r="71">
      <x:c r="A71" s="580"/>
      <x:c r="B71" s="580"/>
      <x:c r="C71" s="580"/>
      <x:c r="D71" s="580"/>
    </x:row>
    <x:row r="72">
      <x:c r="A72" s="580"/>
      <x:c r="B72" s="580"/>
      <x:c r="C72" s="580"/>
      <x:c r="D72" s="580"/>
    </x:row>
    <x:row r="73">
      <x:c r="A73" s="580"/>
      <x:c r="B73" s="580"/>
      <x:c r="C73" s="580"/>
      <x:c r="D73" s="580"/>
    </x:row>
    <x:row r="74">
      <x:c r="A74" s="580"/>
      <x:c r="B74" s="580"/>
      <x:c r="C74" s="580"/>
      <x:c r="D74" s="580"/>
    </x:row>
    <x:row r="75">
      <x:c r="A75" s="580"/>
      <x:c r="B75" s="580"/>
      <x:c r="C75" s="580"/>
      <x:c r="D75" s="580"/>
    </x:row>
    <x:row r="76">
      <x:c r="A76" s="580"/>
      <x:c r="B76" s="580"/>
      <x:c r="C76" s="580"/>
      <x:c r="D76" s="580"/>
    </x:row>
    <x:row r="77">
      <x:c r="A77" s="580"/>
      <x:c r="B77" s="580"/>
      <x:c r="C77" s="580"/>
      <x:c r="D77" s="580"/>
    </x:row>
    <x:row r="78">
      <x:c r="A78" s="580"/>
      <x:c r="B78" s="580"/>
      <x:c r="C78" s="580"/>
      <x:c r="D78" s="580"/>
    </x:row>
    <x:row r="79">
      <x:c r="A79" s="580"/>
      <x:c r="B79" s="580"/>
      <x:c r="C79" s="580"/>
      <x:c r="D79" s="580"/>
    </x:row>
    <x:row r="80">
      <x:c r="A80" s="580"/>
      <x:c r="B80" s="580"/>
      <x:c r="C80" s="580"/>
      <x:c r="D80" s="580"/>
    </x:row>
    <x:row r="81">
      <x:c r="A81" s="580"/>
      <x:c r="B81" s="580"/>
      <x:c r="C81" s="580"/>
      <x:c r="D81" s="580"/>
    </x:row>
    <x:row r="82">
      <x:c r="A82" s="580"/>
      <x:c r="B82" s="580"/>
      <x:c r="C82" s="580"/>
      <x:c r="D82" s="580"/>
    </x:row>
    <x:row r="83">
      <x:c r="A83" s="580"/>
      <x:c r="B83" s="580"/>
      <x:c r="C83" s="580"/>
      <x:c r="D83" s="580"/>
    </x:row>
    <x:row r="84">
      <x:c r="A84" s="580"/>
      <x:c r="B84" s="580"/>
      <x:c r="C84" s="580"/>
      <x:c r="D84" s="580"/>
    </x:row>
    <x:row r="85">
      <x:c r="A85" s="580"/>
      <x:c r="B85" s="580"/>
      <x:c r="C85" s="580"/>
      <x:c r="D85" s="580"/>
    </x:row>
    <x:row r="86">
      <x:c r="A86" s="580"/>
      <x:c r="B86" s="580"/>
      <x:c r="C86" s="580"/>
      <x:c r="D86" s="580"/>
    </x:row>
    <x:row r="87">
      <x:c r="A87" s="580"/>
      <x:c r="B87" s="580"/>
      <x:c r="C87" s="580"/>
      <x:c r="D87" s="580"/>
    </x:row>
    <x:row r="88">
      <x:c r="A88" s="580"/>
      <x:c r="B88" s="580"/>
      <x:c r="C88" s="580"/>
      <x:c r="D88" s="580"/>
    </x:row>
    <x:row r="89">
      <x:c r="A89" s="580"/>
      <x:c r="B89" s="580"/>
      <x:c r="C89" s="580"/>
      <x:c r="D89" s="580"/>
    </x:row>
    <x:row r="90">
      <x:c r="A90" s="580"/>
      <x:c r="B90" s="580"/>
      <x:c r="C90" s="580"/>
      <x:c r="D90" s="580"/>
    </x:row>
    <x:row r="91">
      <x:c r="A91" s="580"/>
      <x:c r="B91" s="580"/>
      <x:c r="C91" s="580"/>
      <x:c r="D91" s="580"/>
    </x:row>
    <x:row r="92">
      <x:c r="A92" s="580"/>
      <x:c r="B92" s="580"/>
      <x:c r="C92" s="580"/>
      <x:c r="D92" s="580"/>
    </x:row>
    <x:row r="93">
      <x:c r="A93" s="580"/>
      <x:c r="B93" s="580"/>
      <x:c r="C93" s="580"/>
      <x:c r="D93" s="580"/>
    </x:row>
    <x:row r="94">
      <x:c r="A94" s="580"/>
      <x:c r="B94" s="580"/>
      <x:c r="C94" s="580"/>
      <x:c r="D94" s="580"/>
    </x:row>
    <x:row r="95">
      <x:c r="A95" s="580"/>
      <x:c r="B95" s="580"/>
      <x:c r="C95" s="580"/>
      <x:c r="D95" s="580"/>
    </x:row>
    <x:row r="96">
      <x:c r="A96" s="580"/>
      <x:c r="B96" s="580"/>
      <x:c r="C96" s="580"/>
      <x:c r="D96" s="580"/>
    </x:row>
    <x:row r="97">
      <x:c r="A97" s="580"/>
      <x:c r="B97" s="580"/>
      <x:c r="C97" s="580"/>
      <x:c r="D97" s="580"/>
    </x:row>
    <x:row r="98">
      <x:c r="A98" s="580"/>
      <x:c r="B98" s="580"/>
      <x:c r="C98" s="580"/>
      <x:c r="D98" s="580"/>
    </x:row>
    <x:row r="99">
      <x:c r="A99" s="580"/>
      <x:c r="B99" s="580"/>
      <x:c r="C99" s="580"/>
      <x:c r="D99" s="580"/>
    </x:row>
    <x:row r="100">
      <x:c r="A100" s="580"/>
      <x:c r="B100" s="580"/>
      <x:c r="C100" s="580"/>
      <x:c r="D100" s="580"/>
    </x:row>
    <x:row r="101">
      <x:c r="A101" s="580"/>
      <x:c r="B101" s="580"/>
      <x:c r="C101" s="580"/>
      <x:c r="D101" s="580"/>
    </x:row>
    <x:row r="102">
      <x:c r="A102" s="580"/>
      <x:c r="B102" s="580"/>
      <x:c r="C102" s="580"/>
      <x:c r="D102" s="580"/>
    </x:row>
    <x:row r="103">
      <x:c r="A103" s="580"/>
      <x:c r="B103" s="580"/>
      <x:c r="C103" s="580"/>
      <x:c r="D103" s="580"/>
    </x:row>
    <x:row r="104">
      <x:c r="A104" s="580"/>
      <x:c r="B104" s="580"/>
      <x:c r="C104" s="580"/>
      <x:c r="D104" s="580"/>
    </x:row>
    <x:row r="105">
      <x:c r="A105" s="580"/>
      <x:c r="B105" s="580"/>
      <x:c r="C105" s="580"/>
      <x:c r="D105" s="580"/>
    </x:row>
    <x:row r="106">
      <x:c r="A106" s="580"/>
      <x:c r="B106" s="580"/>
      <x:c r="C106" s="580"/>
      <x:c r="D106" s="580"/>
    </x:row>
    <x:row r="107">
      <x:c r="A107" s="580"/>
      <x:c r="B107" s="580"/>
      <x:c r="C107" s="580"/>
      <x:c r="D107" s="580"/>
    </x:row>
    <x:row r="108">
      <x:c r="A108" s="580"/>
      <x:c r="B108" s="580"/>
      <x:c r="C108" s="580"/>
      <x:c r="D108" s="580"/>
    </x:row>
    <x:row r="109">
      <x:c r="A109" s="580"/>
      <x:c r="B109" s="580"/>
      <x:c r="C109" s="580"/>
      <x:c r="D109" s="580"/>
    </x:row>
    <x:row r="110">
      <x:c r="A110" s="580"/>
      <x:c r="B110" s="580"/>
      <x:c r="C110" s="580"/>
      <x:c r="D110" s="580"/>
    </x:row>
    <x:row r="111">
      <x:c r="A111" s="580"/>
      <x:c r="B111" s="580"/>
      <x:c r="C111" s="580"/>
      <x:c r="D111" s="580"/>
    </x:row>
    <x:row r="112">
      <x:c r="A112" s="580"/>
      <x:c r="B112" s="580"/>
      <x:c r="C112" s="580"/>
      <x:c r="D112" s="580"/>
    </x:row>
    <x:row r="113">
      <x:c r="A113" s="580"/>
      <x:c r="B113" s="580"/>
      <x:c r="C113" s="580"/>
      <x:c r="D113" s="580"/>
    </x:row>
    <x:row r="114">
      <x:c r="A114" s="580"/>
      <x:c r="B114" s="580"/>
      <x:c r="C114" s="580"/>
      <x:c r="D114" s="580"/>
    </x:row>
    <x:row r="115">
      <x:c r="A115" s="580"/>
      <x:c r="B115" s="580"/>
      <x:c r="C115" s="580"/>
      <x:c r="D115" s="580"/>
    </x:row>
    <x:row r="116">
      <x:c r="A116" s="580"/>
      <x:c r="B116" s="580"/>
      <x:c r="C116" s="580"/>
      <x:c r="D116" s="580"/>
    </x:row>
    <x:row r="117">
      <x:c r="A117" s="580"/>
      <x:c r="B117" s="580"/>
      <x:c r="C117" s="580"/>
      <x:c r="D117" s="580"/>
    </x:row>
    <x:row r="118">
      <x:c r="A118" s="580"/>
      <x:c r="B118" s="580"/>
      <x:c r="C118" s="580"/>
      <x:c r="D118" s="580"/>
    </x:row>
    <x:row r="119">
      <x:c r="A119" s="580"/>
      <x:c r="B119" s="580"/>
      <x:c r="C119" s="580"/>
      <x:c r="D119" s="580"/>
    </x:row>
    <x:row r="120">
      <x:c r="A120" s="580"/>
      <x:c r="B120" s="580"/>
      <x:c r="C120" s="580"/>
      <x:c r="D120" s="580"/>
    </x:row>
    <x:row r="121">
      <x:c r="A121" s="580"/>
      <x:c r="B121" s="580"/>
      <x:c r="C121" s="580"/>
      <x:c r="D121" s="580"/>
    </x:row>
    <x:row r="122">
      <x:c r="A122" s="580"/>
      <x:c r="B122" s="580"/>
      <x:c r="C122" s="580"/>
      <x:c r="D122" s="580"/>
    </x:row>
    <x:row r="123">
      <x:c r="A123" s="580"/>
      <x:c r="B123" s="580"/>
      <x:c r="C123" s="580"/>
      <x:c r="D123" s="580"/>
    </x:row>
    <x:row r="124">
      <x:c r="A124" s="580"/>
      <x:c r="B124" s="580"/>
      <x:c r="C124" s="580"/>
      <x:c r="D124" s="580"/>
    </x:row>
    <x:row r="125">
      <x:c r="A125" s="580"/>
      <x:c r="B125" s="580"/>
      <x:c r="C125" s="580"/>
      <x:c r="D125" s="580"/>
    </x:row>
    <x:row r="126">
      <x:c r="A126" s="580"/>
      <x:c r="B126" s="580"/>
      <x:c r="C126" s="580"/>
      <x:c r="D126" s="580"/>
    </x:row>
    <x:row r="127">
      <x:c r="A127" s="580"/>
      <x:c r="B127" s="580"/>
      <x:c r="C127" s="580"/>
      <x:c r="D127" s="580"/>
    </x:row>
    <x:row r="128">
      <x:c r="A128" s="580"/>
      <x:c r="B128" s="580"/>
      <x:c r="C128" s="580"/>
      <x:c r="D128" s="580"/>
    </x:row>
    <x:row r="129">
      <x:c r="A129" s="580"/>
      <x:c r="B129" s="580"/>
      <x:c r="C129" s="580"/>
      <x:c r="D129" s="580"/>
    </x:row>
    <x:row r="130">
      <x:c r="A130" s="580"/>
      <x:c r="B130" s="580"/>
      <x:c r="C130" s="580"/>
      <x:c r="D130" s="580"/>
    </x:row>
    <x:row r="131">
      <x:c r="A131" s="580"/>
      <x:c r="B131" s="580"/>
      <x:c r="C131" s="580"/>
      <x:c r="D131" s="580"/>
    </x:row>
    <x:row r="132">
      <x:c r="A132" s="580"/>
      <x:c r="B132" s="580"/>
      <x:c r="C132" s="580"/>
      <x:c r="D132" s="580"/>
    </x:row>
    <x:row r="133">
      <x:c r="A133" s="580"/>
      <x:c r="B133" s="580"/>
      <x:c r="C133" s="580"/>
      <x:c r="D133" s="580"/>
    </x:row>
    <x:row r="134">
      <x:c r="A134" s="580"/>
      <x:c r="B134" s="580"/>
      <x:c r="C134" s="580"/>
      <x:c r="D134" s="580"/>
    </x:row>
    <x:row r="135">
      <x:c r="A135" s="580"/>
      <x:c r="B135" s="580"/>
      <x:c r="C135" s="580"/>
      <x:c r="D135" s="580"/>
    </x:row>
    <x:row r="136">
      <x:c r="A136" s="580"/>
      <x:c r="B136" s="580"/>
      <x:c r="C136" s="580"/>
      <x:c r="D136" s="580"/>
    </x:row>
    <x:row r="137">
      <x:c r="A137" s="580"/>
      <x:c r="B137" s="580"/>
      <x:c r="C137" s="580"/>
      <x:c r="D137" s="580"/>
    </x:row>
    <x:row r="138">
      <x:c r="A138" s="580"/>
      <x:c r="B138" s="580"/>
      <x:c r="C138" s="580"/>
      <x:c r="D138" s="580"/>
    </x:row>
    <x:row r="139">
      <x:c r="A139" s="580"/>
      <x:c r="B139" s="580"/>
      <x:c r="C139" s="580"/>
      <x:c r="D139" s="580"/>
    </x:row>
    <x:row r="140">
      <x:c r="A140" s="580"/>
      <x:c r="B140" s="580"/>
      <x:c r="C140" s="580"/>
      <x:c r="D140" s="580"/>
    </x:row>
    <x:row r="141">
      <x:c r="A141" s="580"/>
      <x:c r="B141" s="580"/>
      <x:c r="C141" s="580"/>
      <x:c r="D141" s="580"/>
    </x:row>
    <x:row r="142">
      <x:c r="A142" s="580"/>
      <x:c r="B142" s="580"/>
      <x:c r="C142" s="580"/>
      <x:c r="D142" s="580"/>
    </x:row>
    <x:row r="143">
      <x:c r="A143" s="580"/>
      <x:c r="B143" s="580"/>
      <x:c r="C143" s="580"/>
      <x:c r="D143" s="580"/>
    </x:row>
    <x:row r="144">
      <x:c r="A144" s="580"/>
      <x:c r="B144" s="580"/>
      <x:c r="C144" s="580"/>
      <x:c r="D144" s="580"/>
    </x:row>
    <x:row r="145">
      <x:c r="A145" s="580"/>
      <x:c r="B145" s="580"/>
      <x:c r="C145" s="580"/>
      <x:c r="D145" s="580"/>
    </x:row>
    <x:row r="146">
      <x:c r="A146" s="580"/>
      <x:c r="B146" s="580"/>
      <x:c r="C146" s="580"/>
      <x:c r="D146" s="580"/>
    </x:row>
    <x:row r="147">
      <x:c r="A147" s="580"/>
      <x:c r="B147" s="580"/>
      <x:c r="C147" s="580"/>
      <x:c r="D147" s="580"/>
    </x:row>
    <x:row r="148">
      <x:c r="A148" s="580"/>
      <x:c r="B148" s="580"/>
      <x:c r="C148" s="580"/>
      <x:c r="D148" s="580"/>
    </x:row>
    <x:row r="149">
      <x:c r="A149" s="580"/>
      <x:c r="B149" s="580"/>
      <x:c r="C149" s="580"/>
      <x:c r="D149" s="580"/>
    </x:row>
    <x:row r="150">
      <x:c r="A150" s="580"/>
      <x:c r="B150" s="580"/>
      <x:c r="C150" s="580"/>
      <x:c r="D150" s="580"/>
    </x:row>
    <x:row r="151">
      <x:c r="A151" s="580"/>
      <x:c r="B151" s="580"/>
      <x:c r="C151" s="580"/>
      <x:c r="D151" s="580"/>
    </x:row>
    <x:row r="152">
      <x:c r="A152" s="580"/>
      <x:c r="B152" s="580"/>
      <x:c r="C152" s="580"/>
      <x:c r="D152" s="580"/>
    </x:row>
    <x:row r="153">
      <x:c r="A153" s="580"/>
      <x:c r="B153" s="580"/>
      <x:c r="C153" s="580"/>
      <x:c r="D153" s="580"/>
    </x:row>
    <x:row r="154">
      <x:c r="A154" s="580"/>
      <x:c r="B154" s="580"/>
      <x:c r="C154" s="580"/>
      <x:c r="D154" s="580"/>
    </x:row>
    <x:row r="155">
      <x:c r="A155" s="580"/>
      <x:c r="B155" s="580"/>
      <x:c r="C155" s="580"/>
      <x:c r="D155" s="580"/>
    </x:row>
    <x:row r="156">
      <x:c r="A156" s="580"/>
      <x:c r="B156" s="580"/>
      <x:c r="C156" s="580"/>
      <x:c r="D156" s="580"/>
    </x:row>
    <x:row r="157">
      <x:c r="A157" s="580"/>
      <x:c r="B157" s="580"/>
      <x:c r="C157" s="580"/>
      <x:c r="D157" s="580"/>
    </x:row>
    <x:row r="158">
      <x:c r="A158" s="580"/>
      <x:c r="B158" s="580"/>
      <x:c r="C158" s="580"/>
      <x:c r="D158" s="580"/>
    </x:row>
    <x:row r="159">
      <x:c r="A159" s="580"/>
      <x:c r="B159" s="580"/>
      <x:c r="C159" s="580"/>
      <x:c r="D159" s="580"/>
    </x:row>
    <x:row r="160">
      <x:c r="A160" s="580"/>
      <x:c r="B160" s="580"/>
      <x:c r="C160" s="580"/>
      <x:c r="D160" s="580"/>
    </x:row>
    <x:row r="161">
      <x:c r="A161" s="580"/>
      <x:c r="B161" s="580"/>
      <x:c r="C161" s="580"/>
      <x:c r="D161" s="580"/>
    </x:row>
    <x:row r="162">
      <x:c r="A162" s="580"/>
      <x:c r="B162" s="580"/>
      <x:c r="C162" s="580"/>
      <x:c r="D162" s="580"/>
    </x:row>
    <x:row r="163">
      <x:c r="A163" s="580"/>
      <x:c r="B163" s="580"/>
      <x:c r="C163" s="580"/>
      <x:c r="D163" s="580"/>
    </x:row>
    <x:row r="164">
      <x:c r="A164" s="580"/>
      <x:c r="B164" s="580"/>
      <x:c r="C164" s="580"/>
      <x:c r="D164" s="580"/>
    </x:row>
    <x:row r="165">
      <x:c r="A165" s="580"/>
      <x:c r="B165" s="580"/>
      <x:c r="C165" s="580"/>
      <x:c r="D165" s="580"/>
    </x:row>
    <x:row r="166">
      <x:c r="A166" s="580"/>
      <x:c r="B166" s="580"/>
      <x:c r="C166" s="580"/>
      <x:c r="D166" s="580"/>
    </x:row>
    <x:row r="167">
      <x:c r="A167" s="580"/>
      <x:c r="B167" s="580"/>
      <x:c r="C167" s="580"/>
      <x:c r="D167" s="580"/>
    </x:row>
    <x:row r="168">
      <x:c r="A168" s="580"/>
      <x:c r="B168" s="580"/>
      <x:c r="C168" s="580"/>
      <x:c r="D168" s="580"/>
    </x:row>
    <x:row r="169">
      <x:c r="A169" s="580"/>
      <x:c r="B169" s="580"/>
      <x:c r="C169" s="580"/>
      <x:c r="D169" s="580"/>
    </x:row>
    <x:row r="170">
      <x:c r="A170" s="580"/>
      <x:c r="B170" s="580"/>
      <x:c r="C170" s="580"/>
      <x:c r="D170" s="580"/>
    </x:row>
    <x:row r="171">
      <x:c r="A171" s="580"/>
      <x:c r="B171" s="580"/>
      <x:c r="C171" s="580"/>
      <x:c r="D171" s="580"/>
    </x:row>
    <x:row r="172">
      <x:c r="A172" s="580"/>
      <x:c r="B172" s="580"/>
      <x:c r="C172" s="580"/>
      <x:c r="D172" s="580"/>
    </x:row>
    <x:row r="173">
      <x:c r="A173" s="580"/>
      <x:c r="B173" s="580"/>
      <x:c r="C173" s="580"/>
      <x:c r="D173" s="580"/>
    </x:row>
    <x:row r="174">
      <x:c r="A174" s="580"/>
      <x:c r="B174" s="580"/>
      <x:c r="C174" s="580"/>
      <x:c r="D174" s="580"/>
    </x:row>
    <x:row r="175">
      <x:c r="A175" s="580"/>
      <x:c r="B175" s="580"/>
      <x:c r="C175" s="580"/>
      <x:c r="D175" s="580"/>
    </x:row>
    <x:row r="176">
      <x:c r="A176" s="580"/>
      <x:c r="B176" s="580"/>
      <x:c r="C176" s="580"/>
      <x:c r="D176" s="580"/>
    </x:row>
    <x:row r="177">
      <x:c r="A177" s="580"/>
      <x:c r="B177" s="580"/>
      <x:c r="C177" s="580"/>
      <x:c r="D177" s="580"/>
    </x:row>
    <x:row r="178">
      <x:c r="A178" s="580"/>
      <x:c r="B178" s="580"/>
      <x:c r="C178" s="580"/>
      <x:c r="D178" s="580"/>
    </x:row>
    <x:row r="179">
      <x:c r="A179" s="580"/>
      <x:c r="B179" s="580"/>
      <x:c r="C179" s="580"/>
      <x:c r="D179" s="580"/>
    </x:row>
    <x:row r="180">
      <x:c r="A180" s="580"/>
      <x:c r="B180" s="580"/>
      <x:c r="C180" s="580"/>
      <x:c r="D180" s="580"/>
    </x:row>
    <x:row r="181">
      <x:c r="A181" s="580"/>
      <x:c r="B181" s="580"/>
      <x:c r="C181" s="580"/>
      <x:c r="D181" s="580"/>
    </x:row>
    <x:row r="182">
      <x:c r="A182" s="580"/>
      <x:c r="B182" s="580"/>
      <x:c r="C182" s="580"/>
      <x:c r="D182" s="580"/>
    </x:row>
    <x:row r="183">
      <x:c r="A183" s="580"/>
      <x:c r="B183" s="580"/>
      <x:c r="C183" s="580"/>
      <x:c r="D183" s="580"/>
    </x:row>
    <x:row r="184">
      <x:c r="A184" s="580"/>
      <x:c r="B184" s="580"/>
      <x:c r="C184" s="580"/>
      <x:c r="D184" s="580"/>
    </x:row>
    <x:row r="185">
      <x:c r="A185" s="580"/>
      <x:c r="B185" s="580"/>
      <x:c r="C185" s="580"/>
      <x:c r="D185" s="580"/>
    </x:row>
    <x:row r="186">
      <x:c r="A186" s="580"/>
      <x:c r="B186" s="580"/>
      <x:c r="C186" s="580"/>
      <x:c r="D186" s="580"/>
    </x:row>
    <x:row r="187">
      <x:c r="A187" s="580"/>
      <x:c r="B187" s="580"/>
      <x:c r="C187" s="580"/>
      <x:c r="D187" s="580"/>
    </x:row>
    <x:row r="188">
      <x:c r="A188" s="580"/>
      <x:c r="B188" s="580"/>
      <x:c r="C188" s="580"/>
      <x:c r="D188" s="580"/>
    </x:row>
    <x:row r="189">
      <x:c r="A189" s="580"/>
      <x:c r="B189" s="580"/>
      <x:c r="C189" s="580"/>
      <x:c r="D189" s="580"/>
    </x:row>
    <x:row r="190">
      <x:c r="A190" s="580"/>
      <x:c r="B190" s="580"/>
      <x:c r="C190" s="580"/>
      <x:c r="D190" s="580"/>
    </x:row>
    <x:row r="191">
      <x:c r="A191" s="580"/>
      <x:c r="B191" s="580"/>
      <x:c r="C191" s="580"/>
      <x:c r="D191" s="580"/>
    </x:row>
    <x:row r="192">
      <x:c r="A192" s="580"/>
      <x:c r="B192" s="580"/>
      <x:c r="C192" s="580"/>
      <x:c r="D192" s="580"/>
    </x:row>
    <x:row r="193">
      <x:c r="A193" s="580"/>
      <x:c r="B193" s="580"/>
      <x:c r="C193" s="580"/>
      <x:c r="D193" s="580"/>
    </x:row>
    <x:row r="194">
      <x:c r="A194" s="580"/>
      <x:c r="B194" s="580"/>
      <x:c r="C194" s="580"/>
      <x:c r="D194" s="580"/>
    </x:row>
    <x:row r="195">
      <x:c r="A195" s="580"/>
      <x:c r="B195" s="580"/>
      <x:c r="C195" s="580"/>
      <x:c r="D195" s="580"/>
    </x:row>
    <x:row r="196">
      <x:c r="A196" s="580"/>
      <x:c r="B196" s="580"/>
      <x:c r="C196" s="580"/>
      <x:c r="D196" s="580"/>
    </x:row>
    <x:row r="197">
      <x:c r="A197" s="580"/>
      <x:c r="B197" s="580"/>
      <x:c r="C197" s="580"/>
      <x:c r="D197" s="580"/>
    </x:row>
    <x:row r="198">
      <x:c r="A198" s="580"/>
      <x:c r="B198" s="580"/>
      <x:c r="C198" s="580"/>
      <x:c r="D198" s="580"/>
    </x:row>
    <x:row r="199">
      <x:c r="A199" s="580"/>
      <x:c r="B199" s="580"/>
      <x:c r="C199" s="580"/>
      <x:c r="D199" s="580"/>
    </x:row>
    <x:row r="200">
      <x:c r="A200" s="580"/>
      <x:c r="B200" s="580"/>
      <x:c r="C200" s="580"/>
      <x:c r="D200" s="580"/>
    </x:row>
    <x:row r="201">
      <x:c r="A201" s="580"/>
      <x:c r="B201" s="580"/>
      <x:c r="C201" s="580"/>
      <x:c r="D201" s="580"/>
    </x:row>
    <x:row r="202">
      <x:c r="A202" s="580"/>
      <x:c r="B202" s="580"/>
      <x:c r="C202" s="580"/>
      <x:c r="D202" s="580"/>
    </x:row>
    <x:row r="203">
      <x:c r="A203" s="580"/>
      <x:c r="B203" s="580"/>
      <x:c r="C203" s="580"/>
      <x:c r="D203" s="580"/>
    </x:row>
    <x:row r="204">
      <x:c r="A204" s="580"/>
      <x:c r="B204" s="580"/>
      <x:c r="C204" s="580"/>
      <x:c r="D204" s="580"/>
    </x:row>
    <x:row r="205">
      <x:c r="A205" s="580"/>
      <x:c r="B205" s="580"/>
      <x:c r="C205" s="580"/>
      <x:c r="D205" s="580"/>
    </x:row>
    <x:row r="206">
      <x:c r="A206" s="580"/>
      <x:c r="B206" s="580"/>
      <x:c r="C206" s="580"/>
      <x:c r="D206" s="580"/>
    </x:row>
    <x:row r="207">
      <x:c r="A207" s="580"/>
      <x:c r="B207" s="580"/>
      <x:c r="C207" s="580"/>
      <x:c r="D207" s="580"/>
    </x:row>
    <x:row r="208">
      <x:c r="A208" s="580"/>
      <x:c r="B208" s="580"/>
      <x:c r="C208" s="580"/>
      <x:c r="D208" s="580"/>
    </x:row>
    <x:row r="209">
      <x:c r="A209" s="580"/>
      <x:c r="B209" s="580"/>
      <x:c r="C209" s="580"/>
      <x:c r="D209" s="580"/>
    </x:row>
    <x:row r="210">
      <x:c r="A210" s="580"/>
      <x:c r="B210" s="580"/>
      <x:c r="C210" s="580"/>
      <x:c r="D210" s="580"/>
    </x:row>
    <x:row r="211">
      <x:c r="A211" s="580"/>
      <x:c r="B211" s="580"/>
      <x:c r="C211" s="580"/>
      <x:c r="D211" s="580"/>
    </x:row>
    <x:row r="212">
      <x:c r="A212" s="580"/>
      <x:c r="B212" s="580"/>
      <x:c r="C212" s="580"/>
      <x:c r="D212" s="580"/>
    </x:row>
    <x:row r="213">
      <x:c r="A213" s="580"/>
      <x:c r="B213" s="580"/>
      <x:c r="C213" s="580"/>
      <x:c r="D213" s="580"/>
    </x:row>
    <x:row r="214">
      <x:c r="A214" s="580"/>
      <x:c r="B214" s="580"/>
      <x:c r="C214" s="580"/>
      <x:c r="D214" s="580"/>
    </x:row>
    <x:row r="215">
      <x:c r="A215" s="580"/>
      <x:c r="B215" s="580"/>
      <x:c r="C215" s="580"/>
      <x:c r="D215" s="580"/>
    </x:row>
    <x:row r="216">
      <x:c r="A216" s="580"/>
      <x:c r="B216" s="580"/>
      <x:c r="C216" s="580"/>
      <x:c r="D216" s="580"/>
    </x:row>
    <x:row r="217">
      <x:c r="A217" s="580"/>
      <x:c r="B217" s="580"/>
      <x:c r="C217" s="580"/>
      <x:c r="D217" s="580"/>
    </x:row>
    <x:row r="218">
      <x:c r="A218" s="580"/>
      <x:c r="B218" s="580"/>
      <x:c r="C218" s="580"/>
      <x:c r="D218" s="580"/>
    </x:row>
    <x:row r="219">
      <x:c r="A219" s="580"/>
      <x:c r="B219" s="580"/>
      <x:c r="C219" s="580"/>
      <x:c r="D219" s="580"/>
    </x:row>
    <x:row r="220">
      <x:c r="A220" s="580"/>
      <x:c r="B220" s="580"/>
      <x:c r="C220" s="580"/>
      <x:c r="D220" s="580"/>
    </x:row>
    <x:row r="221">
      <x:c r="A221" s="580"/>
      <x:c r="B221" s="580"/>
      <x:c r="C221" s="580"/>
      <x:c r="D221" s="580"/>
    </x:row>
    <x:row r="222">
      <x:c r="A222" s="580"/>
      <x:c r="B222" s="580"/>
      <x:c r="C222" s="580"/>
      <x:c r="D222" s="580"/>
    </x:row>
    <x:row r="223">
      <x:c r="A223" s="580"/>
      <x:c r="B223" s="580"/>
      <x:c r="C223" s="580"/>
      <x:c r="D223" s="580"/>
    </x:row>
    <x:row r="224">
      <x:c r="A224" s="580"/>
      <x:c r="B224" s="580"/>
      <x:c r="C224" s="580"/>
      <x:c r="D224" s="580"/>
    </x:row>
    <x:row r="225">
      <x:c r="A225" s="580"/>
      <x:c r="B225" s="580"/>
      <x:c r="C225" s="580"/>
      <x:c r="D225" s="580"/>
    </x:row>
    <x:row r="226">
      <x:c r="A226" s="580"/>
      <x:c r="B226" s="580"/>
      <x:c r="C226" s="580"/>
      <x:c r="D226" s="580"/>
    </x:row>
    <x:row r="227">
      <x:c r="A227" s="580"/>
      <x:c r="B227" s="580"/>
      <x:c r="C227" s="580"/>
      <x:c r="D227" s="580"/>
    </x:row>
    <x:row r="228">
      <x:c r="A228" s="580"/>
      <x:c r="B228" s="580"/>
      <x:c r="C228" s="580"/>
      <x:c r="D228" s="580"/>
    </x:row>
    <x:row r="229">
      <x:c r="A229" s="580"/>
      <x:c r="B229" s="580"/>
      <x:c r="C229" s="580"/>
      <x:c r="D229" s="580"/>
    </x:row>
    <x:row r="230">
      <x:c r="A230" s="580"/>
      <x:c r="B230" s="580"/>
      <x:c r="C230" s="580"/>
      <x:c r="D230" s="580"/>
    </x:row>
    <x:row r="231">
      <x:c r="A231" s="580"/>
      <x:c r="B231" s="580"/>
      <x:c r="C231" s="580"/>
      <x:c r="D231" s="580"/>
    </x:row>
    <x:row r="232">
      <x:c r="A232" s="580"/>
      <x:c r="B232" s="580"/>
      <x:c r="C232" s="580"/>
      <x:c r="D232" s="580"/>
    </x:row>
    <x:row r="233">
      <x:c r="A233" s="580"/>
      <x:c r="B233" s="580"/>
      <x:c r="C233" s="580"/>
      <x:c r="D233" s="580"/>
    </x:row>
    <x:row r="234">
      <x:c r="A234" s="580"/>
      <x:c r="B234" s="580"/>
      <x:c r="C234" s="580"/>
      <x:c r="D234" s="580"/>
    </x:row>
    <x:row r="235">
      <x:c r="A235" s="580"/>
      <x:c r="B235" s="580"/>
      <x:c r="C235" s="580"/>
      <x:c r="D235" s="580"/>
    </x:row>
    <x:row r="236">
      <x:c r="A236" s="580"/>
      <x:c r="B236" s="580"/>
      <x:c r="C236" s="580"/>
      <x:c r="D236" s="580"/>
    </x:row>
    <x:row r="237">
      <x:c r="A237" s="580"/>
      <x:c r="B237" s="580"/>
      <x:c r="C237" s="580"/>
      <x:c r="D237" s="580"/>
    </x:row>
    <x:row r="238">
      <x:c r="A238" s="580"/>
      <x:c r="B238" s="580"/>
      <x:c r="C238" s="580"/>
      <x:c r="D238" s="580"/>
    </x:row>
    <x:row r="239">
      <x:c r="A239" s="580"/>
      <x:c r="B239" s="580"/>
      <x:c r="C239" s="580"/>
      <x:c r="D239" s="580"/>
    </x:row>
    <x:row r="240">
      <x:c r="A240" s="580"/>
      <x:c r="B240" s="580"/>
      <x:c r="C240" s="580"/>
      <x:c r="D240" s="580"/>
    </x:row>
  </x:sheetData>
  <x:mergeCells>
    <x:mergeCell ref="A3:D3"/>
  </x:mergeCells>
  <x:dataValidations count="1">
    <x:dataValidation type="list" sqref="C6:C80">
      <x:formula1>"No,In Progress,Yes"</x:formula1>
    </x:dataValidation>
  </x:dataValidation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0" hidden="0" customWidth="1"/>
    <x:col min="5" max="5" width="28" hidden="0" customWidth="1"/>
    <x:col min="6" max="6" width="52" hidden="0" customWidth="1"/>
    <x:col min="7" max="7" width="44" hidden="0" customWidth="1"/>
  </x:cols>
  <x:sheetData>
    <x:row r="1">
      <x:c r="A1" s="583" t="str">
        <x:v>🍁 Seasonal Events / Late October–Early November</x:v>
      </x:c>
      <x:c r="B1" s="583"/>
      <x:c r="C1" s="583"/>
      <x:c r="D1" s="583"/>
      <x:c r="E1" s="583"/>
      <x:c r="F1" s="583"/>
      <x:c r="G1" s="583"/>
    </x:row>
    <x:row r="2">
      <x:c r="A2" s="583"/>
      <x:c r="B2" s="583"/>
      <x:c r="C2" s="583"/>
      <x:c r="D2" s="583"/>
      <x:c r="E2" s="583"/>
      <x:c r="F2" s="583"/>
      <x:c r="G2" s="583"/>
    </x:row>
    <x:row r="3">
      <x:c r="A3" s="584" t="str">
        <x:v>Do not rely on tentative event dates. Confirm official 2026 schedules shortly before booking or attending.</x:v>
      </x:c>
      <x:c r="B3" s="584"/>
      <x:c r="C3" s="584"/>
      <x:c r="D3" s="584"/>
      <x:c r="E3" s="584"/>
      <x:c r="F3" s="584"/>
      <x:c r="G3" s="584"/>
    </x:row>
    <x:row r="4">
      <x:c r="A4" s="580"/>
      <x:c r="B4" s="580"/>
      <x:c r="C4" s="580"/>
      <x:c r="D4" s="580"/>
      <x:c r="E4" s="580"/>
      <x:c r="F4" s="580"/>
      <x:c r="G4" s="580"/>
    </x:row>
    <x:row r="5">
      <x:c r="A5" s="587" t="str">
        <x:v>City</x:v>
      </x:c>
      <x:c r="B5" s="587" t="str">
        <x:v>Event / Illumination</x:v>
      </x:c>
      <x:c r="C5" s="587" t="str">
        <x:v>Expected Timing</x:v>
      </x:c>
      <x:c r="D5" s="587" t="str">
        <x:v>Confirmed 2026?</x:v>
      </x:c>
      <x:c r="E5" s="587" t="str">
        <x:v>Ticket / Reservation</x:v>
      </x:c>
      <x:c r="F5" s="587" t="str">
        <x:v>Source URL</x:v>
      </x:c>
      <x:c r="G5" s="587" t="str">
        <x:v>Notes</x:v>
      </x:c>
    </x:row>
    <x:row r="6">
      <x:c r="A6" s="588" t="str">
        <x:v>Tokyo</x:v>
      </x:c>
      <x:c r="B6" s="588" t="str"/>
      <x:c r="C6" s="588" t="str">
        <x:v>Late Oct–early Nov</x:v>
      </x:c>
      <x:c r="D6" s="588" t="str">
        <x:v>No</x:v>
      </x:c>
      <x:c r="E6" s="588" t="str"/>
      <x:c r="F6" s="588" t="str"/>
      <x:c r="G6" s="588" t="str">
        <x:v>Research closer to trip</x:v>
      </x:c>
    </x:row>
    <x:row r="7">
      <x:c r="A7" s="588" t="str">
        <x:v>Hakone</x:v>
      </x:c>
      <x:c r="B7" s="588" t="str"/>
      <x:c r="C7" s="588" t="str">
        <x:v>Late Oct–early Nov</x:v>
      </x:c>
      <x:c r="D7" s="588" t="str">
        <x:v>No</x:v>
      </x:c>
      <x:c r="E7" s="588" t="str"/>
      <x:c r="F7" s="588" t="str"/>
      <x:c r="G7" s="588" t="str">
        <x:v>Check foliage and ropeway conditions</x:v>
      </x:c>
    </x:row>
    <x:row r="8">
      <x:c r="A8" s="588" t="str">
        <x:v>Kyoto</x:v>
      </x:c>
      <x:c r="B8" s="588" t="str"/>
      <x:c r="C8" s="588" t="str">
        <x:v>Early Nov</x:v>
      </x:c>
      <x:c r="D8" s="588" t="str">
        <x:v>No</x:v>
      </x:c>
      <x:c r="E8" s="588" t="str"/>
      <x:c r="F8" s="588" t="str"/>
      <x:c r="G8" s="588" t="str">
        <x:v>Confirm temple night-viewing dates</x:v>
      </x:c>
    </x:row>
    <x:row r="9">
      <x:c r="A9" s="588" t="str">
        <x:v>Osaka</x:v>
      </x:c>
      <x:c r="B9" s="588" t="str"/>
      <x:c r="C9" s="588" t="str">
        <x:v>Early Nov</x:v>
      </x:c>
      <x:c r="D9" s="588" t="str">
        <x:v>No</x:v>
      </x:c>
      <x:c r="E9" s="588" t="str"/>
      <x:c r="F9" s="588" t="str"/>
      <x:c r="G9" s="588" t="str">
        <x:v>Check illuminations and local festivals</x:v>
      </x:c>
    </x:row>
    <x:row r="10">
      <x:c r="A10" s="588" t="str">
        <x:v>Nara</x:v>
      </x:c>
      <x:c r="B10" s="588" t="str"/>
      <x:c r="C10" s="588" t="str">
        <x:v>Early Nov</x:v>
      </x:c>
      <x:c r="D10" s="588" t="str">
        <x:v>No</x:v>
      </x:c>
      <x:c r="E10" s="588" t="str"/>
      <x:c r="F10" s="588" t="str"/>
      <x:c r="G10" s="588" t="str">
        <x:v>Check park/temple seasonal events</x:v>
      </x:c>
    </x:row>
    <x:row r="11">
      <x:c r="A11" s="580"/>
      <x:c r="B11" s="580"/>
      <x:c r="C11" s="580"/>
      <x:c r="D11" s="580"/>
      <x:c r="E11" s="580"/>
      <x:c r="F11" s="580"/>
      <x:c r="G11" s="580"/>
    </x:row>
    <x:row r="12">
      <x:c r="A12" s="580"/>
      <x:c r="B12" s="580"/>
      <x:c r="C12" s="580"/>
      <x:c r="D12" s="580"/>
      <x:c r="E12" s="580"/>
      <x:c r="F12" s="580"/>
      <x:c r="G12" s="580"/>
    </x:row>
    <x:row r="13">
      <x:c r="A13" s="580"/>
      <x:c r="B13" s="580"/>
      <x:c r="C13" s="580"/>
      <x:c r="D13" s="580"/>
      <x:c r="E13" s="580"/>
      <x:c r="F13" s="580"/>
      <x:c r="G13" s="580"/>
    </x:row>
    <x:row r="14">
      <x:c r="A14" s="580"/>
      <x:c r="B14" s="580"/>
      <x:c r="C14" s="580"/>
      <x:c r="D14" s="580"/>
      <x:c r="E14" s="580"/>
      <x:c r="F14" s="580"/>
      <x:c r="G14" s="580"/>
    </x:row>
    <x:row r="15">
      <x:c r="A15" s="580"/>
      <x:c r="B15" s="580"/>
      <x:c r="C15" s="580"/>
      <x:c r="D15" s="580"/>
      <x:c r="E15" s="580"/>
      <x:c r="F15" s="580"/>
      <x:c r="G15" s="580"/>
    </x:row>
    <x:row r="16">
      <x:c r="A16" s="580"/>
      <x:c r="B16" s="580"/>
      <x:c r="C16" s="580"/>
      <x:c r="D16" s="580"/>
      <x:c r="E16" s="580"/>
      <x:c r="F16" s="580"/>
      <x:c r="G16" s="580"/>
    </x:row>
    <x:row r="17">
      <x:c r="A17" s="580"/>
      <x:c r="B17" s="580"/>
      <x:c r="C17" s="580"/>
      <x:c r="D17" s="580"/>
      <x:c r="E17" s="580"/>
      <x:c r="F17" s="580"/>
      <x:c r="G17" s="580"/>
    </x:row>
    <x:row r="18">
      <x:c r="A18" s="580"/>
      <x:c r="B18" s="580"/>
      <x:c r="C18" s="580"/>
      <x:c r="D18" s="580"/>
      <x:c r="E18" s="580"/>
      <x:c r="F18" s="580"/>
      <x:c r="G18" s="580"/>
    </x:row>
    <x:row r="19">
      <x:c r="A19" s="580"/>
      <x:c r="B19" s="580"/>
      <x:c r="C19" s="580"/>
      <x:c r="D19" s="580"/>
      <x:c r="E19" s="580"/>
      <x:c r="F19" s="580"/>
      <x:c r="G19" s="580"/>
    </x:row>
    <x:row r="20">
      <x:c r="A20" s="580"/>
      <x:c r="B20" s="580"/>
      <x:c r="C20" s="580"/>
      <x:c r="D20" s="580"/>
      <x:c r="E20" s="580"/>
      <x:c r="F20" s="580"/>
      <x:c r="G20" s="580"/>
    </x:row>
    <x:row r="21">
      <x:c r="A21" s="580"/>
      <x:c r="B21" s="580"/>
      <x:c r="C21" s="580"/>
      <x:c r="D21" s="580"/>
      <x:c r="E21" s="580"/>
      <x:c r="F21" s="580"/>
      <x:c r="G21" s="580"/>
    </x:row>
    <x:row r="22">
      <x:c r="A22" s="580"/>
      <x:c r="B22" s="580"/>
      <x:c r="C22" s="580"/>
      <x:c r="D22" s="580"/>
      <x:c r="E22" s="580"/>
      <x:c r="F22" s="580"/>
      <x:c r="G22" s="580"/>
    </x:row>
    <x:row r="23">
      <x:c r="A23" s="580"/>
      <x:c r="B23" s="580"/>
      <x:c r="C23" s="580"/>
      <x:c r="D23" s="580"/>
      <x:c r="E23" s="580"/>
      <x:c r="F23" s="580"/>
      <x:c r="G23" s="580"/>
    </x:row>
    <x:row r="24">
      <x:c r="A24" s="580"/>
      <x:c r="B24" s="580"/>
      <x:c r="C24" s="580"/>
      <x:c r="D24" s="580"/>
      <x:c r="E24" s="580"/>
      <x:c r="F24" s="580"/>
      <x:c r="G24" s="580"/>
    </x:row>
    <x:row r="25">
      <x:c r="A25" s="580"/>
      <x:c r="B25" s="580"/>
      <x:c r="C25" s="580"/>
      <x:c r="D25" s="580"/>
      <x:c r="E25" s="580"/>
      <x:c r="F25" s="580"/>
      <x:c r="G25" s="580"/>
    </x:row>
    <x:row r="26">
      <x:c r="A26" s="580"/>
      <x:c r="B26" s="580"/>
      <x:c r="C26" s="580"/>
      <x:c r="D26" s="580"/>
      <x:c r="E26" s="580"/>
      <x:c r="F26" s="580"/>
      <x:c r="G26" s="580"/>
    </x:row>
    <x:row r="27">
      <x:c r="A27" s="580"/>
      <x:c r="B27" s="580"/>
      <x:c r="C27" s="580"/>
      <x:c r="D27" s="580"/>
      <x:c r="E27" s="580"/>
      <x:c r="F27" s="580"/>
      <x:c r="G27" s="580"/>
    </x:row>
    <x:row r="28">
      <x:c r="A28" s="580"/>
      <x:c r="B28" s="580"/>
      <x:c r="C28" s="580"/>
      <x:c r="D28" s="580"/>
      <x:c r="E28" s="580"/>
      <x:c r="F28" s="580"/>
      <x:c r="G28" s="580"/>
    </x:row>
    <x:row r="29">
      <x:c r="A29" s="580"/>
      <x:c r="B29" s="580"/>
      <x:c r="C29" s="580"/>
      <x:c r="D29" s="580"/>
      <x:c r="E29" s="580"/>
      <x:c r="F29" s="580"/>
      <x:c r="G29" s="580"/>
    </x:row>
    <x:row r="30">
      <x:c r="A30" s="580"/>
      <x:c r="B30" s="580"/>
      <x:c r="C30" s="580"/>
      <x:c r="D30" s="580"/>
      <x:c r="E30" s="580"/>
      <x:c r="F30" s="580"/>
      <x:c r="G30" s="580"/>
    </x:row>
    <x:row r="31">
      <x:c r="A31" s="580"/>
      <x:c r="B31" s="580"/>
      <x:c r="C31" s="580"/>
      <x:c r="D31" s="580"/>
      <x:c r="E31" s="580"/>
      <x:c r="F31" s="580"/>
      <x:c r="G31" s="580"/>
    </x:row>
    <x:row r="32">
      <x:c r="A32" s="580"/>
      <x:c r="B32" s="580"/>
      <x:c r="C32" s="580"/>
      <x:c r="D32" s="580"/>
      <x:c r="E32" s="580"/>
      <x:c r="F32" s="580"/>
      <x:c r="G32" s="580"/>
    </x:row>
    <x:row r="33">
      <x:c r="A33" s="580"/>
      <x:c r="B33" s="580"/>
      <x:c r="C33" s="580"/>
      <x:c r="D33" s="580"/>
      <x:c r="E33" s="580"/>
      <x:c r="F33" s="580"/>
      <x:c r="G33" s="580"/>
    </x:row>
    <x:row r="34">
      <x:c r="A34" s="580"/>
      <x:c r="B34" s="580"/>
      <x:c r="C34" s="580"/>
      <x:c r="D34" s="580"/>
      <x:c r="E34" s="580"/>
      <x:c r="F34" s="580"/>
      <x:c r="G34" s="580"/>
    </x:row>
    <x:row r="35">
      <x:c r="A35" s="580"/>
      <x:c r="B35" s="580"/>
      <x:c r="C35" s="580"/>
      <x:c r="D35" s="580"/>
      <x:c r="E35" s="580"/>
      <x:c r="F35" s="580"/>
      <x:c r="G35" s="580"/>
    </x:row>
    <x:row r="36">
      <x:c r="A36" s="580"/>
      <x:c r="B36" s="580"/>
      <x:c r="C36" s="580"/>
      <x:c r="D36" s="580"/>
      <x:c r="E36" s="580"/>
      <x:c r="F36" s="580"/>
      <x:c r="G36" s="580"/>
    </x:row>
    <x:row r="37">
      <x:c r="A37" s="580"/>
      <x:c r="B37" s="580"/>
      <x:c r="C37" s="580"/>
      <x:c r="D37" s="580"/>
      <x:c r="E37" s="580"/>
      <x:c r="F37" s="580"/>
      <x:c r="G37" s="580"/>
    </x:row>
    <x:row r="38">
      <x:c r="A38" s="580"/>
      <x:c r="B38" s="580"/>
      <x:c r="C38" s="580"/>
      <x:c r="D38" s="580"/>
      <x:c r="E38" s="580"/>
      <x:c r="F38" s="580"/>
      <x:c r="G38" s="580"/>
    </x:row>
    <x:row r="39">
      <x:c r="A39" s="580"/>
      <x:c r="B39" s="580"/>
      <x:c r="C39" s="580"/>
      <x:c r="D39" s="580"/>
      <x:c r="E39" s="580"/>
      <x:c r="F39" s="580"/>
      <x:c r="G39" s="580"/>
    </x:row>
    <x:row r="40">
      <x:c r="A40" s="580"/>
      <x:c r="B40" s="580"/>
      <x:c r="C40" s="580"/>
      <x:c r="D40" s="580"/>
      <x:c r="E40" s="580"/>
      <x:c r="F40" s="580"/>
      <x:c r="G40" s="580"/>
    </x:row>
    <x:row r="41">
      <x:c r="A41" s="580"/>
      <x:c r="B41" s="580"/>
      <x:c r="C41" s="580"/>
      <x:c r="D41" s="580"/>
      <x:c r="E41" s="580"/>
      <x:c r="F41" s="580"/>
      <x:c r="G41" s="580"/>
    </x:row>
    <x:row r="42">
      <x:c r="A42" s="580"/>
      <x:c r="B42" s="580"/>
      <x:c r="C42" s="580"/>
      <x:c r="D42" s="580"/>
      <x:c r="E42" s="580"/>
      <x:c r="F42" s="580"/>
      <x:c r="G42" s="580"/>
    </x:row>
    <x:row r="43">
      <x:c r="A43" s="580"/>
      <x:c r="B43" s="580"/>
      <x:c r="C43" s="580"/>
      <x:c r="D43" s="580"/>
      <x:c r="E43" s="580"/>
      <x:c r="F43" s="580"/>
      <x:c r="G43" s="580"/>
    </x:row>
    <x:row r="44">
      <x:c r="A44" s="580"/>
      <x:c r="B44" s="580"/>
      <x:c r="C44" s="580"/>
      <x:c r="D44" s="580"/>
      <x:c r="E44" s="580"/>
      <x:c r="F44" s="580"/>
      <x:c r="G44" s="580"/>
    </x:row>
    <x:row r="45">
      <x:c r="A45" s="580"/>
      <x:c r="B45" s="580"/>
      <x:c r="C45" s="580"/>
      <x:c r="D45" s="580"/>
      <x:c r="E45" s="580"/>
      <x:c r="F45" s="580"/>
      <x:c r="G45" s="580"/>
    </x:row>
    <x:row r="46">
      <x:c r="A46" s="580"/>
      <x:c r="B46" s="580"/>
      <x:c r="C46" s="580"/>
      <x:c r="D46" s="580"/>
      <x:c r="E46" s="580"/>
      <x:c r="F46" s="580"/>
      <x:c r="G46" s="580"/>
    </x:row>
    <x:row r="47">
      <x:c r="A47" s="580"/>
      <x:c r="B47" s="580"/>
      <x:c r="C47" s="580"/>
      <x:c r="D47" s="580"/>
      <x:c r="E47" s="580"/>
      <x:c r="F47" s="580"/>
      <x:c r="G47" s="580"/>
    </x:row>
    <x:row r="48">
      <x:c r="A48" s="580"/>
      <x:c r="B48" s="580"/>
      <x:c r="C48" s="580"/>
      <x:c r="D48" s="580"/>
      <x:c r="E48" s="580"/>
      <x:c r="F48" s="580"/>
      <x:c r="G48" s="580"/>
    </x:row>
    <x:row r="49">
      <x:c r="A49" s="580"/>
      <x:c r="B49" s="580"/>
      <x:c r="C49" s="580"/>
      <x:c r="D49" s="580"/>
      <x:c r="E49" s="580"/>
      <x:c r="F49" s="580"/>
      <x:c r="G49" s="580"/>
    </x:row>
    <x:row r="50">
      <x:c r="A50" s="580"/>
      <x:c r="B50" s="580"/>
      <x:c r="C50" s="580"/>
      <x:c r="D50" s="580"/>
      <x:c r="E50" s="580"/>
      <x:c r="F50" s="580"/>
      <x:c r="G50" s="580"/>
    </x:row>
    <x:row r="51">
      <x:c r="A51" s="580"/>
      <x:c r="B51" s="580"/>
      <x:c r="C51" s="580"/>
      <x:c r="D51" s="580"/>
      <x:c r="E51" s="580"/>
      <x:c r="F51" s="580"/>
      <x:c r="G51" s="580"/>
    </x:row>
    <x:row r="52">
      <x:c r="A52" s="580"/>
      <x:c r="B52" s="580"/>
      <x:c r="C52" s="580"/>
      <x:c r="D52" s="580"/>
      <x:c r="E52" s="580"/>
      <x:c r="F52" s="580"/>
      <x:c r="G52" s="580"/>
    </x:row>
    <x:row r="53">
      <x:c r="A53" s="580"/>
      <x:c r="B53" s="580"/>
      <x:c r="C53" s="580"/>
      <x:c r="D53" s="580"/>
      <x:c r="E53" s="580"/>
      <x:c r="F53" s="580"/>
      <x:c r="G53" s="580"/>
    </x:row>
    <x:row r="54">
      <x:c r="A54" s="580"/>
      <x:c r="B54" s="580"/>
      <x:c r="C54" s="580"/>
      <x:c r="D54" s="580"/>
      <x:c r="E54" s="580"/>
      <x:c r="F54" s="580"/>
      <x:c r="G54" s="580"/>
    </x:row>
    <x:row r="55">
      <x:c r="A55" s="580"/>
      <x:c r="B55" s="580"/>
      <x:c r="C55" s="580"/>
      <x:c r="D55" s="580"/>
      <x:c r="E55" s="580"/>
      <x:c r="F55" s="580"/>
      <x:c r="G55" s="580"/>
    </x:row>
    <x:row r="56">
      <x:c r="A56" s="580"/>
      <x:c r="B56" s="580"/>
      <x:c r="C56" s="580"/>
      <x:c r="D56" s="580"/>
      <x:c r="E56" s="580"/>
      <x:c r="F56" s="580"/>
      <x:c r="G56" s="580"/>
    </x:row>
    <x:row r="57">
      <x:c r="A57" s="580"/>
      <x:c r="B57" s="580"/>
      <x:c r="C57" s="580"/>
      <x:c r="D57" s="580"/>
      <x:c r="E57" s="580"/>
      <x:c r="F57" s="580"/>
      <x:c r="G57" s="580"/>
    </x:row>
    <x:row r="58">
      <x:c r="A58" s="580"/>
      <x:c r="B58" s="580"/>
      <x:c r="C58" s="580"/>
      <x:c r="D58" s="580"/>
      <x:c r="E58" s="580"/>
      <x:c r="F58" s="580"/>
      <x:c r="G58" s="580"/>
    </x:row>
    <x:row r="59">
      <x:c r="A59" s="580"/>
      <x:c r="B59" s="580"/>
      <x:c r="C59" s="580"/>
      <x:c r="D59" s="580"/>
      <x:c r="E59" s="580"/>
      <x:c r="F59" s="580"/>
      <x:c r="G59" s="580"/>
    </x:row>
    <x:row r="60">
      <x:c r="A60" s="580"/>
      <x:c r="B60" s="580"/>
      <x:c r="C60" s="580"/>
      <x:c r="D60" s="580"/>
      <x:c r="E60" s="580"/>
      <x:c r="F60" s="580"/>
      <x:c r="G60" s="580"/>
    </x:row>
    <x:row r="61">
      <x:c r="A61" s="580"/>
      <x:c r="B61" s="580"/>
      <x:c r="C61" s="580"/>
      <x:c r="D61" s="580"/>
      <x:c r="E61" s="580"/>
      <x:c r="F61" s="580"/>
      <x:c r="G61" s="580"/>
    </x:row>
    <x:row r="62">
      <x:c r="A62" s="580"/>
      <x:c r="B62" s="580"/>
      <x:c r="C62" s="580"/>
      <x:c r="D62" s="580"/>
      <x:c r="E62" s="580"/>
      <x:c r="F62" s="580"/>
      <x:c r="G62" s="580"/>
    </x:row>
    <x:row r="63">
      <x:c r="A63" s="580"/>
      <x:c r="B63" s="580"/>
      <x:c r="C63" s="580"/>
      <x:c r="D63" s="580"/>
      <x:c r="E63" s="580"/>
      <x:c r="F63" s="580"/>
      <x:c r="G63" s="580"/>
    </x:row>
    <x:row r="64">
      <x:c r="A64" s="580"/>
      <x:c r="B64" s="580"/>
      <x:c r="C64" s="580"/>
      <x:c r="D64" s="580"/>
      <x:c r="E64" s="580"/>
      <x:c r="F64" s="580"/>
      <x:c r="G64" s="580"/>
    </x:row>
    <x:row r="65">
      <x:c r="A65" s="580"/>
      <x:c r="B65" s="580"/>
      <x:c r="C65" s="580"/>
      <x:c r="D65" s="580"/>
      <x:c r="E65" s="580"/>
      <x:c r="F65" s="580"/>
      <x:c r="G65" s="580"/>
    </x:row>
    <x:row r="66">
      <x:c r="A66" s="580"/>
      <x:c r="B66" s="580"/>
      <x:c r="C66" s="580"/>
      <x:c r="D66" s="580"/>
      <x:c r="E66" s="580"/>
      <x:c r="F66" s="580"/>
      <x:c r="G66" s="580"/>
    </x:row>
    <x:row r="67">
      <x:c r="A67" s="580"/>
      <x:c r="B67" s="580"/>
      <x:c r="C67" s="580"/>
      <x:c r="D67" s="580"/>
      <x:c r="E67" s="580"/>
      <x:c r="F67" s="580"/>
      <x:c r="G67" s="580"/>
    </x:row>
    <x:row r="68">
      <x:c r="A68" s="580"/>
      <x:c r="B68" s="580"/>
      <x:c r="C68" s="580"/>
      <x:c r="D68" s="580"/>
      <x:c r="E68" s="580"/>
      <x:c r="F68" s="580"/>
      <x:c r="G68" s="580"/>
    </x:row>
    <x:row r="69">
      <x:c r="A69" s="580"/>
      <x:c r="B69" s="580"/>
      <x:c r="C69" s="580"/>
      <x:c r="D69" s="580"/>
      <x:c r="E69" s="580"/>
      <x:c r="F69" s="580"/>
      <x:c r="G69" s="580"/>
    </x:row>
    <x:row r="70">
      <x:c r="A70" s="580"/>
      <x:c r="B70" s="580"/>
      <x:c r="C70" s="580"/>
      <x:c r="D70" s="580"/>
      <x:c r="E70" s="580"/>
      <x:c r="F70" s="580"/>
      <x:c r="G70" s="580"/>
    </x:row>
    <x:row r="71">
      <x:c r="A71" s="580"/>
      <x:c r="B71" s="580"/>
      <x:c r="C71" s="580"/>
      <x:c r="D71" s="580"/>
      <x:c r="E71" s="580"/>
      <x:c r="F71" s="580"/>
      <x:c r="G71" s="580"/>
    </x:row>
    <x:row r="72">
      <x:c r="A72" s="580"/>
      <x:c r="B72" s="580"/>
      <x:c r="C72" s="580"/>
      <x:c r="D72" s="580"/>
      <x:c r="E72" s="580"/>
      <x:c r="F72" s="580"/>
      <x:c r="G72" s="580"/>
    </x:row>
    <x:row r="73">
      <x:c r="A73" s="580"/>
      <x:c r="B73" s="580"/>
      <x:c r="C73" s="580"/>
      <x:c r="D73" s="580"/>
      <x:c r="E73" s="580"/>
      <x:c r="F73" s="580"/>
      <x:c r="G73" s="580"/>
    </x:row>
    <x:row r="74">
      <x:c r="A74" s="580"/>
      <x:c r="B74" s="580"/>
      <x:c r="C74" s="580"/>
      <x:c r="D74" s="580"/>
      <x:c r="E74" s="580"/>
      <x:c r="F74" s="580"/>
      <x:c r="G74" s="580"/>
    </x:row>
    <x:row r="75">
      <x:c r="A75" s="580"/>
      <x:c r="B75" s="580"/>
      <x:c r="C75" s="580"/>
      <x:c r="D75" s="580"/>
      <x:c r="E75" s="580"/>
      <x:c r="F75" s="580"/>
      <x:c r="G75" s="580"/>
    </x:row>
    <x:row r="76">
      <x:c r="A76" s="580"/>
      <x:c r="B76" s="580"/>
      <x:c r="C76" s="580"/>
      <x:c r="D76" s="580"/>
      <x:c r="E76" s="580"/>
      <x:c r="F76" s="580"/>
      <x:c r="G76" s="580"/>
    </x:row>
    <x:row r="77">
      <x:c r="A77" s="580"/>
      <x:c r="B77" s="580"/>
      <x:c r="C77" s="580"/>
      <x:c r="D77" s="580"/>
      <x:c r="E77" s="580"/>
      <x:c r="F77" s="580"/>
      <x:c r="G77" s="580"/>
    </x:row>
    <x:row r="78">
      <x:c r="A78" s="580"/>
      <x:c r="B78" s="580"/>
      <x:c r="C78" s="580"/>
      <x:c r="D78" s="580"/>
      <x:c r="E78" s="580"/>
      <x:c r="F78" s="580"/>
      <x:c r="G78" s="580"/>
    </x:row>
    <x:row r="79">
      <x:c r="A79" s="580"/>
      <x:c r="B79" s="580"/>
      <x:c r="C79" s="580"/>
      <x:c r="D79" s="580"/>
      <x:c r="E79" s="580"/>
      <x:c r="F79" s="580"/>
      <x:c r="G79" s="580"/>
    </x:row>
    <x:row r="80">
      <x:c r="A80" s="580"/>
      <x:c r="B80" s="580"/>
      <x:c r="C80" s="580"/>
      <x:c r="D80" s="580"/>
      <x:c r="E80" s="580"/>
      <x:c r="F80" s="580"/>
      <x:c r="G80" s="580"/>
    </x:row>
    <x:row r="81">
      <x:c r="A81" s="580"/>
      <x:c r="B81" s="580"/>
      <x:c r="C81" s="580"/>
      <x:c r="D81" s="580"/>
      <x:c r="E81" s="580"/>
      <x:c r="F81" s="580"/>
      <x:c r="G81" s="580"/>
    </x:row>
    <x:row r="82">
      <x:c r="A82" s="580"/>
      <x:c r="B82" s="580"/>
      <x:c r="C82" s="580"/>
      <x:c r="D82" s="580"/>
      <x:c r="E82" s="580"/>
      <x:c r="F82" s="580"/>
      <x:c r="G82" s="580"/>
    </x:row>
    <x:row r="83">
      <x:c r="A83" s="580"/>
      <x:c r="B83" s="580"/>
      <x:c r="C83" s="580"/>
      <x:c r="D83" s="580"/>
      <x:c r="E83" s="580"/>
      <x:c r="F83" s="580"/>
      <x:c r="G83" s="580"/>
    </x:row>
    <x:row r="84">
      <x:c r="A84" s="580"/>
      <x:c r="B84" s="580"/>
      <x:c r="C84" s="580"/>
      <x:c r="D84" s="580"/>
      <x:c r="E84" s="580"/>
      <x:c r="F84" s="580"/>
      <x:c r="G84" s="580"/>
    </x:row>
    <x:row r="85">
      <x:c r="A85" s="580"/>
      <x:c r="B85" s="580"/>
      <x:c r="C85" s="580"/>
      <x:c r="D85" s="580"/>
      <x:c r="E85" s="580"/>
      <x:c r="F85" s="580"/>
      <x:c r="G85" s="580"/>
    </x:row>
    <x:row r="86">
      <x:c r="A86" s="580"/>
      <x:c r="B86" s="580"/>
      <x:c r="C86" s="580"/>
      <x:c r="D86" s="580"/>
      <x:c r="E86" s="580"/>
      <x:c r="F86" s="580"/>
      <x:c r="G86" s="580"/>
    </x:row>
    <x:row r="87">
      <x:c r="A87" s="580"/>
      <x:c r="B87" s="580"/>
      <x:c r="C87" s="580"/>
      <x:c r="D87" s="580"/>
      <x:c r="E87" s="580"/>
      <x:c r="F87" s="580"/>
      <x:c r="G87" s="580"/>
    </x:row>
    <x:row r="88">
      <x:c r="A88" s="580"/>
      <x:c r="B88" s="580"/>
      <x:c r="C88" s="580"/>
      <x:c r="D88" s="580"/>
      <x:c r="E88" s="580"/>
      <x:c r="F88" s="580"/>
      <x:c r="G88" s="580"/>
    </x:row>
    <x:row r="89">
      <x:c r="A89" s="580"/>
      <x:c r="B89" s="580"/>
      <x:c r="C89" s="580"/>
      <x:c r="D89" s="580"/>
      <x:c r="E89" s="580"/>
      <x:c r="F89" s="580"/>
      <x:c r="G89" s="580"/>
    </x:row>
    <x:row r="90">
      <x:c r="A90" s="580"/>
      <x:c r="B90" s="580"/>
      <x:c r="C90" s="580"/>
      <x:c r="D90" s="580"/>
      <x:c r="E90" s="580"/>
      <x:c r="F90" s="580"/>
      <x:c r="G90" s="580"/>
    </x:row>
    <x:row r="91">
      <x:c r="A91" s="580"/>
      <x:c r="B91" s="580"/>
      <x:c r="C91" s="580"/>
      <x:c r="D91" s="580"/>
      <x:c r="E91" s="580"/>
      <x:c r="F91" s="580"/>
      <x:c r="G91" s="580"/>
    </x:row>
    <x:row r="92">
      <x:c r="A92" s="580"/>
      <x:c r="B92" s="580"/>
      <x:c r="C92" s="580"/>
      <x:c r="D92" s="580"/>
      <x:c r="E92" s="580"/>
      <x:c r="F92" s="580"/>
      <x:c r="G92" s="580"/>
    </x:row>
    <x:row r="93">
      <x:c r="A93" s="580"/>
      <x:c r="B93" s="580"/>
      <x:c r="C93" s="580"/>
      <x:c r="D93" s="580"/>
      <x:c r="E93" s="580"/>
      <x:c r="F93" s="580"/>
      <x:c r="G93" s="580"/>
    </x:row>
    <x:row r="94">
      <x:c r="A94" s="580"/>
      <x:c r="B94" s="580"/>
      <x:c r="C94" s="580"/>
      <x:c r="D94" s="580"/>
      <x:c r="E94" s="580"/>
      <x:c r="F94" s="580"/>
      <x:c r="G94" s="580"/>
    </x:row>
    <x:row r="95">
      <x:c r="A95" s="580"/>
      <x:c r="B95" s="580"/>
      <x:c r="C95" s="580"/>
      <x:c r="D95" s="580"/>
      <x:c r="E95" s="580"/>
      <x:c r="F95" s="580"/>
      <x:c r="G95" s="580"/>
    </x:row>
    <x:row r="96">
      <x:c r="A96" s="580"/>
      <x:c r="B96" s="580"/>
      <x:c r="C96" s="580"/>
      <x:c r="D96" s="580"/>
      <x:c r="E96" s="580"/>
      <x:c r="F96" s="580"/>
      <x:c r="G96" s="580"/>
    </x:row>
    <x:row r="97">
      <x:c r="A97" s="580"/>
      <x:c r="B97" s="580"/>
      <x:c r="C97" s="580"/>
      <x:c r="D97" s="580"/>
      <x:c r="E97" s="580"/>
      <x:c r="F97" s="580"/>
      <x:c r="G97" s="580"/>
    </x:row>
    <x:row r="98">
      <x:c r="A98" s="580"/>
      <x:c r="B98" s="580"/>
      <x:c r="C98" s="580"/>
      <x:c r="D98" s="580"/>
      <x:c r="E98" s="580"/>
      <x:c r="F98" s="580"/>
      <x:c r="G98" s="580"/>
    </x:row>
    <x:row r="99">
      <x:c r="A99" s="580"/>
      <x:c r="B99" s="580"/>
      <x:c r="C99" s="580"/>
      <x:c r="D99" s="580"/>
      <x:c r="E99" s="580"/>
      <x:c r="F99" s="580"/>
      <x:c r="G99" s="580"/>
    </x:row>
    <x:row r="100">
      <x:c r="A100" s="580"/>
      <x:c r="B100" s="580"/>
      <x:c r="C100" s="580"/>
      <x:c r="D100" s="580"/>
      <x:c r="E100" s="580"/>
      <x:c r="F100" s="580"/>
      <x:c r="G100" s="580"/>
    </x:row>
    <x:row r="101">
      <x:c r="A101" s="580"/>
      <x:c r="B101" s="580"/>
      <x:c r="C101" s="580"/>
      <x:c r="D101" s="580"/>
      <x:c r="E101" s="580"/>
      <x:c r="F101" s="580"/>
      <x:c r="G101" s="580"/>
    </x:row>
    <x:row r="102">
      <x:c r="A102" s="580"/>
      <x:c r="B102" s="580"/>
      <x:c r="C102" s="580"/>
      <x:c r="D102" s="580"/>
      <x:c r="E102" s="580"/>
      <x:c r="F102" s="580"/>
      <x:c r="G102" s="580"/>
    </x:row>
    <x:row r="103">
      <x:c r="A103" s="580"/>
      <x:c r="B103" s="580"/>
      <x:c r="C103" s="580"/>
      <x:c r="D103" s="580"/>
      <x:c r="E103" s="580"/>
      <x:c r="F103" s="580"/>
      <x:c r="G103" s="580"/>
    </x:row>
    <x:row r="104">
      <x:c r="A104" s="580"/>
      <x:c r="B104" s="580"/>
      <x:c r="C104" s="580"/>
      <x:c r="D104" s="580"/>
      <x:c r="E104" s="580"/>
      <x:c r="F104" s="580"/>
      <x:c r="G104" s="580"/>
    </x:row>
    <x:row r="105">
      <x:c r="A105" s="580"/>
      <x:c r="B105" s="580"/>
      <x:c r="C105" s="580"/>
      <x:c r="D105" s="580"/>
      <x:c r="E105" s="580"/>
      <x:c r="F105" s="580"/>
      <x:c r="G105" s="580"/>
    </x:row>
    <x:row r="106">
      <x:c r="A106" s="580"/>
      <x:c r="B106" s="580"/>
      <x:c r="C106" s="580"/>
      <x:c r="D106" s="580"/>
      <x:c r="E106" s="580"/>
      <x:c r="F106" s="580"/>
      <x:c r="G106" s="580"/>
    </x:row>
    <x:row r="107">
      <x:c r="A107" s="580"/>
      <x:c r="B107" s="580"/>
      <x:c r="C107" s="580"/>
      <x:c r="D107" s="580"/>
      <x:c r="E107" s="580"/>
      <x:c r="F107" s="580"/>
      <x:c r="G107" s="580"/>
    </x:row>
    <x:row r="108">
      <x:c r="A108" s="580"/>
      <x:c r="B108" s="580"/>
      <x:c r="C108" s="580"/>
      <x:c r="D108" s="580"/>
      <x:c r="E108" s="580"/>
      <x:c r="F108" s="580"/>
      <x:c r="G108" s="580"/>
    </x:row>
    <x:row r="109">
      <x:c r="A109" s="580"/>
      <x:c r="B109" s="580"/>
      <x:c r="C109" s="580"/>
      <x:c r="D109" s="580"/>
      <x:c r="E109" s="580"/>
      <x:c r="F109" s="580"/>
      <x:c r="G109" s="580"/>
    </x:row>
    <x:row r="110">
      <x:c r="A110" s="580"/>
      <x:c r="B110" s="580"/>
      <x:c r="C110" s="580"/>
      <x:c r="D110" s="580"/>
      <x:c r="E110" s="580"/>
      <x:c r="F110" s="580"/>
      <x:c r="G110" s="580"/>
    </x:row>
    <x:row r="111">
      <x:c r="A111" s="580"/>
      <x:c r="B111" s="580"/>
      <x:c r="C111" s="580"/>
      <x:c r="D111" s="580"/>
      <x:c r="E111" s="580"/>
      <x:c r="F111" s="580"/>
      <x:c r="G111" s="580"/>
    </x:row>
    <x:row r="112">
      <x:c r="A112" s="580"/>
      <x:c r="B112" s="580"/>
      <x:c r="C112" s="580"/>
      <x:c r="D112" s="580"/>
      <x:c r="E112" s="580"/>
      <x:c r="F112" s="580"/>
      <x:c r="G112" s="580"/>
    </x:row>
    <x:row r="113">
      <x:c r="A113" s="580"/>
      <x:c r="B113" s="580"/>
      <x:c r="C113" s="580"/>
      <x:c r="D113" s="580"/>
      <x:c r="E113" s="580"/>
      <x:c r="F113" s="580"/>
      <x:c r="G113" s="580"/>
    </x:row>
    <x:row r="114">
      <x:c r="A114" s="580"/>
      <x:c r="B114" s="580"/>
      <x:c r="C114" s="580"/>
      <x:c r="D114" s="580"/>
      <x:c r="E114" s="580"/>
      <x:c r="F114" s="580"/>
      <x:c r="G114" s="580"/>
    </x:row>
    <x:row r="115">
      <x:c r="A115" s="580"/>
      <x:c r="B115" s="580"/>
      <x:c r="C115" s="580"/>
      <x:c r="D115" s="580"/>
      <x:c r="E115" s="580"/>
      <x:c r="F115" s="580"/>
      <x:c r="G115" s="580"/>
    </x:row>
    <x:row r="116">
      <x:c r="A116" s="580"/>
      <x:c r="B116" s="580"/>
      <x:c r="C116" s="580"/>
      <x:c r="D116" s="580"/>
      <x:c r="E116" s="580"/>
      <x:c r="F116" s="580"/>
      <x:c r="G116" s="580"/>
    </x:row>
    <x:row r="117">
      <x:c r="A117" s="580"/>
      <x:c r="B117" s="580"/>
      <x:c r="C117" s="580"/>
      <x:c r="D117" s="580"/>
      <x:c r="E117" s="580"/>
      <x:c r="F117" s="580"/>
      <x:c r="G117" s="580"/>
    </x:row>
    <x:row r="118">
      <x:c r="A118" s="580"/>
      <x:c r="B118" s="580"/>
      <x:c r="C118" s="580"/>
      <x:c r="D118" s="580"/>
      <x:c r="E118" s="580"/>
      <x:c r="F118" s="580"/>
      <x:c r="G118" s="580"/>
    </x:row>
    <x:row r="119">
      <x:c r="A119" s="580"/>
      <x:c r="B119" s="580"/>
      <x:c r="C119" s="580"/>
      <x:c r="D119" s="580"/>
      <x:c r="E119" s="580"/>
      <x:c r="F119" s="580"/>
      <x:c r="G119" s="580"/>
    </x:row>
    <x:row r="120">
      <x:c r="A120" s="580"/>
      <x:c r="B120" s="580"/>
      <x:c r="C120" s="580"/>
      <x:c r="D120" s="580"/>
      <x:c r="E120" s="580"/>
      <x:c r="F120" s="580"/>
      <x:c r="G120" s="580"/>
    </x:row>
    <x:row r="121">
      <x:c r="A121" s="580"/>
      <x:c r="B121" s="580"/>
      <x:c r="C121" s="580"/>
      <x:c r="D121" s="580"/>
      <x:c r="E121" s="580"/>
      <x:c r="F121" s="580"/>
      <x:c r="G121" s="580"/>
    </x:row>
    <x:row r="122">
      <x:c r="A122" s="580"/>
      <x:c r="B122" s="580"/>
      <x:c r="C122" s="580"/>
      <x:c r="D122" s="580"/>
      <x:c r="E122" s="580"/>
      <x:c r="F122" s="580"/>
      <x:c r="G122" s="580"/>
    </x:row>
    <x:row r="123">
      <x:c r="A123" s="580"/>
      <x:c r="B123" s="580"/>
      <x:c r="C123" s="580"/>
      <x:c r="D123" s="580"/>
      <x:c r="E123" s="580"/>
      <x:c r="F123" s="580"/>
      <x:c r="G123" s="580"/>
    </x:row>
    <x:row r="124">
      <x:c r="A124" s="580"/>
      <x:c r="B124" s="580"/>
      <x:c r="C124" s="580"/>
      <x:c r="D124" s="580"/>
      <x:c r="E124" s="580"/>
      <x:c r="F124" s="580"/>
      <x:c r="G124" s="580"/>
    </x:row>
    <x:row r="125">
      <x:c r="A125" s="580"/>
      <x:c r="B125" s="580"/>
      <x:c r="C125" s="580"/>
      <x:c r="D125" s="580"/>
      <x:c r="E125" s="580"/>
      <x:c r="F125" s="580"/>
      <x:c r="G125" s="580"/>
    </x:row>
    <x:row r="126">
      <x:c r="A126" s="580"/>
      <x:c r="B126" s="580"/>
      <x:c r="C126" s="580"/>
      <x:c r="D126" s="580"/>
      <x:c r="E126" s="580"/>
      <x:c r="F126" s="580"/>
      <x:c r="G126" s="580"/>
    </x:row>
    <x:row r="127">
      <x:c r="A127" s="580"/>
      <x:c r="B127" s="580"/>
      <x:c r="C127" s="580"/>
      <x:c r="D127" s="580"/>
      <x:c r="E127" s="580"/>
      <x:c r="F127" s="580"/>
      <x:c r="G127" s="580"/>
    </x:row>
    <x:row r="128">
      <x:c r="A128" s="580"/>
      <x:c r="B128" s="580"/>
      <x:c r="C128" s="580"/>
      <x:c r="D128" s="580"/>
      <x:c r="E128" s="580"/>
      <x:c r="F128" s="580"/>
      <x:c r="G128" s="580"/>
    </x:row>
    <x:row r="129">
      <x:c r="A129" s="580"/>
      <x:c r="B129" s="580"/>
      <x:c r="C129" s="580"/>
      <x:c r="D129" s="580"/>
      <x:c r="E129" s="580"/>
      <x:c r="F129" s="580"/>
      <x:c r="G129" s="580"/>
    </x:row>
    <x:row r="130">
      <x:c r="A130" s="580"/>
      <x:c r="B130" s="580"/>
      <x:c r="C130" s="580"/>
      <x:c r="D130" s="580"/>
      <x:c r="E130" s="580"/>
      <x:c r="F130" s="580"/>
      <x:c r="G130" s="580"/>
    </x:row>
    <x:row r="131">
      <x:c r="A131" s="580"/>
      <x:c r="B131" s="580"/>
      <x:c r="C131" s="580"/>
      <x:c r="D131" s="580"/>
      <x:c r="E131" s="580"/>
      <x:c r="F131" s="580"/>
      <x:c r="G131" s="580"/>
    </x:row>
    <x:row r="132">
      <x:c r="A132" s="580"/>
      <x:c r="B132" s="580"/>
      <x:c r="C132" s="580"/>
      <x:c r="D132" s="580"/>
      <x:c r="E132" s="580"/>
      <x:c r="F132" s="580"/>
      <x:c r="G132" s="580"/>
    </x:row>
    <x:row r="133">
      <x:c r="A133" s="580"/>
      <x:c r="B133" s="580"/>
      <x:c r="C133" s="580"/>
      <x:c r="D133" s="580"/>
      <x:c r="E133" s="580"/>
      <x:c r="F133" s="580"/>
      <x:c r="G133" s="580"/>
    </x:row>
    <x:row r="134">
      <x:c r="A134" s="580"/>
      <x:c r="B134" s="580"/>
      <x:c r="C134" s="580"/>
      <x:c r="D134" s="580"/>
      <x:c r="E134" s="580"/>
      <x:c r="F134" s="580"/>
      <x:c r="G134" s="580"/>
    </x:row>
    <x:row r="135">
      <x:c r="A135" s="580"/>
      <x:c r="B135" s="580"/>
      <x:c r="C135" s="580"/>
      <x:c r="D135" s="580"/>
      <x:c r="E135" s="580"/>
      <x:c r="F135" s="580"/>
      <x:c r="G135" s="580"/>
    </x:row>
    <x:row r="136">
      <x:c r="A136" s="580"/>
      <x:c r="B136" s="580"/>
      <x:c r="C136" s="580"/>
      <x:c r="D136" s="580"/>
      <x:c r="E136" s="580"/>
      <x:c r="F136" s="580"/>
      <x:c r="G136" s="580"/>
    </x:row>
    <x:row r="137">
      <x:c r="A137" s="580"/>
      <x:c r="B137" s="580"/>
      <x:c r="C137" s="580"/>
      <x:c r="D137" s="580"/>
      <x:c r="E137" s="580"/>
      <x:c r="F137" s="580"/>
      <x:c r="G137" s="580"/>
    </x:row>
    <x:row r="138">
      <x:c r="A138" s="580"/>
      <x:c r="B138" s="580"/>
      <x:c r="C138" s="580"/>
      <x:c r="D138" s="580"/>
      <x:c r="E138" s="580"/>
      <x:c r="F138" s="580"/>
      <x:c r="G138" s="580"/>
    </x:row>
    <x:row r="139">
      <x:c r="A139" s="580"/>
      <x:c r="B139" s="580"/>
      <x:c r="C139" s="580"/>
      <x:c r="D139" s="580"/>
      <x:c r="E139" s="580"/>
      <x:c r="F139" s="580"/>
      <x:c r="G139" s="580"/>
    </x:row>
    <x:row r="140">
      <x:c r="A140" s="580"/>
      <x:c r="B140" s="580"/>
      <x:c r="C140" s="580"/>
      <x:c r="D140" s="580"/>
      <x:c r="E140" s="580"/>
      <x:c r="F140" s="580"/>
      <x:c r="G140" s="580"/>
    </x:row>
    <x:row r="141">
      <x:c r="A141" s="580"/>
      <x:c r="B141" s="580"/>
      <x:c r="C141" s="580"/>
      <x:c r="D141" s="580"/>
      <x:c r="E141" s="580"/>
      <x:c r="F141" s="580"/>
      <x:c r="G141" s="580"/>
    </x:row>
    <x:row r="142">
      <x:c r="A142" s="580"/>
      <x:c r="B142" s="580"/>
      <x:c r="C142" s="580"/>
      <x:c r="D142" s="580"/>
      <x:c r="E142" s="580"/>
      <x:c r="F142" s="580"/>
      <x:c r="G142" s="580"/>
    </x:row>
    <x:row r="143">
      <x:c r="A143" s="580"/>
      <x:c r="B143" s="580"/>
      <x:c r="C143" s="580"/>
      <x:c r="D143" s="580"/>
      <x:c r="E143" s="580"/>
      <x:c r="F143" s="580"/>
      <x:c r="G143" s="580"/>
    </x:row>
    <x:row r="144">
      <x:c r="A144" s="580"/>
      <x:c r="B144" s="580"/>
      <x:c r="C144" s="580"/>
      <x:c r="D144" s="580"/>
      <x:c r="E144" s="580"/>
      <x:c r="F144" s="580"/>
      <x:c r="G144" s="580"/>
    </x:row>
    <x:row r="145">
      <x:c r="A145" s="580"/>
      <x:c r="B145" s="580"/>
      <x:c r="C145" s="580"/>
      <x:c r="D145" s="580"/>
      <x:c r="E145" s="580"/>
      <x:c r="F145" s="580"/>
      <x:c r="G145" s="580"/>
    </x:row>
    <x:row r="146">
      <x:c r="A146" s="580"/>
      <x:c r="B146" s="580"/>
      <x:c r="C146" s="580"/>
      <x:c r="D146" s="580"/>
      <x:c r="E146" s="580"/>
      <x:c r="F146" s="580"/>
      <x:c r="G146" s="580"/>
    </x:row>
    <x:row r="147">
      <x:c r="A147" s="580"/>
      <x:c r="B147" s="580"/>
      <x:c r="C147" s="580"/>
      <x:c r="D147" s="580"/>
      <x:c r="E147" s="580"/>
      <x:c r="F147" s="580"/>
      <x:c r="G147" s="580"/>
    </x:row>
    <x:row r="148">
      <x:c r="A148" s="580"/>
      <x:c r="B148" s="580"/>
      <x:c r="C148" s="580"/>
      <x:c r="D148" s="580"/>
      <x:c r="E148" s="580"/>
      <x:c r="F148" s="580"/>
      <x:c r="G148" s="580"/>
    </x:row>
    <x:row r="149">
      <x:c r="A149" s="580"/>
      <x:c r="B149" s="580"/>
      <x:c r="C149" s="580"/>
      <x:c r="D149" s="580"/>
      <x:c r="E149" s="580"/>
      <x:c r="F149" s="580"/>
      <x:c r="G149" s="580"/>
    </x:row>
    <x:row r="150">
      <x:c r="A150" s="580"/>
      <x:c r="B150" s="580"/>
      <x:c r="C150" s="580"/>
      <x:c r="D150" s="580"/>
      <x:c r="E150" s="580"/>
      <x:c r="F150" s="580"/>
      <x:c r="G150" s="580"/>
    </x:row>
    <x:row r="151">
      <x:c r="A151" s="580"/>
      <x:c r="B151" s="580"/>
      <x:c r="C151" s="580"/>
      <x:c r="D151" s="580"/>
      <x:c r="E151" s="580"/>
      <x:c r="F151" s="580"/>
      <x:c r="G151" s="580"/>
    </x:row>
    <x:row r="152">
      <x:c r="A152" s="580"/>
      <x:c r="B152" s="580"/>
      <x:c r="C152" s="580"/>
      <x:c r="D152" s="580"/>
      <x:c r="E152" s="580"/>
      <x:c r="F152" s="580"/>
      <x:c r="G152" s="580"/>
    </x:row>
    <x:row r="153">
      <x:c r="A153" s="580"/>
      <x:c r="B153" s="580"/>
      <x:c r="C153" s="580"/>
      <x:c r="D153" s="580"/>
      <x:c r="E153" s="580"/>
      <x:c r="F153" s="580"/>
      <x:c r="G153" s="580"/>
    </x:row>
    <x:row r="154">
      <x:c r="A154" s="580"/>
      <x:c r="B154" s="580"/>
      <x:c r="C154" s="580"/>
      <x:c r="D154" s="580"/>
      <x:c r="E154" s="580"/>
      <x:c r="F154" s="580"/>
      <x:c r="G154" s="580"/>
    </x:row>
    <x:row r="155">
      <x:c r="A155" s="580"/>
      <x:c r="B155" s="580"/>
      <x:c r="C155" s="580"/>
      <x:c r="D155" s="580"/>
      <x:c r="E155" s="580"/>
      <x:c r="F155" s="580"/>
      <x:c r="G155" s="580"/>
    </x:row>
    <x:row r="156">
      <x:c r="A156" s="580"/>
      <x:c r="B156" s="580"/>
      <x:c r="C156" s="580"/>
      <x:c r="D156" s="580"/>
      <x:c r="E156" s="580"/>
      <x:c r="F156" s="580"/>
      <x:c r="G156" s="580"/>
    </x:row>
    <x:row r="157">
      <x:c r="A157" s="580"/>
      <x:c r="B157" s="580"/>
      <x:c r="C157" s="580"/>
      <x:c r="D157" s="580"/>
      <x:c r="E157" s="580"/>
      <x:c r="F157" s="580"/>
      <x:c r="G157" s="580"/>
    </x:row>
    <x:row r="158">
      <x:c r="A158" s="580"/>
      <x:c r="B158" s="580"/>
      <x:c r="C158" s="580"/>
      <x:c r="D158" s="580"/>
      <x:c r="E158" s="580"/>
      <x:c r="F158" s="580"/>
      <x:c r="G158" s="580"/>
    </x:row>
    <x:row r="159">
      <x:c r="A159" s="580"/>
      <x:c r="B159" s="580"/>
      <x:c r="C159" s="580"/>
      <x:c r="D159" s="580"/>
      <x:c r="E159" s="580"/>
      <x:c r="F159" s="580"/>
      <x:c r="G159" s="580"/>
    </x:row>
    <x:row r="160">
      <x:c r="A160" s="580"/>
      <x:c r="B160" s="580"/>
      <x:c r="C160" s="580"/>
      <x:c r="D160" s="580"/>
      <x:c r="E160" s="580"/>
      <x:c r="F160" s="580"/>
      <x:c r="G160" s="580"/>
    </x:row>
    <x:row r="161">
      <x:c r="A161" s="580"/>
      <x:c r="B161" s="580"/>
      <x:c r="C161" s="580"/>
      <x:c r="D161" s="580"/>
      <x:c r="E161" s="580"/>
      <x:c r="F161" s="580"/>
      <x:c r="G161" s="580"/>
    </x:row>
    <x:row r="162">
      <x:c r="A162" s="580"/>
      <x:c r="B162" s="580"/>
      <x:c r="C162" s="580"/>
      <x:c r="D162" s="580"/>
      <x:c r="E162" s="580"/>
      <x:c r="F162" s="580"/>
      <x:c r="G162" s="580"/>
    </x:row>
    <x:row r="163">
      <x:c r="A163" s="580"/>
      <x:c r="B163" s="580"/>
      <x:c r="C163" s="580"/>
      <x:c r="D163" s="580"/>
      <x:c r="E163" s="580"/>
      <x:c r="F163" s="580"/>
      <x:c r="G163" s="580"/>
    </x:row>
    <x:row r="164">
      <x:c r="A164" s="580"/>
      <x:c r="B164" s="580"/>
      <x:c r="C164" s="580"/>
      <x:c r="D164" s="580"/>
      <x:c r="E164" s="580"/>
      <x:c r="F164" s="580"/>
      <x:c r="G164" s="580"/>
    </x:row>
    <x:row r="165">
      <x:c r="A165" s="580"/>
      <x:c r="B165" s="580"/>
      <x:c r="C165" s="580"/>
      <x:c r="D165" s="580"/>
      <x:c r="E165" s="580"/>
      <x:c r="F165" s="580"/>
      <x:c r="G165" s="580"/>
    </x:row>
    <x:row r="166">
      <x:c r="A166" s="580"/>
      <x:c r="B166" s="580"/>
      <x:c r="C166" s="580"/>
      <x:c r="D166" s="580"/>
      <x:c r="E166" s="580"/>
      <x:c r="F166" s="580"/>
      <x:c r="G166" s="580"/>
    </x:row>
    <x:row r="167">
      <x:c r="A167" s="580"/>
      <x:c r="B167" s="580"/>
      <x:c r="C167" s="580"/>
      <x:c r="D167" s="580"/>
      <x:c r="E167" s="580"/>
      <x:c r="F167" s="580"/>
      <x:c r="G167" s="580"/>
    </x:row>
    <x:row r="168">
      <x:c r="A168" s="580"/>
      <x:c r="B168" s="580"/>
      <x:c r="C168" s="580"/>
      <x:c r="D168" s="580"/>
      <x:c r="E168" s="580"/>
      <x:c r="F168" s="580"/>
      <x:c r="G168" s="580"/>
    </x:row>
    <x:row r="169">
      <x:c r="A169" s="580"/>
      <x:c r="B169" s="580"/>
      <x:c r="C169" s="580"/>
      <x:c r="D169" s="580"/>
      <x:c r="E169" s="580"/>
      <x:c r="F169" s="580"/>
      <x:c r="G169" s="580"/>
    </x:row>
    <x:row r="170">
      <x:c r="A170" s="580"/>
      <x:c r="B170" s="580"/>
      <x:c r="C170" s="580"/>
      <x:c r="D170" s="580"/>
      <x:c r="E170" s="580"/>
      <x:c r="F170" s="580"/>
      <x:c r="G170" s="580"/>
    </x:row>
    <x:row r="171">
      <x:c r="A171" s="580"/>
      <x:c r="B171" s="580"/>
      <x:c r="C171" s="580"/>
      <x:c r="D171" s="580"/>
      <x:c r="E171" s="580"/>
      <x:c r="F171" s="580"/>
      <x:c r="G171" s="580"/>
    </x:row>
    <x:row r="172">
      <x:c r="A172" s="580"/>
      <x:c r="B172" s="580"/>
      <x:c r="C172" s="580"/>
      <x:c r="D172" s="580"/>
      <x:c r="E172" s="580"/>
      <x:c r="F172" s="580"/>
      <x:c r="G172" s="580"/>
    </x:row>
    <x:row r="173">
      <x:c r="A173" s="580"/>
      <x:c r="B173" s="580"/>
      <x:c r="C173" s="580"/>
      <x:c r="D173" s="580"/>
      <x:c r="E173" s="580"/>
      <x:c r="F173" s="580"/>
      <x:c r="G173" s="580"/>
    </x:row>
    <x:row r="174">
      <x:c r="A174" s="580"/>
      <x:c r="B174" s="580"/>
      <x:c r="C174" s="580"/>
      <x:c r="D174" s="580"/>
      <x:c r="E174" s="580"/>
      <x:c r="F174" s="580"/>
      <x:c r="G174" s="580"/>
    </x:row>
    <x:row r="175">
      <x:c r="A175" s="580"/>
      <x:c r="B175" s="580"/>
      <x:c r="C175" s="580"/>
      <x:c r="D175" s="580"/>
      <x:c r="E175" s="580"/>
      <x:c r="F175" s="580"/>
      <x:c r="G175" s="580"/>
    </x:row>
    <x:row r="176">
      <x:c r="A176" s="580"/>
      <x:c r="B176" s="580"/>
      <x:c r="C176" s="580"/>
      <x:c r="D176" s="580"/>
      <x:c r="E176" s="580"/>
      <x:c r="F176" s="580"/>
      <x:c r="G176" s="580"/>
    </x:row>
    <x:row r="177">
      <x:c r="A177" s="580"/>
      <x:c r="B177" s="580"/>
      <x:c r="C177" s="580"/>
      <x:c r="D177" s="580"/>
      <x:c r="E177" s="580"/>
      <x:c r="F177" s="580"/>
      <x:c r="G177" s="580"/>
    </x:row>
    <x:row r="178">
      <x:c r="A178" s="580"/>
      <x:c r="B178" s="580"/>
      <x:c r="C178" s="580"/>
      <x:c r="D178" s="580"/>
      <x:c r="E178" s="580"/>
      <x:c r="F178" s="580"/>
      <x:c r="G178" s="580"/>
    </x:row>
    <x:row r="179">
      <x:c r="A179" s="580"/>
      <x:c r="B179" s="580"/>
      <x:c r="C179" s="580"/>
      <x:c r="D179" s="580"/>
      <x:c r="E179" s="580"/>
      <x:c r="F179" s="580"/>
      <x:c r="G179" s="580"/>
    </x:row>
    <x:row r="180">
      <x:c r="A180" s="580"/>
      <x:c r="B180" s="580"/>
      <x:c r="C180" s="580"/>
      <x:c r="D180" s="580"/>
      <x:c r="E180" s="580"/>
      <x:c r="F180" s="580"/>
      <x:c r="G180" s="580"/>
    </x:row>
    <x:row r="181">
      <x:c r="A181" s="580"/>
      <x:c r="B181" s="580"/>
      <x:c r="C181" s="580"/>
      <x:c r="D181" s="580"/>
      <x:c r="E181" s="580"/>
      <x:c r="F181" s="580"/>
      <x:c r="G181" s="580"/>
    </x:row>
    <x:row r="182">
      <x:c r="A182" s="580"/>
      <x:c r="B182" s="580"/>
      <x:c r="C182" s="580"/>
      <x:c r="D182" s="580"/>
      <x:c r="E182" s="580"/>
      <x:c r="F182" s="580"/>
      <x:c r="G182" s="580"/>
    </x:row>
    <x:row r="183">
      <x:c r="A183" s="580"/>
      <x:c r="B183" s="580"/>
      <x:c r="C183" s="580"/>
      <x:c r="D183" s="580"/>
      <x:c r="E183" s="580"/>
      <x:c r="F183" s="580"/>
      <x:c r="G183" s="580"/>
    </x:row>
    <x:row r="184">
      <x:c r="A184" s="580"/>
      <x:c r="B184" s="580"/>
      <x:c r="C184" s="580"/>
      <x:c r="D184" s="580"/>
      <x:c r="E184" s="580"/>
      <x:c r="F184" s="580"/>
      <x:c r="G184" s="580"/>
    </x:row>
    <x:row r="185">
      <x:c r="A185" s="580"/>
      <x:c r="B185" s="580"/>
      <x:c r="C185" s="580"/>
      <x:c r="D185" s="580"/>
      <x:c r="E185" s="580"/>
      <x:c r="F185" s="580"/>
      <x:c r="G185" s="580"/>
    </x:row>
    <x:row r="186">
      <x:c r="A186" s="580"/>
      <x:c r="B186" s="580"/>
      <x:c r="C186" s="580"/>
      <x:c r="D186" s="580"/>
      <x:c r="E186" s="580"/>
      <x:c r="F186" s="580"/>
      <x:c r="G186" s="580"/>
    </x:row>
    <x:row r="187">
      <x:c r="A187" s="580"/>
      <x:c r="B187" s="580"/>
      <x:c r="C187" s="580"/>
      <x:c r="D187" s="580"/>
      <x:c r="E187" s="580"/>
      <x:c r="F187" s="580"/>
      <x:c r="G187" s="580"/>
    </x:row>
    <x:row r="188">
      <x:c r="A188" s="580"/>
      <x:c r="B188" s="580"/>
      <x:c r="C188" s="580"/>
      <x:c r="D188" s="580"/>
      <x:c r="E188" s="580"/>
      <x:c r="F188" s="580"/>
      <x:c r="G188" s="580"/>
    </x:row>
    <x:row r="189">
      <x:c r="A189" s="580"/>
      <x:c r="B189" s="580"/>
      <x:c r="C189" s="580"/>
      <x:c r="D189" s="580"/>
      <x:c r="E189" s="580"/>
      <x:c r="F189" s="580"/>
      <x:c r="G189" s="580"/>
    </x:row>
    <x:row r="190">
      <x:c r="A190" s="580"/>
      <x:c r="B190" s="580"/>
      <x:c r="C190" s="580"/>
      <x:c r="D190" s="580"/>
      <x:c r="E190" s="580"/>
      <x:c r="F190" s="580"/>
      <x:c r="G190" s="580"/>
    </x:row>
    <x:row r="191">
      <x:c r="A191" s="580"/>
      <x:c r="B191" s="580"/>
      <x:c r="C191" s="580"/>
      <x:c r="D191" s="580"/>
      <x:c r="E191" s="580"/>
      <x:c r="F191" s="580"/>
      <x:c r="G191" s="580"/>
    </x:row>
    <x:row r="192">
      <x:c r="A192" s="580"/>
      <x:c r="B192" s="580"/>
      <x:c r="C192" s="580"/>
      <x:c r="D192" s="580"/>
      <x:c r="E192" s="580"/>
      <x:c r="F192" s="580"/>
      <x:c r="G192" s="580"/>
    </x:row>
    <x:row r="193">
      <x:c r="A193" s="580"/>
      <x:c r="B193" s="580"/>
      <x:c r="C193" s="580"/>
      <x:c r="D193" s="580"/>
      <x:c r="E193" s="580"/>
      <x:c r="F193" s="580"/>
      <x:c r="G193" s="580"/>
    </x:row>
    <x:row r="194">
      <x:c r="A194" s="580"/>
      <x:c r="B194" s="580"/>
      <x:c r="C194" s="580"/>
      <x:c r="D194" s="580"/>
      <x:c r="E194" s="580"/>
      <x:c r="F194" s="580"/>
      <x:c r="G194" s="580"/>
    </x:row>
    <x:row r="195">
      <x:c r="A195" s="580"/>
      <x:c r="B195" s="580"/>
      <x:c r="C195" s="580"/>
      <x:c r="D195" s="580"/>
      <x:c r="E195" s="580"/>
      <x:c r="F195" s="580"/>
      <x:c r="G195" s="580"/>
    </x:row>
    <x:row r="196">
      <x:c r="A196" s="580"/>
      <x:c r="B196" s="580"/>
      <x:c r="C196" s="580"/>
      <x:c r="D196" s="580"/>
      <x:c r="E196" s="580"/>
      <x:c r="F196" s="580"/>
      <x:c r="G196" s="580"/>
    </x:row>
    <x:row r="197">
      <x:c r="A197" s="580"/>
      <x:c r="B197" s="580"/>
      <x:c r="C197" s="580"/>
      <x:c r="D197" s="580"/>
      <x:c r="E197" s="580"/>
      <x:c r="F197" s="580"/>
      <x:c r="G197" s="580"/>
    </x:row>
    <x:row r="198">
      <x:c r="A198" s="580"/>
      <x:c r="B198" s="580"/>
      <x:c r="C198" s="580"/>
      <x:c r="D198" s="580"/>
      <x:c r="E198" s="580"/>
      <x:c r="F198" s="580"/>
      <x:c r="G198" s="580"/>
    </x:row>
    <x:row r="199">
      <x:c r="A199" s="580"/>
      <x:c r="B199" s="580"/>
      <x:c r="C199" s="580"/>
      <x:c r="D199" s="580"/>
      <x:c r="E199" s="580"/>
      <x:c r="F199" s="580"/>
      <x:c r="G199" s="580"/>
    </x:row>
    <x:row r="200">
      <x:c r="A200" s="580"/>
      <x:c r="B200" s="580"/>
      <x:c r="C200" s="580"/>
      <x:c r="D200" s="580"/>
      <x:c r="E200" s="580"/>
      <x:c r="F200" s="580"/>
      <x:c r="G200" s="580"/>
    </x:row>
    <x:row r="201">
      <x:c r="A201" s="580"/>
      <x:c r="B201" s="580"/>
      <x:c r="C201" s="580"/>
      <x:c r="D201" s="580"/>
      <x:c r="E201" s="580"/>
      <x:c r="F201" s="580"/>
      <x:c r="G201" s="580"/>
    </x:row>
    <x:row r="202">
      <x:c r="A202" s="580"/>
      <x:c r="B202" s="580"/>
      <x:c r="C202" s="580"/>
      <x:c r="D202" s="580"/>
      <x:c r="E202" s="580"/>
      <x:c r="F202" s="580"/>
      <x:c r="G202" s="580"/>
    </x:row>
    <x:row r="203">
      <x:c r="A203" s="580"/>
      <x:c r="B203" s="580"/>
      <x:c r="C203" s="580"/>
      <x:c r="D203" s="580"/>
      <x:c r="E203" s="580"/>
      <x:c r="F203" s="580"/>
      <x:c r="G203" s="580"/>
    </x:row>
    <x:row r="204">
      <x:c r="A204" s="580"/>
      <x:c r="B204" s="580"/>
      <x:c r="C204" s="580"/>
      <x:c r="D204" s="580"/>
      <x:c r="E204" s="580"/>
      <x:c r="F204" s="580"/>
      <x:c r="G204" s="580"/>
    </x:row>
    <x:row r="205">
      <x:c r="A205" s="580"/>
      <x:c r="B205" s="580"/>
      <x:c r="C205" s="580"/>
      <x:c r="D205" s="580"/>
      <x:c r="E205" s="580"/>
      <x:c r="F205" s="580"/>
      <x:c r="G205" s="580"/>
    </x:row>
    <x:row r="206">
      <x:c r="A206" s="580"/>
      <x:c r="B206" s="580"/>
      <x:c r="C206" s="580"/>
      <x:c r="D206" s="580"/>
      <x:c r="E206" s="580"/>
      <x:c r="F206" s="580"/>
      <x:c r="G206" s="580"/>
    </x:row>
    <x:row r="207">
      <x:c r="A207" s="580"/>
      <x:c r="B207" s="580"/>
      <x:c r="C207" s="580"/>
      <x:c r="D207" s="580"/>
      <x:c r="E207" s="580"/>
      <x:c r="F207" s="580"/>
      <x:c r="G207" s="580"/>
    </x:row>
    <x:row r="208">
      <x:c r="A208" s="580"/>
      <x:c r="B208" s="580"/>
      <x:c r="C208" s="580"/>
      <x:c r="D208" s="580"/>
      <x:c r="E208" s="580"/>
      <x:c r="F208" s="580"/>
      <x:c r="G208" s="580"/>
    </x:row>
    <x:row r="209">
      <x:c r="A209" s="580"/>
      <x:c r="B209" s="580"/>
      <x:c r="C209" s="580"/>
      <x:c r="D209" s="580"/>
      <x:c r="E209" s="580"/>
      <x:c r="F209" s="580"/>
      <x:c r="G209" s="580"/>
    </x:row>
    <x:row r="210">
      <x:c r="A210" s="580"/>
      <x:c r="B210" s="580"/>
      <x:c r="C210" s="580"/>
      <x:c r="D210" s="580"/>
      <x:c r="E210" s="580"/>
      <x:c r="F210" s="580"/>
      <x:c r="G210" s="580"/>
    </x:row>
    <x:row r="211">
      <x:c r="A211" s="580"/>
      <x:c r="B211" s="580"/>
      <x:c r="C211" s="580"/>
      <x:c r="D211" s="580"/>
      <x:c r="E211" s="580"/>
      <x:c r="F211" s="580"/>
      <x:c r="G211" s="580"/>
    </x:row>
    <x:row r="212">
      <x:c r="A212" s="580"/>
      <x:c r="B212" s="580"/>
      <x:c r="C212" s="580"/>
      <x:c r="D212" s="580"/>
      <x:c r="E212" s="580"/>
      <x:c r="F212" s="580"/>
      <x:c r="G212" s="580"/>
    </x:row>
    <x:row r="213">
      <x:c r="A213" s="580"/>
      <x:c r="B213" s="580"/>
      <x:c r="C213" s="580"/>
      <x:c r="D213" s="580"/>
      <x:c r="E213" s="580"/>
      <x:c r="F213" s="580"/>
      <x:c r="G213" s="580"/>
    </x:row>
    <x:row r="214">
      <x:c r="A214" s="580"/>
      <x:c r="B214" s="580"/>
      <x:c r="C214" s="580"/>
      <x:c r="D214" s="580"/>
      <x:c r="E214" s="580"/>
      <x:c r="F214" s="580"/>
      <x:c r="G214" s="580"/>
    </x:row>
    <x:row r="215">
      <x:c r="A215" s="580"/>
      <x:c r="B215" s="580"/>
      <x:c r="C215" s="580"/>
      <x:c r="D215" s="580"/>
      <x:c r="E215" s="580"/>
      <x:c r="F215" s="580"/>
      <x:c r="G215" s="580"/>
    </x:row>
    <x:row r="216">
      <x:c r="A216" s="580"/>
      <x:c r="B216" s="580"/>
      <x:c r="C216" s="580"/>
      <x:c r="D216" s="580"/>
      <x:c r="E216" s="580"/>
      <x:c r="F216" s="580"/>
      <x:c r="G216" s="580"/>
    </x:row>
    <x:row r="217">
      <x:c r="A217" s="580"/>
      <x:c r="B217" s="580"/>
      <x:c r="C217" s="580"/>
      <x:c r="D217" s="580"/>
      <x:c r="E217" s="580"/>
      <x:c r="F217" s="580"/>
      <x:c r="G217" s="580"/>
    </x:row>
    <x:row r="218">
      <x:c r="A218" s="580"/>
      <x:c r="B218" s="580"/>
      <x:c r="C218" s="580"/>
      <x:c r="D218" s="580"/>
      <x:c r="E218" s="580"/>
      <x:c r="F218" s="580"/>
      <x:c r="G218" s="580"/>
    </x:row>
    <x:row r="219">
      <x:c r="A219" s="580"/>
      <x:c r="B219" s="580"/>
      <x:c r="C219" s="580"/>
      <x:c r="D219" s="580"/>
      <x:c r="E219" s="580"/>
      <x:c r="F219" s="580"/>
      <x:c r="G219" s="580"/>
    </x:row>
    <x:row r="220">
      <x:c r="A220" s="580"/>
      <x:c r="B220" s="580"/>
      <x:c r="C220" s="580"/>
      <x:c r="D220" s="580"/>
      <x:c r="E220" s="580"/>
      <x:c r="F220" s="580"/>
      <x:c r="G220" s="580"/>
    </x:row>
    <x:row r="221">
      <x:c r="A221" s="580"/>
      <x:c r="B221" s="580"/>
      <x:c r="C221" s="580"/>
      <x:c r="D221" s="580"/>
      <x:c r="E221" s="580"/>
      <x:c r="F221" s="580"/>
      <x:c r="G221" s="580"/>
    </x:row>
    <x:row r="222">
      <x:c r="A222" s="580"/>
      <x:c r="B222" s="580"/>
      <x:c r="C222" s="580"/>
      <x:c r="D222" s="580"/>
      <x:c r="E222" s="580"/>
      <x:c r="F222" s="580"/>
      <x:c r="G222" s="580"/>
    </x:row>
    <x:row r="223">
      <x:c r="A223" s="580"/>
      <x:c r="B223" s="580"/>
      <x:c r="C223" s="580"/>
      <x:c r="D223" s="580"/>
      <x:c r="E223" s="580"/>
      <x:c r="F223" s="580"/>
      <x:c r="G223" s="580"/>
    </x:row>
    <x:row r="224">
      <x:c r="A224" s="580"/>
      <x:c r="B224" s="580"/>
      <x:c r="C224" s="580"/>
      <x:c r="D224" s="580"/>
      <x:c r="E224" s="580"/>
      <x:c r="F224" s="580"/>
      <x:c r="G224" s="580"/>
    </x:row>
    <x:row r="225">
      <x:c r="A225" s="580"/>
      <x:c r="B225" s="580"/>
      <x:c r="C225" s="580"/>
      <x:c r="D225" s="580"/>
      <x:c r="E225" s="580"/>
      <x:c r="F225" s="580"/>
      <x:c r="G225" s="580"/>
    </x:row>
    <x:row r="226">
      <x:c r="A226" s="580"/>
      <x:c r="B226" s="580"/>
      <x:c r="C226" s="580"/>
      <x:c r="D226" s="580"/>
      <x:c r="E226" s="580"/>
      <x:c r="F226" s="580"/>
      <x:c r="G226" s="580"/>
    </x:row>
    <x:row r="227">
      <x:c r="A227" s="580"/>
      <x:c r="B227" s="580"/>
      <x:c r="C227" s="580"/>
      <x:c r="D227" s="580"/>
      <x:c r="E227" s="580"/>
      <x:c r="F227" s="580"/>
      <x:c r="G227" s="580"/>
    </x:row>
    <x:row r="228">
      <x:c r="A228" s="580"/>
      <x:c r="B228" s="580"/>
      <x:c r="C228" s="580"/>
      <x:c r="D228" s="580"/>
      <x:c r="E228" s="580"/>
      <x:c r="F228" s="580"/>
      <x:c r="G228" s="580"/>
    </x:row>
    <x:row r="229">
      <x:c r="A229" s="580"/>
      <x:c r="B229" s="580"/>
      <x:c r="C229" s="580"/>
      <x:c r="D229" s="580"/>
      <x:c r="E229" s="580"/>
      <x:c r="F229" s="580"/>
      <x:c r="G229" s="580"/>
    </x:row>
    <x:row r="230">
      <x:c r="A230" s="580"/>
      <x:c r="B230" s="580"/>
      <x:c r="C230" s="580"/>
      <x:c r="D230" s="580"/>
      <x:c r="E230" s="580"/>
      <x:c r="F230" s="580"/>
      <x:c r="G230" s="580"/>
    </x:row>
    <x:row r="231">
      <x:c r="A231" s="580"/>
      <x:c r="B231" s="580"/>
      <x:c r="C231" s="580"/>
      <x:c r="D231" s="580"/>
      <x:c r="E231" s="580"/>
      <x:c r="F231" s="580"/>
      <x:c r="G231" s="580"/>
    </x:row>
    <x:row r="232">
      <x:c r="A232" s="580"/>
      <x:c r="B232" s="580"/>
      <x:c r="C232" s="580"/>
      <x:c r="D232" s="580"/>
      <x:c r="E232" s="580"/>
      <x:c r="F232" s="580"/>
      <x:c r="G232" s="580"/>
    </x:row>
    <x:row r="233">
      <x:c r="A233" s="580"/>
      <x:c r="B233" s="580"/>
      <x:c r="C233" s="580"/>
      <x:c r="D233" s="580"/>
      <x:c r="E233" s="580"/>
      <x:c r="F233" s="580"/>
      <x:c r="G233" s="580"/>
    </x:row>
    <x:row r="234">
      <x:c r="A234" s="580"/>
      <x:c r="B234" s="580"/>
      <x:c r="C234" s="580"/>
      <x:c r="D234" s="580"/>
      <x:c r="E234" s="580"/>
      <x:c r="F234" s="580"/>
      <x:c r="G234" s="580"/>
    </x:row>
    <x:row r="235">
      <x:c r="A235" s="580"/>
      <x:c r="B235" s="580"/>
      <x:c r="C235" s="580"/>
      <x:c r="D235" s="580"/>
      <x:c r="E235" s="580"/>
      <x:c r="F235" s="580"/>
      <x:c r="G235" s="580"/>
    </x:row>
    <x:row r="236">
      <x:c r="A236" s="580"/>
      <x:c r="B236" s="580"/>
      <x:c r="C236" s="580"/>
      <x:c r="D236" s="580"/>
      <x:c r="E236" s="580"/>
      <x:c r="F236" s="580"/>
      <x:c r="G236" s="580"/>
    </x:row>
    <x:row r="237">
      <x:c r="A237" s="580"/>
      <x:c r="B237" s="580"/>
      <x:c r="C237" s="580"/>
      <x:c r="D237" s="580"/>
      <x:c r="E237" s="580"/>
      <x:c r="F237" s="580"/>
      <x:c r="G237" s="580"/>
    </x:row>
    <x:row r="238">
      <x:c r="A238" s="580"/>
      <x:c r="B238" s="580"/>
      <x:c r="C238" s="580"/>
      <x:c r="D238" s="580"/>
      <x:c r="E238" s="580"/>
      <x:c r="F238" s="580"/>
      <x:c r="G238" s="580"/>
    </x:row>
    <x:row r="239">
      <x:c r="A239" s="580"/>
      <x:c r="B239" s="580"/>
      <x:c r="C239" s="580"/>
      <x:c r="D239" s="580"/>
      <x:c r="E239" s="580"/>
      <x:c r="F239" s="580"/>
      <x:c r="G239" s="580"/>
    </x:row>
    <x:row r="240">
      <x:c r="A240" s="580"/>
      <x:c r="B240" s="580"/>
      <x:c r="C240" s="580"/>
      <x:c r="D240" s="580"/>
      <x:c r="E240" s="580"/>
      <x:c r="F240" s="580"/>
      <x:c r="G240" s="580"/>
    </x:row>
  </x:sheetData>
  <x:mergeCells>
    <x:mergeCell ref="A3:G3"/>
  </x:mergeCells>
  <x:dataValidations count="1">
    <x:dataValidation type="list" sqref="D6:D100">
      <x:formula1>"No,Tentative,Yes"</x:formula1>
    </x:dataValidation>
  </x:dataValidation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58" hidden="0" customWidth="1"/>
    <x:col min="5" max="5" width="42" hidden="0" customWidth="1"/>
  </x:cols>
  <x:sheetData>
    <x:row r="1">
      <x:c r="A1" s="583" t="str">
        <x:v>👤 Traveler Preferences</x:v>
      </x:c>
      <x:c r="B1" s="583"/>
      <x:c r="C1" s="583"/>
      <x:c r="D1" s="583"/>
      <x:c r="E1" s="583"/>
    </x:row>
    <x:row r="2">
      <x:c r="A2" s="583"/>
      <x:c r="B2" s="583"/>
      <x:c r="C2" s="583"/>
      <x:c r="D2" s="583"/>
      <x:c r="E2" s="583"/>
    </x:row>
    <x:row r="3">
      <x:c r="A3" s="584" t="str">
        <x:v>The first-run onboarding stores the selected traveler and larger-text preference locally on each iPhone.</x:v>
      </x:c>
      <x:c r="B3" s="584"/>
      <x:c r="C3" s="584"/>
      <x:c r="D3" s="584"/>
      <x:c r="E3" s="584"/>
    </x:row>
    <x:row r="4">
      <x:c r="A4" s="580"/>
      <x:c r="B4" s="580"/>
      <x:c r="C4" s="580"/>
      <x:c r="D4" s="580"/>
      <x:c r="E4" s="580"/>
    </x:row>
    <x:row r="5">
      <x:c r="A5" s="587" t="str">
        <x:v>Traveler</x:v>
      </x:c>
      <x:c r="B5" s="587" t="str">
        <x:v>Default Dashboard</x:v>
      </x:c>
      <x:c r="C5" s="587" t="str">
        <x:v>Large Text Recommended?</x:v>
      </x:c>
      <x:c r="D5" s="587" t="str">
        <x:v>Primary Needs</x:v>
      </x:c>
      <x:c r="E5" s="587" t="str">
        <x:v>Notes</x:v>
      </x:c>
    </x:row>
    <x:row r="6">
      <x:c r="A6" s="588" t="str">
        <x:v>David</x:v>
      </x:c>
      <x:c r="B6" s="588" t="str">
        <x:v>Home</x:v>
      </x:c>
      <x:c r="C6" s="588" t="str">
        <x:v>No</x:v>
      </x:c>
      <x:c r="D6" s="588" t="str">
        <x:v>Planning, reservations, maps, budget, Peace of Mind</x:v>
      </x:c>
      <x:c r="E6" s="588" t="str">
        <x:v>Power-user view</x:v>
      </x:c>
    </x:row>
    <x:row r="7">
      <x:c r="A7" s="588" t="str">
        <x:v>Noelle</x:v>
      </x:c>
      <x:c r="B7" s="588" t="str">
        <x:v>Travelers / Noelle</x:v>
      </x:c>
      <x:c r="C7" s="588" t="str">
        <x:v>No</x:v>
      </x:c>
      <x:c r="D7" s="588" t="str">
        <x:v>Food, shopping, reservations, budget, journal</x:v>
      </x:c>
      <x:c r="E7" s="588" t="str">
        <x:v>Professional neutral wording</x:v>
      </x:c>
    </x:row>
    <x:row r="8">
      <x:c r="A8" s="588" t="str">
        <x:v>Nick</x:v>
      </x:c>
      <x:c r="B8" s="588" t="str">
        <x:v>Travelers / Nick</x:v>
      </x:c>
      <x:c r="C8" s="588" t="str">
        <x:v>No</x:v>
      </x:c>
      <x:c r="D8" s="588" t="str">
        <x:v>Food, shopping, transit, first-time tips</x:v>
      </x:c>
      <x:c r="E8" s="588" t="str">
        <x:v>Discovery-focused</x:v>
      </x:c>
    </x:row>
    <x:row r="9">
      <x:c r="A9" s="588" t="str">
        <x:v>Hilda</x:v>
      </x:c>
      <x:c r="B9" s="588" t="str">
        <x:v>Hilda</x:v>
      </x:c>
      <x:c r="C9" s="588" t="str">
        <x:v>Yes</x:v>
      </x:c>
      <x:c r="D9" s="588" t="str">
        <x:v>Simple plan, hotel, bathroom, help</x:v>
      </x:c>
      <x:c r="E9" s="588" t="str">
        <x:v>Dedicated bottom-bar access</x:v>
      </x:c>
    </x:row>
    <x:row r="10">
      <x:c r="A10" s="580"/>
      <x:c r="B10" s="580"/>
      <x:c r="C10" s="580"/>
      <x:c r="D10" s="580"/>
      <x:c r="E10" s="580"/>
    </x:row>
    <x:row r="11">
      <x:c r="A11" s="580"/>
      <x:c r="B11" s="580"/>
      <x:c r="C11" s="580"/>
      <x:c r="D11" s="580"/>
      <x:c r="E11" s="580"/>
    </x:row>
    <x:row r="12">
      <x:c r="A12" s="580"/>
      <x:c r="B12" s="580"/>
      <x:c r="C12" s="580"/>
      <x:c r="D12" s="580"/>
      <x:c r="E12" s="580"/>
    </x:row>
    <x:row r="13">
      <x:c r="A13" s="580"/>
      <x:c r="B13" s="580"/>
      <x:c r="C13" s="580"/>
      <x:c r="D13" s="580"/>
      <x:c r="E13" s="580"/>
    </x:row>
    <x:row r="14">
      <x:c r="A14" s="580"/>
      <x:c r="B14" s="580"/>
      <x:c r="C14" s="580"/>
      <x:c r="D14" s="580"/>
      <x:c r="E14" s="580"/>
    </x:row>
    <x:row r="15">
      <x:c r="A15" s="580"/>
      <x:c r="B15" s="580"/>
      <x:c r="C15" s="580"/>
      <x:c r="D15" s="580"/>
      <x:c r="E15" s="580"/>
    </x:row>
    <x:row r="16">
      <x:c r="A16" s="580"/>
      <x:c r="B16" s="580"/>
      <x:c r="C16" s="580"/>
      <x:c r="D16" s="580"/>
      <x:c r="E16" s="580"/>
    </x:row>
    <x:row r="17">
      <x:c r="A17" s="580"/>
      <x:c r="B17" s="580"/>
      <x:c r="C17" s="580"/>
      <x:c r="D17" s="580"/>
      <x:c r="E17" s="580"/>
    </x:row>
    <x:row r="18">
      <x:c r="A18" s="580"/>
      <x:c r="B18" s="580"/>
      <x:c r="C18" s="580"/>
      <x:c r="D18" s="580"/>
      <x:c r="E18" s="580"/>
    </x:row>
    <x:row r="19">
      <x:c r="A19" s="580"/>
      <x:c r="B19" s="580"/>
      <x:c r="C19" s="580"/>
      <x:c r="D19" s="580"/>
      <x:c r="E19" s="580"/>
    </x:row>
    <x:row r="20">
      <x:c r="A20" s="580"/>
      <x:c r="B20" s="580"/>
      <x:c r="C20" s="580"/>
      <x:c r="D20" s="580"/>
      <x:c r="E20" s="580"/>
    </x:row>
    <x:row r="21">
      <x:c r="A21" s="580"/>
      <x:c r="B21" s="580"/>
      <x:c r="C21" s="580"/>
      <x:c r="D21" s="580"/>
      <x:c r="E21" s="580"/>
    </x:row>
    <x:row r="22">
      <x:c r="A22" s="580"/>
      <x:c r="B22" s="580"/>
      <x:c r="C22" s="580"/>
      <x:c r="D22" s="580"/>
      <x:c r="E22" s="580"/>
    </x:row>
    <x:row r="23">
      <x:c r="A23" s="580"/>
      <x:c r="B23" s="580"/>
      <x:c r="C23" s="580"/>
      <x:c r="D23" s="580"/>
      <x:c r="E23" s="580"/>
    </x:row>
    <x:row r="24">
      <x:c r="A24" s="580"/>
      <x:c r="B24" s="580"/>
      <x:c r="C24" s="580"/>
      <x:c r="D24" s="580"/>
      <x:c r="E24" s="580"/>
    </x:row>
    <x:row r="25">
      <x:c r="A25" s="580"/>
      <x:c r="B25" s="580"/>
      <x:c r="C25" s="580"/>
      <x:c r="D25" s="580"/>
      <x:c r="E25" s="580"/>
    </x:row>
    <x:row r="26">
      <x:c r="A26" s="580"/>
      <x:c r="B26" s="580"/>
      <x:c r="C26" s="580"/>
      <x:c r="D26" s="580"/>
      <x:c r="E26" s="580"/>
    </x:row>
    <x:row r="27">
      <x:c r="A27" s="580"/>
      <x:c r="B27" s="580"/>
      <x:c r="C27" s="580"/>
      <x:c r="D27" s="580"/>
      <x:c r="E27" s="580"/>
    </x:row>
    <x:row r="28">
      <x:c r="A28" s="580"/>
      <x:c r="B28" s="580"/>
      <x:c r="C28" s="580"/>
      <x:c r="D28" s="580"/>
      <x:c r="E28" s="580"/>
    </x:row>
    <x:row r="29">
      <x:c r="A29" s="580"/>
      <x:c r="B29" s="580"/>
      <x:c r="C29" s="580"/>
      <x:c r="D29" s="580"/>
      <x:c r="E29" s="580"/>
    </x:row>
    <x:row r="30">
      <x:c r="A30" s="580"/>
      <x:c r="B30" s="580"/>
      <x:c r="C30" s="580"/>
      <x:c r="D30" s="580"/>
      <x:c r="E30" s="580"/>
    </x:row>
    <x:row r="31">
      <x:c r="A31" s="580"/>
      <x:c r="B31" s="580"/>
      <x:c r="C31" s="580"/>
      <x:c r="D31" s="580"/>
      <x:c r="E31" s="580"/>
    </x:row>
    <x:row r="32">
      <x:c r="A32" s="580"/>
      <x:c r="B32" s="580"/>
      <x:c r="C32" s="580"/>
      <x:c r="D32" s="580"/>
      <x:c r="E32" s="580"/>
    </x:row>
    <x:row r="33">
      <x:c r="A33" s="580"/>
      <x:c r="B33" s="580"/>
      <x:c r="C33" s="580"/>
      <x:c r="D33" s="580"/>
      <x:c r="E33" s="580"/>
    </x:row>
    <x:row r="34">
      <x:c r="A34" s="580"/>
      <x:c r="B34" s="580"/>
      <x:c r="C34" s="580"/>
      <x:c r="D34" s="580"/>
      <x:c r="E34" s="580"/>
    </x:row>
    <x:row r="35">
      <x:c r="A35" s="580"/>
      <x:c r="B35" s="580"/>
      <x:c r="C35" s="580"/>
      <x:c r="D35" s="580"/>
      <x:c r="E35" s="580"/>
    </x:row>
    <x:row r="36">
      <x:c r="A36" s="580"/>
      <x:c r="B36" s="580"/>
      <x:c r="C36" s="580"/>
      <x:c r="D36" s="580"/>
      <x:c r="E36" s="580"/>
    </x:row>
    <x:row r="37">
      <x:c r="A37" s="580"/>
      <x:c r="B37" s="580"/>
      <x:c r="C37" s="580"/>
      <x:c r="D37" s="580"/>
      <x:c r="E37" s="580"/>
    </x:row>
    <x:row r="38">
      <x:c r="A38" s="580"/>
      <x:c r="B38" s="580"/>
      <x:c r="C38" s="580"/>
      <x:c r="D38" s="580"/>
      <x:c r="E38" s="580"/>
    </x:row>
    <x:row r="39">
      <x:c r="A39" s="580"/>
      <x:c r="B39" s="580"/>
      <x:c r="C39" s="580"/>
      <x:c r="D39" s="580"/>
      <x:c r="E39" s="580"/>
    </x:row>
    <x:row r="40">
      <x:c r="A40" s="580"/>
      <x:c r="B40" s="580"/>
      <x:c r="C40" s="580"/>
      <x:c r="D40" s="580"/>
      <x:c r="E40" s="580"/>
    </x:row>
    <x:row r="41">
      <x:c r="A41" s="580"/>
      <x:c r="B41" s="580"/>
      <x:c r="C41" s="580"/>
      <x:c r="D41" s="580"/>
      <x:c r="E41" s="580"/>
    </x:row>
    <x:row r="42">
      <x:c r="A42" s="580"/>
      <x:c r="B42" s="580"/>
      <x:c r="C42" s="580"/>
      <x:c r="D42" s="580"/>
      <x:c r="E42" s="580"/>
    </x:row>
    <x:row r="43">
      <x:c r="A43" s="580"/>
      <x:c r="B43" s="580"/>
      <x:c r="C43" s="580"/>
      <x:c r="D43" s="580"/>
      <x:c r="E43" s="580"/>
    </x:row>
    <x:row r="44">
      <x:c r="A44" s="580"/>
      <x:c r="B44" s="580"/>
      <x:c r="C44" s="580"/>
      <x:c r="D44" s="580"/>
      <x:c r="E44" s="580"/>
    </x:row>
    <x:row r="45">
      <x:c r="A45" s="580"/>
      <x:c r="B45" s="580"/>
      <x:c r="C45" s="580"/>
      <x:c r="D45" s="580"/>
      <x:c r="E45" s="580"/>
    </x:row>
    <x:row r="46">
      <x:c r="A46" s="580"/>
      <x:c r="B46" s="580"/>
      <x:c r="C46" s="580"/>
      <x:c r="D46" s="580"/>
      <x:c r="E46" s="580"/>
    </x:row>
    <x:row r="47">
      <x:c r="A47" s="580"/>
      <x:c r="B47" s="580"/>
      <x:c r="C47" s="580"/>
      <x:c r="D47" s="580"/>
      <x:c r="E47" s="580"/>
    </x:row>
    <x:row r="48">
      <x:c r="A48" s="580"/>
      <x:c r="B48" s="580"/>
      <x:c r="C48" s="580"/>
      <x:c r="D48" s="580"/>
      <x:c r="E48" s="580"/>
    </x:row>
    <x:row r="49">
      <x:c r="A49" s="580"/>
      <x:c r="B49" s="580"/>
      <x:c r="C49" s="580"/>
      <x:c r="D49" s="580"/>
      <x:c r="E49" s="580"/>
    </x:row>
    <x:row r="50">
      <x:c r="A50" s="580"/>
      <x:c r="B50" s="580"/>
      <x:c r="C50" s="580"/>
      <x:c r="D50" s="580"/>
      <x:c r="E50" s="580"/>
    </x:row>
    <x:row r="51">
      <x:c r="A51" s="580"/>
      <x:c r="B51" s="580"/>
      <x:c r="C51" s="580"/>
      <x:c r="D51" s="580"/>
      <x:c r="E51" s="580"/>
    </x:row>
    <x:row r="52">
      <x:c r="A52" s="580"/>
      <x:c r="B52" s="580"/>
      <x:c r="C52" s="580"/>
      <x:c r="D52" s="580"/>
      <x:c r="E52" s="580"/>
    </x:row>
    <x:row r="53">
      <x:c r="A53" s="580"/>
      <x:c r="B53" s="580"/>
      <x:c r="C53" s="580"/>
      <x:c r="D53" s="580"/>
      <x:c r="E53" s="580"/>
    </x:row>
    <x:row r="54">
      <x:c r="A54" s="580"/>
      <x:c r="B54" s="580"/>
      <x:c r="C54" s="580"/>
      <x:c r="D54" s="580"/>
      <x:c r="E54" s="580"/>
    </x:row>
    <x:row r="55">
      <x:c r="A55" s="580"/>
      <x:c r="B55" s="580"/>
      <x:c r="C55" s="580"/>
      <x:c r="D55" s="580"/>
      <x:c r="E55" s="580"/>
    </x:row>
    <x:row r="56">
      <x:c r="A56" s="580"/>
      <x:c r="B56" s="580"/>
      <x:c r="C56" s="580"/>
      <x:c r="D56" s="580"/>
      <x:c r="E56" s="580"/>
    </x:row>
    <x:row r="57">
      <x:c r="A57" s="580"/>
      <x:c r="B57" s="580"/>
      <x:c r="C57" s="580"/>
      <x:c r="D57" s="580"/>
      <x:c r="E57" s="580"/>
    </x:row>
    <x:row r="58">
      <x:c r="A58" s="580"/>
      <x:c r="B58" s="580"/>
      <x:c r="C58" s="580"/>
      <x:c r="D58" s="580"/>
      <x:c r="E58" s="580"/>
    </x:row>
    <x:row r="59">
      <x:c r="A59" s="580"/>
      <x:c r="B59" s="580"/>
      <x:c r="C59" s="580"/>
      <x:c r="D59" s="580"/>
      <x:c r="E59" s="580"/>
    </x:row>
    <x:row r="60">
      <x:c r="A60" s="580"/>
      <x:c r="B60" s="580"/>
      <x:c r="C60" s="580"/>
      <x:c r="D60" s="580"/>
      <x:c r="E60" s="580"/>
    </x:row>
    <x:row r="61">
      <x:c r="A61" s="580"/>
      <x:c r="B61" s="580"/>
      <x:c r="C61" s="580"/>
      <x:c r="D61" s="580"/>
      <x:c r="E61" s="580"/>
    </x:row>
    <x:row r="62">
      <x:c r="A62" s="580"/>
      <x:c r="B62" s="580"/>
      <x:c r="C62" s="580"/>
      <x:c r="D62" s="580"/>
      <x:c r="E62" s="580"/>
    </x:row>
    <x:row r="63">
      <x:c r="A63" s="580"/>
      <x:c r="B63" s="580"/>
      <x:c r="C63" s="580"/>
      <x:c r="D63" s="580"/>
      <x:c r="E63" s="580"/>
    </x:row>
    <x:row r="64">
      <x:c r="A64" s="580"/>
      <x:c r="B64" s="580"/>
      <x:c r="C64" s="580"/>
      <x:c r="D64" s="580"/>
      <x:c r="E64" s="580"/>
    </x:row>
    <x:row r="65">
      <x:c r="A65" s="580"/>
      <x:c r="B65" s="580"/>
      <x:c r="C65" s="580"/>
      <x:c r="D65" s="580"/>
      <x:c r="E65" s="580"/>
    </x:row>
    <x:row r="66">
      <x:c r="A66" s="580"/>
      <x:c r="B66" s="580"/>
      <x:c r="C66" s="580"/>
      <x:c r="D66" s="580"/>
      <x:c r="E66" s="580"/>
    </x:row>
    <x:row r="67">
      <x:c r="A67" s="580"/>
      <x:c r="B67" s="580"/>
      <x:c r="C67" s="580"/>
      <x:c r="D67" s="580"/>
      <x:c r="E67" s="580"/>
    </x:row>
    <x:row r="68">
      <x:c r="A68" s="580"/>
      <x:c r="B68" s="580"/>
      <x:c r="C68" s="580"/>
      <x:c r="D68" s="580"/>
      <x:c r="E68" s="580"/>
    </x:row>
    <x:row r="69">
      <x:c r="A69" s="580"/>
      <x:c r="B69" s="580"/>
      <x:c r="C69" s="580"/>
      <x:c r="D69" s="580"/>
      <x:c r="E69" s="580"/>
    </x:row>
    <x:row r="70">
      <x:c r="A70" s="580"/>
      <x:c r="B70" s="580"/>
      <x:c r="C70" s="580"/>
      <x:c r="D70" s="580"/>
      <x:c r="E70" s="580"/>
    </x:row>
    <x:row r="71">
      <x:c r="A71" s="580"/>
      <x:c r="B71" s="580"/>
      <x:c r="C71" s="580"/>
      <x:c r="D71" s="580"/>
      <x:c r="E71" s="580"/>
    </x:row>
    <x:row r="72">
      <x:c r="A72" s="580"/>
      <x:c r="B72" s="580"/>
      <x:c r="C72" s="580"/>
      <x:c r="D72" s="580"/>
      <x:c r="E72" s="580"/>
    </x:row>
    <x:row r="73">
      <x:c r="A73" s="580"/>
      <x:c r="B73" s="580"/>
      <x:c r="C73" s="580"/>
      <x:c r="D73" s="580"/>
      <x:c r="E73" s="580"/>
    </x:row>
    <x:row r="74">
      <x:c r="A74" s="580"/>
      <x:c r="B74" s="580"/>
      <x:c r="C74" s="580"/>
      <x:c r="D74" s="580"/>
      <x:c r="E74" s="580"/>
    </x:row>
    <x:row r="75">
      <x:c r="A75" s="580"/>
      <x:c r="B75" s="580"/>
      <x:c r="C75" s="580"/>
      <x:c r="D75" s="580"/>
      <x:c r="E75" s="580"/>
    </x:row>
    <x:row r="76">
      <x:c r="A76" s="580"/>
      <x:c r="B76" s="580"/>
      <x:c r="C76" s="580"/>
      <x:c r="D76" s="580"/>
      <x:c r="E76" s="580"/>
    </x:row>
    <x:row r="77">
      <x:c r="A77" s="580"/>
      <x:c r="B77" s="580"/>
      <x:c r="C77" s="580"/>
      <x:c r="D77" s="580"/>
      <x:c r="E77" s="580"/>
    </x:row>
    <x:row r="78">
      <x:c r="A78" s="580"/>
      <x:c r="B78" s="580"/>
      <x:c r="C78" s="580"/>
      <x:c r="D78" s="580"/>
      <x:c r="E78" s="580"/>
    </x:row>
    <x:row r="79">
      <x:c r="A79" s="580"/>
      <x:c r="B79" s="580"/>
      <x:c r="C79" s="580"/>
      <x:c r="D79" s="580"/>
      <x:c r="E79" s="580"/>
    </x:row>
    <x:row r="80">
      <x:c r="A80" s="580"/>
      <x:c r="B80" s="580"/>
      <x:c r="C80" s="580"/>
      <x:c r="D80" s="580"/>
      <x:c r="E80" s="580"/>
    </x:row>
    <x:row r="81">
      <x:c r="A81" s="580"/>
      <x:c r="B81" s="580"/>
      <x:c r="C81" s="580"/>
      <x:c r="D81" s="580"/>
      <x:c r="E81" s="580"/>
    </x:row>
    <x:row r="82">
      <x:c r="A82" s="580"/>
      <x:c r="B82" s="580"/>
      <x:c r="C82" s="580"/>
      <x:c r="D82" s="580"/>
      <x:c r="E82" s="580"/>
    </x:row>
    <x:row r="83">
      <x:c r="A83" s="580"/>
      <x:c r="B83" s="580"/>
      <x:c r="C83" s="580"/>
      <x:c r="D83" s="580"/>
      <x:c r="E83" s="580"/>
    </x:row>
    <x:row r="84">
      <x:c r="A84" s="580"/>
      <x:c r="B84" s="580"/>
      <x:c r="C84" s="580"/>
      <x:c r="D84" s="580"/>
      <x:c r="E84" s="580"/>
    </x:row>
    <x:row r="85">
      <x:c r="A85" s="580"/>
      <x:c r="B85" s="580"/>
      <x:c r="C85" s="580"/>
      <x:c r="D85" s="580"/>
      <x:c r="E85" s="580"/>
    </x:row>
    <x:row r="86">
      <x:c r="A86" s="580"/>
      <x:c r="B86" s="580"/>
      <x:c r="C86" s="580"/>
      <x:c r="D86" s="580"/>
      <x:c r="E86" s="580"/>
    </x:row>
    <x:row r="87">
      <x:c r="A87" s="580"/>
      <x:c r="B87" s="580"/>
      <x:c r="C87" s="580"/>
      <x:c r="D87" s="580"/>
      <x:c r="E87" s="580"/>
    </x:row>
    <x:row r="88">
      <x:c r="A88" s="580"/>
      <x:c r="B88" s="580"/>
      <x:c r="C88" s="580"/>
      <x:c r="D88" s="580"/>
      <x:c r="E88" s="580"/>
    </x:row>
    <x:row r="89">
      <x:c r="A89" s="580"/>
      <x:c r="B89" s="580"/>
      <x:c r="C89" s="580"/>
      <x:c r="D89" s="580"/>
      <x:c r="E89" s="580"/>
    </x:row>
    <x:row r="90">
      <x:c r="A90" s="580"/>
      <x:c r="B90" s="580"/>
      <x:c r="C90" s="580"/>
      <x:c r="D90" s="580"/>
      <x:c r="E90" s="580"/>
    </x:row>
    <x:row r="91">
      <x:c r="A91" s="580"/>
      <x:c r="B91" s="580"/>
      <x:c r="C91" s="580"/>
      <x:c r="D91" s="580"/>
      <x:c r="E91" s="580"/>
    </x:row>
    <x:row r="92">
      <x:c r="A92" s="580"/>
      <x:c r="B92" s="580"/>
      <x:c r="C92" s="580"/>
      <x:c r="D92" s="580"/>
      <x:c r="E92" s="580"/>
    </x:row>
    <x:row r="93">
      <x:c r="A93" s="580"/>
      <x:c r="B93" s="580"/>
      <x:c r="C93" s="580"/>
      <x:c r="D93" s="580"/>
      <x:c r="E93" s="580"/>
    </x:row>
    <x:row r="94">
      <x:c r="A94" s="580"/>
      <x:c r="B94" s="580"/>
      <x:c r="C94" s="580"/>
      <x:c r="D94" s="580"/>
      <x:c r="E94" s="580"/>
    </x:row>
    <x:row r="95">
      <x:c r="A95" s="580"/>
      <x:c r="B95" s="580"/>
      <x:c r="C95" s="580"/>
      <x:c r="D95" s="580"/>
      <x:c r="E95" s="580"/>
    </x:row>
    <x:row r="96">
      <x:c r="A96" s="580"/>
      <x:c r="B96" s="580"/>
      <x:c r="C96" s="580"/>
      <x:c r="D96" s="580"/>
      <x:c r="E96" s="580"/>
    </x:row>
    <x:row r="97">
      <x:c r="A97" s="580"/>
      <x:c r="B97" s="580"/>
      <x:c r="C97" s="580"/>
      <x:c r="D97" s="580"/>
      <x:c r="E97" s="580"/>
    </x:row>
    <x:row r="98">
      <x:c r="A98" s="580"/>
      <x:c r="B98" s="580"/>
      <x:c r="C98" s="580"/>
      <x:c r="D98" s="580"/>
      <x:c r="E98" s="580"/>
    </x:row>
    <x:row r="99">
      <x:c r="A99" s="580"/>
      <x:c r="B99" s="580"/>
      <x:c r="C99" s="580"/>
      <x:c r="D99" s="580"/>
      <x:c r="E99" s="580"/>
    </x:row>
    <x:row r="100">
      <x:c r="A100" s="580"/>
      <x:c r="B100" s="580"/>
      <x:c r="C100" s="580"/>
      <x:c r="D100" s="580"/>
      <x:c r="E100" s="580"/>
    </x:row>
    <x:row r="101">
      <x:c r="A101" s="580"/>
      <x:c r="B101" s="580"/>
      <x:c r="C101" s="580"/>
      <x:c r="D101" s="580"/>
      <x:c r="E101" s="580"/>
    </x:row>
    <x:row r="102">
      <x:c r="A102" s="580"/>
      <x:c r="B102" s="580"/>
      <x:c r="C102" s="580"/>
      <x:c r="D102" s="580"/>
      <x:c r="E102" s="580"/>
    </x:row>
    <x:row r="103">
      <x:c r="A103" s="580"/>
      <x:c r="B103" s="580"/>
      <x:c r="C103" s="580"/>
      <x:c r="D103" s="580"/>
      <x:c r="E103" s="580"/>
    </x:row>
    <x:row r="104">
      <x:c r="A104" s="580"/>
      <x:c r="B104" s="580"/>
      <x:c r="C104" s="580"/>
      <x:c r="D104" s="580"/>
      <x:c r="E104" s="580"/>
    </x:row>
    <x:row r="105">
      <x:c r="A105" s="580"/>
      <x:c r="B105" s="580"/>
      <x:c r="C105" s="580"/>
      <x:c r="D105" s="580"/>
      <x:c r="E105" s="580"/>
    </x:row>
    <x:row r="106">
      <x:c r="A106" s="580"/>
      <x:c r="B106" s="580"/>
      <x:c r="C106" s="580"/>
      <x:c r="D106" s="580"/>
      <x:c r="E106" s="580"/>
    </x:row>
    <x:row r="107">
      <x:c r="A107" s="580"/>
      <x:c r="B107" s="580"/>
      <x:c r="C107" s="580"/>
      <x:c r="D107" s="580"/>
      <x:c r="E107" s="580"/>
    </x:row>
    <x:row r="108">
      <x:c r="A108" s="580"/>
      <x:c r="B108" s="580"/>
      <x:c r="C108" s="580"/>
      <x:c r="D108" s="580"/>
      <x:c r="E108" s="580"/>
    </x:row>
    <x:row r="109">
      <x:c r="A109" s="580"/>
      <x:c r="B109" s="580"/>
      <x:c r="C109" s="580"/>
      <x:c r="D109" s="580"/>
      <x:c r="E109" s="580"/>
    </x:row>
    <x:row r="110">
      <x:c r="A110" s="580"/>
      <x:c r="B110" s="580"/>
      <x:c r="C110" s="580"/>
      <x:c r="D110" s="580"/>
      <x:c r="E110" s="580"/>
    </x:row>
    <x:row r="111">
      <x:c r="A111" s="580"/>
      <x:c r="B111" s="580"/>
      <x:c r="C111" s="580"/>
      <x:c r="D111" s="580"/>
      <x:c r="E111" s="580"/>
    </x:row>
    <x:row r="112">
      <x:c r="A112" s="580"/>
      <x:c r="B112" s="580"/>
      <x:c r="C112" s="580"/>
      <x:c r="D112" s="580"/>
      <x:c r="E112" s="580"/>
    </x:row>
    <x:row r="113">
      <x:c r="A113" s="580"/>
      <x:c r="B113" s="580"/>
      <x:c r="C113" s="580"/>
      <x:c r="D113" s="580"/>
      <x:c r="E113" s="580"/>
    </x:row>
    <x:row r="114">
      <x:c r="A114" s="580"/>
      <x:c r="B114" s="580"/>
      <x:c r="C114" s="580"/>
      <x:c r="D114" s="580"/>
      <x:c r="E114" s="580"/>
    </x:row>
    <x:row r="115">
      <x:c r="A115" s="580"/>
      <x:c r="B115" s="580"/>
      <x:c r="C115" s="580"/>
      <x:c r="D115" s="580"/>
      <x:c r="E115" s="580"/>
    </x:row>
    <x:row r="116">
      <x:c r="A116" s="580"/>
      <x:c r="B116" s="580"/>
      <x:c r="C116" s="580"/>
      <x:c r="D116" s="580"/>
      <x:c r="E116" s="580"/>
    </x:row>
    <x:row r="117">
      <x:c r="A117" s="580"/>
      <x:c r="B117" s="580"/>
      <x:c r="C117" s="580"/>
      <x:c r="D117" s="580"/>
      <x:c r="E117" s="580"/>
    </x:row>
    <x:row r="118">
      <x:c r="A118" s="580"/>
      <x:c r="B118" s="580"/>
      <x:c r="C118" s="580"/>
      <x:c r="D118" s="580"/>
      <x:c r="E118" s="580"/>
    </x:row>
    <x:row r="119">
      <x:c r="A119" s="580"/>
      <x:c r="B119" s="580"/>
      <x:c r="C119" s="580"/>
      <x:c r="D119" s="580"/>
      <x:c r="E119" s="580"/>
    </x:row>
    <x:row r="120">
      <x:c r="A120" s="580"/>
      <x:c r="B120" s="580"/>
      <x:c r="C120" s="580"/>
      <x:c r="D120" s="580"/>
      <x:c r="E120" s="580"/>
    </x:row>
    <x:row r="121">
      <x:c r="A121" s="580"/>
      <x:c r="B121" s="580"/>
      <x:c r="C121" s="580"/>
      <x:c r="D121" s="580"/>
      <x:c r="E121" s="580"/>
    </x:row>
    <x:row r="122">
      <x:c r="A122" s="580"/>
      <x:c r="B122" s="580"/>
      <x:c r="C122" s="580"/>
      <x:c r="D122" s="580"/>
      <x:c r="E122" s="580"/>
    </x:row>
    <x:row r="123">
      <x:c r="A123" s="580"/>
      <x:c r="B123" s="580"/>
      <x:c r="C123" s="580"/>
      <x:c r="D123" s="580"/>
      <x:c r="E123" s="580"/>
    </x:row>
    <x:row r="124">
      <x:c r="A124" s="580"/>
      <x:c r="B124" s="580"/>
      <x:c r="C124" s="580"/>
      <x:c r="D124" s="580"/>
      <x:c r="E124" s="580"/>
    </x:row>
    <x:row r="125">
      <x:c r="A125" s="580"/>
      <x:c r="B125" s="580"/>
      <x:c r="C125" s="580"/>
      <x:c r="D125" s="580"/>
      <x:c r="E125" s="580"/>
    </x:row>
    <x:row r="126">
      <x:c r="A126" s="580"/>
      <x:c r="B126" s="580"/>
      <x:c r="C126" s="580"/>
      <x:c r="D126" s="580"/>
      <x:c r="E126" s="580"/>
    </x:row>
    <x:row r="127">
      <x:c r="A127" s="580"/>
      <x:c r="B127" s="580"/>
      <x:c r="C127" s="580"/>
      <x:c r="D127" s="580"/>
      <x:c r="E127" s="580"/>
    </x:row>
    <x:row r="128">
      <x:c r="A128" s="580"/>
      <x:c r="B128" s="580"/>
      <x:c r="C128" s="580"/>
      <x:c r="D128" s="580"/>
      <x:c r="E128" s="580"/>
    </x:row>
    <x:row r="129">
      <x:c r="A129" s="580"/>
      <x:c r="B129" s="580"/>
      <x:c r="C129" s="580"/>
      <x:c r="D129" s="580"/>
      <x:c r="E129" s="580"/>
    </x:row>
    <x:row r="130">
      <x:c r="A130" s="580"/>
      <x:c r="B130" s="580"/>
      <x:c r="C130" s="580"/>
      <x:c r="D130" s="580"/>
      <x:c r="E130" s="580"/>
    </x:row>
    <x:row r="131">
      <x:c r="A131" s="580"/>
      <x:c r="B131" s="580"/>
      <x:c r="C131" s="580"/>
      <x:c r="D131" s="580"/>
      <x:c r="E131" s="580"/>
    </x:row>
    <x:row r="132">
      <x:c r="A132" s="580"/>
      <x:c r="B132" s="580"/>
      <x:c r="C132" s="580"/>
      <x:c r="D132" s="580"/>
      <x:c r="E132" s="580"/>
    </x:row>
    <x:row r="133">
      <x:c r="A133" s="580"/>
      <x:c r="B133" s="580"/>
      <x:c r="C133" s="580"/>
      <x:c r="D133" s="580"/>
      <x:c r="E133" s="580"/>
    </x:row>
    <x:row r="134">
      <x:c r="A134" s="580"/>
      <x:c r="B134" s="580"/>
      <x:c r="C134" s="580"/>
      <x:c r="D134" s="580"/>
      <x:c r="E134" s="580"/>
    </x:row>
    <x:row r="135">
      <x:c r="A135" s="580"/>
      <x:c r="B135" s="580"/>
      <x:c r="C135" s="580"/>
      <x:c r="D135" s="580"/>
      <x:c r="E135" s="580"/>
    </x:row>
    <x:row r="136">
      <x:c r="A136" s="580"/>
      <x:c r="B136" s="580"/>
      <x:c r="C136" s="580"/>
      <x:c r="D136" s="580"/>
      <x:c r="E136" s="580"/>
    </x:row>
    <x:row r="137">
      <x:c r="A137" s="580"/>
      <x:c r="B137" s="580"/>
      <x:c r="C137" s="580"/>
      <x:c r="D137" s="580"/>
      <x:c r="E137" s="580"/>
    </x:row>
    <x:row r="138">
      <x:c r="A138" s="580"/>
      <x:c r="B138" s="580"/>
      <x:c r="C138" s="580"/>
      <x:c r="D138" s="580"/>
      <x:c r="E138" s="580"/>
    </x:row>
    <x:row r="139">
      <x:c r="A139" s="580"/>
      <x:c r="B139" s="580"/>
      <x:c r="C139" s="580"/>
      <x:c r="D139" s="580"/>
      <x:c r="E139" s="580"/>
    </x:row>
    <x:row r="140">
      <x:c r="A140" s="580"/>
      <x:c r="B140" s="580"/>
      <x:c r="C140" s="580"/>
      <x:c r="D140" s="580"/>
      <x:c r="E140" s="580"/>
    </x:row>
    <x:row r="141">
      <x:c r="A141" s="580"/>
      <x:c r="B141" s="580"/>
      <x:c r="C141" s="580"/>
      <x:c r="D141" s="580"/>
      <x:c r="E141" s="580"/>
    </x:row>
    <x:row r="142">
      <x:c r="A142" s="580"/>
      <x:c r="B142" s="580"/>
      <x:c r="C142" s="580"/>
      <x:c r="D142" s="580"/>
      <x:c r="E142" s="580"/>
    </x:row>
    <x:row r="143">
      <x:c r="A143" s="580"/>
      <x:c r="B143" s="580"/>
      <x:c r="C143" s="580"/>
      <x:c r="D143" s="580"/>
      <x:c r="E143" s="580"/>
    </x:row>
    <x:row r="144">
      <x:c r="A144" s="580"/>
      <x:c r="B144" s="580"/>
      <x:c r="C144" s="580"/>
      <x:c r="D144" s="580"/>
      <x:c r="E144" s="580"/>
    </x:row>
    <x:row r="145">
      <x:c r="A145" s="580"/>
      <x:c r="B145" s="580"/>
      <x:c r="C145" s="580"/>
      <x:c r="D145" s="580"/>
      <x:c r="E145" s="580"/>
    </x:row>
    <x:row r="146">
      <x:c r="A146" s="580"/>
      <x:c r="B146" s="580"/>
      <x:c r="C146" s="580"/>
      <x:c r="D146" s="580"/>
      <x:c r="E146" s="580"/>
    </x:row>
    <x:row r="147">
      <x:c r="A147" s="580"/>
      <x:c r="B147" s="580"/>
      <x:c r="C147" s="580"/>
      <x:c r="D147" s="580"/>
      <x:c r="E147" s="580"/>
    </x:row>
    <x:row r="148">
      <x:c r="A148" s="580"/>
      <x:c r="B148" s="580"/>
      <x:c r="C148" s="580"/>
      <x:c r="D148" s="580"/>
      <x:c r="E148" s="580"/>
    </x:row>
    <x:row r="149">
      <x:c r="A149" s="580"/>
      <x:c r="B149" s="580"/>
      <x:c r="C149" s="580"/>
      <x:c r="D149" s="580"/>
      <x:c r="E149" s="580"/>
    </x:row>
    <x:row r="150">
      <x:c r="A150" s="580"/>
      <x:c r="B150" s="580"/>
      <x:c r="C150" s="580"/>
      <x:c r="D150" s="580"/>
      <x:c r="E150" s="580"/>
    </x:row>
    <x:row r="151">
      <x:c r="A151" s="580"/>
      <x:c r="B151" s="580"/>
      <x:c r="C151" s="580"/>
      <x:c r="D151" s="580"/>
      <x:c r="E151" s="580"/>
    </x:row>
    <x:row r="152">
      <x:c r="A152" s="580"/>
      <x:c r="B152" s="580"/>
      <x:c r="C152" s="580"/>
      <x:c r="D152" s="580"/>
      <x:c r="E152" s="580"/>
    </x:row>
    <x:row r="153">
      <x:c r="A153" s="580"/>
      <x:c r="B153" s="580"/>
      <x:c r="C153" s="580"/>
      <x:c r="D153" s="580"/>
      <x:c r="E153" s="580"/>
    </x:row>
    <x:row r="154">
      <x:c r="A154" s="580"/>
      <x:c r="B154" s="580"/>
      <x:c r="C154" s="580"/>
      <x:c r="D154" s="580"/>
      <x:c r="E154" s="580"/>
    </x:row>
    <x:row r="155">
      <x:c r="A155" s="580"/>
      <x:c r="B155" s="580"/>
      <x:c r="C155" s="580"/>
      <x:c r="D155" s="580"/>
      <x:c r="E155" s="580"/>
    </x:row>
    <x:row r="156">
      <x:c r="A156" s="580"/>
      <x:c r="B156" s="580"/>
      <x:c r="C156" s="580"/>
      <x:c r="D156" s="580"/>
      <x:c r="E156" s="580"/>
    </x:row>
    <x:row r="157">
      <x:c r="A157" s="580"/>
      <x:c r="B157" s="580"/>
      <x:c r="C157" s="580"/>
      <x:c r="D157" s="580"/>
      <x:c r="E157" s="580"/>
    </x:row>
    <x:row r="158">
      <x:c r="A158" s="580"/>
      <x:c r="B158" s="580"/>
      <x:c r="C158" s="580"/>
      <x:c r="D158" s="580"/>
      <x:c r="E158" s="580"/>
    </x:row>
    <x:row r="159">
      <x:c r="A159" s="580"/>
      <x:c r="B159" s="580"/>
      <x:c r="C159" s="580"/>
      <x:c r="D159" s="580"/>
      <x:c r="E159" s="580"/>
    </x:row>
    <x:row r="160">
      <x:c r="A160" s="580"/>
      <x:c r="B160" s="580"/>
      <x:c r="C160" s="580"/>
      <x:c r="D160" s="580"/>
      <x:c r="E160" s="580"/>
    </x:row>
    <x:row r="161">
      <x:c r="A161" s="580"/>
      <x:c r="B161" s="580"/>
      <x:c r="C161" s="580"/>
      <x:c r="D161" s="580"/>
      <x:c r="E161" s="580"/>
    </x:row>
    <x:row r="162">
      <x:c r="A162" s="580"/>
      <x:c r="B162" s="580"/>
      <x:c r="C162" s="580"/>
      <x:c r="D162" s="580"/>
      <x:c r="E162" s="580"/>
    </x:row>
    <x:row r="163">
      <x:c r="A163" s="580"/>
      <x:c r="B163" s="580"/>
      <x:c r="C163" s="580"/>
      <x:c r="D163" s="580"/>
      <x:c r="E163" s="580"/>
    </x:row>
    <x:row r="164">
      <x:c r="A164" s="580"/>
      <x:c r="B164" s="580"/>
      <x:c r="C164" s="580"/>
      <x:c r="D164" s="580"/>
      <x:c r="E164" s="580"/>
    </x:row>
    <x:row r="165">
      <x:c r="A165" s="580"/>
      <x:c r="B165" s="580"/>
      <x:c r="C165" s="580"/>
      <x:c r="D165" s="580"/>
      <x:c r="E165" s="580"/>
    </x:row>
    <x:row r="166">
      <x:c r="A166" s="580"/>
      <x:c r="B166" s="580"/>
      <x:c r="C166" s="580"/>
      <x:c r="D166" s="580"/>
      <x:c r="E166" s="580"/>
    </x:row>
    <x:row r="167">
      <x:c r="A167" s="580"/>
      <x:c r="B167" s="580"/>
      <x:c r="C167" s="580"/>
      <x:c r="D167" s="580"/>
      <x:c r="E167" s="580"/>
    </x:row>
    <x:row r="168">
      <x:c r="A168" s="580"/>
      <x:c r="B168" s="580"/>
      <x:c r="C168" s="580"/>
      <x:c r="D168" s="580"/>
      <x:c r="E168" s="580"/>
    </x:row>
    <x:row r="169">
      <x:c r="A169" s="580"/>
      <x:c r="B169" s="580"/>
      <x:c r="C169" s="580"/>
      <x:c r="D169" s="580"/>
      <x:c r="E169" s="580"/>
    </x:row>
    <x:row r="170">
      <x:c r="A170" s="580"/>
      <x:c r="B170" s="580"/>
      <x:c r="C170" s="580"/>
      <x:c r="D170" s="580"/>
      <x:c r="E170" s="580"/>
    </x:row>
    <x:row r="171">
      <x:c r="A171" s="580"/>
      <x:c r="B171" s="580"/>
      <x:c r="C171" s="580"/>
      <x:c r="D171" s="580"/>
      <x:c r="E171" s="580"/>
    </x:row>
    <x:row r="172">
      <x:c r="A172" s="580"/>
      <x:c r="B172" s="580"/>
      <x:c r="C172" s="580"/>
      <x:c r="D172" s="580"/>
      <x:c r="E172" s="580"/>
    </x:row>
    <x:row r="173">
      <x:c r="A173" s="580"/>
      <x:c r="B173" s="580"/>
      <x:c r="C173" s="580"/>
      <x:c r="D173" s="580"/>
      <x:c r="E173" s="580"/>
    </x:row>
    <x:row r="174">
      <x:c r="A174" s="580"/>
      <x:c r="B174" s="580"/>
      <x:c r="C174" s="580"/>
      <x:c r="D174" s="580"/>
      <x:c r="E174" s="580"/>
    </x:row>
    <x:row r="175">
      <x:c r="A175" s="580"/>
      <x:c r="B175" s="580"/>
      <x:c r="C175" s="580"/>
      <x:c r="D175" s="580"/>
      <x:c r="E175" s="580"/>
    </x:row>
    <x:row r="176">
      <x:c r="A176" s="580"/>
      <x:c r="B176" s="580"/>
      <x:c r="C176" s="580"/>
      <x:c r="D176" s="580"/>
      <x:c r="E176" s="580"/>
    </x:row>
    <x:row r="177">
      <x:c r="A177" s="580"/>
      <x:c r="B177" s="580"/>
      <x:c r="C177" s="580"/>
      <x:c r="D177" s="580"/>
      <x:c r="E177" s="580"/>
    </x:row>
    <x:row r="178">
      <x:c r="A178" s="580"/>
      <x:c r="B178" s="580"/>
      <x:c r="C178" s="580"/>
      <x:c r="D178" s="580"/>
      <x:c r="E178" s="580"/>
    </x:row>
    <x:row r="179">
      <x:c r="A179" s="580"/>
      <x:c r="B179" s="580"/>
      <x:c r="C179" s="580"/>
      <x:c r="D179" s="580"/>
      <x:c r="E179" s="580"/>
    </x:row>
    <x:row r="180">
      <x:c r="A180" s="580"/>
      <x:c r="B180" s="580"/>
      <x:c r="C180" s="580"/>
      <x:c r="D180" s="580"/>
      <x:c r="E180" s="580"/>
    </x:row>
    <x:row r="181">
      <x:c r="A181" s="580"/>
      <x:c r="B181" s="580"/>
      <x:c r="C181" s="580"/>
      <x:c r="D181" s="580"/>
      <x:c r="E181" s="580"/>
    </x:row>
    <x:row r="182">
      <x:c r="A182" s="580"/>
      <x:c r="B182" s="580"/>
      <x:c r="C182" s="580"/>
      <x:c r="D182" s="580"/>
      <x:c r="E182" s="580"/>
    </x:row>
    <x:row r="183">
      <x:c r="A183" s="580"/>
      <x:c r="B183" s="580"/>
      <x:c r="C183" s="580"/>
      <x:c r="D183" s="580"/>
      <x:c r="E183" s="580"/>
    </x:row>
    <x:row r="184">
      <x:c r="A184" s="580"/>
      <x:c r="B184" s="580"/>
      <x:c r="C184" s="580"/>
      <x:c r="D184" s="580"/>
      <x:c r="E184" s="580"/>
    </x:row>
    <x:row r="185">
      <x:c r="A185" s="580"/>
      <x:c r="B185" s="580"/>
      <x:c r="C185" s="580"/>
      <x:c r="D185" s="580"/>
      <x:c r="E185" s="580"/>
    </x:row>
    <x:row r="186">
      <x:c r="A186" s="580"/>
      <x:c r="B186" s="580"/>
      <x:c r="C186" s="580"/>
      <x:c r="D186" s="580"/>
      <x:c r="E186" s="580"/>
    </x:row>
    <x:row r="187">
      <x:c r="A187" s="580"/>
      <x:c r="B187" s="580"/>
      <x:c r="C187" s="580"/>
      <x:c r="D187" s="580"/>
      <x:c r="E187" s="580"/>
    </x:row>
    <x:row r="188">
      <x:c r="A188" s="580"/>
      <x:c r="B188" s="580"/>
      <x:c r="C188" s="580"/>
      <x:c r="D188" s="580"/>
      <x:c r="E188" s="580"/>
    </x:row>
    <x:row r="189">
      <x:c r="A189" s="580"/>
      <x:c r="B189" s="580"/>
      <x:c r="C189" s="580"/>
      <x:c r="D189" s="580"/>
      <x:c r="E189" s="580"/>
    </x:row>
    <x:row r="190">
      <x:c r="A190" s="580"/>
      <x:c r="B190" s="580"/>
      <x:c r="C190" s="580"/>
      <x:c r="D190" s="580"/>
      <x:c r="E190" s="580"/>
    </x:row>
    <x:row r="191">
      <x:c r="A191" s="580"/>
      <x:c r="B191" s="580"/>
      <x:c r="C191" s="580"/>
      <x:c r="D191" s="580"/>
      <x:c r="E191" s="580"/>
    </x:row>
    <x:row r="192">
      <x:c r="A192" s="580"/>
      <x:c r="B192" s="580"/>
      <x:c r="C192" s="580"/>
      <x:c r="D192" s="580"/>
      <x:c r="E192" s="580"/>
    </x:row>
    <x:row r="193">
      <x:c r="A193" s="580"/>
      <x:c r="B193" s="580"/>
      <x:c r="C193" s="580"/>
      <x:c r="D193" s="580"/>
      <x:c r="E193" s="580"/>
    </x:row>
    <x:row r="194">
      <x:c r="A194" s="580"/>
      <x:c r="B194" s="580"/>
      <x:c r="C194" s="580"/>
      <x:c r="D194" s="580"/>
      <x:c r="E194" s="580"/>
    </x:row>
    <x:row r="195">
      <x:c r="A195" s="580"/>
      <x:c r="B195" s="580"/>
      <x:c r="C195" s="580"/>
      <x:c r="D195" s="580"/>
      <x:c r="E195" s="580"/>
    </x:row>
    <x:row r="196">
      <x:c r="A196" s="580"/>
      <x:c r="B196" s="580"/>
      <x:c r="C196" s="580"/>
      <x:c r="D196" s="580"/>
      <x:c r="E196" s="580"/>
    </x:row>
    <x:row r="197">
      <x:c r="A197" s="580"/>
      <x:c r="B197" s="580"/>
      <x:c r="C197" s="580"/>
      <x:c r="D197" s="580"/>
      <x:c r="E197" s="580"/>
    </x:row>
    <x:row r="198">
      <x:c r="A198" s="580"/>
      <x:c r="B198" s="580"/>
      <x:c r="C198" s="580"/>
      <x:c r="D198" s="580"/>
      <x:c r="E198" s="580"/>
    </x:row>
    <x:row r="199">
      <x:c r="A199" s="580"/>
      <x:c r="B199" s="580"/>
      <x:c r="C199" s="580"/>
      <x:c r="D199" s="580"/>
      <x:c r="E199" s="580"/>
    </x:row>
    <x:row r="200">
      <x:c r="A200" s="580"/>
      <x:c r="B200" s="580"/>
      <x:c r="C200" s="580"/>
      <x:c r="D200" s="580"/>
      <x:c r="E200" s="580"/>
    </x:row>
    <x:row r="201">
      <x:c r="A201" s="580"/>
      <x:c r="B201" s="580"/>
      <x:c r="C201" s="580"/>
      <x:c r="D201" s="580"/>
      <x:c r="E201" s="580"/>
    </x:row>
    <x:row r="202">
      <x:c r="A202" s="580"/>
      <x:c r="B202" s="580"/>
      <x:c r="C202" s="580"/>
      <x:c r="D202" s="580"/>
      <x:c r="E202" s="580"/>
    </x:row>
    <x:row r="203">
      <x:c r="A203" s="580"/>
      <x:c r="B203" s="580"/>
      <x:c r="C203" s="580"/>
      <x:c r="D203" s="580"/>
      <x:c r="E203" s="580"/>
    </x:row>
    <x:row r="204">
      <x:c r="A204" s="580"/>
      <x:c r="B204" s="580"/>
      <x:c r="C204" s="580"/>
      <x:c r="D204" s="580"/>
      <x:c r="E204" s="580"/>
    </x:row>
    <x:row r="205">
      <x:c r="A205" s="580"/>
      <x:c r="B205" s="580"/>
      <x:c r="C205" s="580"/>
      <x:c r="D205" s="580"/>
      <x:c r="E205" s="580"/>
    </x:row>
    <x:row r="206">
      <x:c r="A206" s="580"/>
      <x:c r="B206" s="580"/>
      <x:c r="C206" s="580"/>
      <x:c r="D206" s="580"/>
      <x:c r="E206" s="580"/>
    </x:row>
    <x:row r="207">
      <x:c r="A207" s="580"/>
      <x:c r="B207" s="580"/>
      <x:c r="C207" s="580"/>
      <x:c r="D207" s="580"/>
      <x:c r="E207" s="580"/>
    </x:row>
    <x:row r="208">
      <x:c r="A208" s="580"/>
      <x:c r="B208" s="580"/>
      <x:c r="C208" s="580"/>
      <x:c r="D208" s="580"/>
      <x:c r="E208" s="580"/>
    </x:row>
    <x:row r="209">
      <x:c r="A209" s="580"/>
      <x:c r="B209" s="580"/>
      <x:c r="C209" s="580"/>
      <x:c r="D209" s="580"/>
      <x:c r="E209" s="580"/>
    </x:row>
    <x:row r="210">
      <x:c r="A210" s="580"/>
      <x:c r="B210" s="580"/>
      <x:c r="C210" s="580"/>
      <x:c r="D210" s="580"/>
      <x:c r="E210" s="580"/>
    </x:row>
    <x:row r="211">
      <x:c r="A211" s="580"/>
      <x:c r="B211" s="580"/>
      <x:c r="C211" s="580"/>
      <x:c r="D211" s="580"/>
      <x:c r="E211" s="580"/>
    </x:row>
    <x:row r="212">
      <x:c r="A212" s="580"/>
      <x:c r="B212" s="580"/>
      <x:c r="C212" s="580"/>
      <x:c r="D212" s="580"/>
      <x:c r="E212" s="580"/>
    </x:row>
    <x:row r="213">
      <x:c r="A213" s="580"/>
      <x:c r="B213" s="580"/>
      <x:c r="C213" s="580"/>
      <x:c r="D213" s="580"/>
      <x:c r="E213" s="580"/>
    </x:row>
    <x:row r="214">
      <x:c r="A214" s="580"/>
      <x:c r="B214" s="580"/>
      <x:c r="C214" s="580"/>
      <x:c r="D214" s="580"/>
      <x:c r="E214" s="580"/>
    </x:row>
    <x:row r="215">
      <x:c r="A215" s="580"/>
      <x:c r="B215" s="580"/>
      <x:c r="C215" s="580"/>
      <x:c r="D215" s="580"/>
      <x:c r="E215" s="580"/>
    </x:row>
    <x:row r="216">
      <x:c r="A216" s="580"/>
      <x:c r="B216" s="580"/>
      <x:c r="C216" s="580"/>
      <x:c r="D216" s="580"/>
      <x:c r="E216" s="580"/>
    </x:row>
    <x:row r="217">
      <x:c r="A217" s="580"/>
      <x:c r="B217" s="580"/>
      <x:c r="C217" s="580"/>
      <x:c r="D217" s="580"/>
      <x:c r="E217" s="580"/>
    </x:row>
    <x:row r="218">
      <x:c r="A218" s="580"/>
      <x:c r="B218" s="580"/>
      <x:c r="C218" s="580"/>
      <x:c r="D218" s="580"/>
      <x:c r="E218" s="580"/>
    </x:row>
    <x:row r="219">
      <x:c r="A219" s="580"/>
      <x:c r="B219" s="580"/>
      <x:c r="C219" s="580"/>
      <x:c r="D219" s="580"/>
      <x:c r="E219" s="580"/>
    </x:row>
    <x:row r="220">
      <x:c r="A220" s="580"/>
      <x:c r="B220" s="580"/>
      <x:c r="C220" s="580"/>
      <x:c r="D220" s="580"/>
      <x:c r="E220" s="580"/>
    </x:row>
    <x:row r="221">
      <x:c r="A221" s="580"/>
      <x:c r="B221" s="580"/>
      <x:c r="C221" s="580"/>
      <x:c r="D221" s="580"/>
      <x:c r="E221" s="580"/>
    </x:row>
    <x:row r="222">
      <x:c r="A222" s="580"/>
      <x:c r="B222" s="580"/>
      <x:c r="C222" s="580"/>
      <x:c r="D222" s="580"/>
      <x:c r="E222" s="580"/>
    </x:row>
    <x:row r="223">
      <x:c r="A223" s="580"/>
      <x:c r="B223" s="580"/>
      <x:c r="C223" s="580"/>
      <x:c r="D223" s="580"/>
      <x:c r="E223" s="580"/>
    </x:row>
    <x:row r="224">
      <x:c r="A224" s="580"/>
      <x:c r="B224" s="580"/>
      <x:c r="C224" s="580"/>
      <x:c r="D224" s="580"/>
      <x:c r="E224" s="580"/>
    </x:row>
    <x:row r="225">
      <x:c r="A225" s="580"/>
      <x:c r="B225" s="580"/>
      <x:c r="C225" s="580"/>
      <x:c r="D225" s="580"/>
      <x:c r="E225" s="580"/>
    </x:row>
    <x:row r="226">
      <x:c r="A226" s="580"/>
      <x:c r="B226" s="580"/>
      <x:c r="C226" s="580"/>
      <x:c r="D226" s="580"/>
      <x:c r="E226" s="580"/>
    </x:row>
    <x:row r="227">
      <x:c r="A227" s="580"/>
      <x:c r="B227" s="580"/>
      <x:c r="C227" s="580"/>
      <x:c r="D227" s="580"/>
      <x:c r="E227" s="580"/>
    </x:row>
    <x:row r="228">
      <x:c r="A228" s="580"/>
      <x:c r="B228" s="580"/>
      <x:c r="C228" s="580"/>
      <x:c r="D228" s="580"/>
      <x:c r="E228" s="580"/>
    </x:row>
    <x:row r="229">
      <x:c r="A229" s="580"/>
      <x:c r="B229" s="580"/>
      <x:c r="C229" s="580"/>
      <x:c r="D229" s="580"/>
      <x:c r="E229" s="580"/>
    </x:row>
    <x:row r="230">
      <x:c r="A230" s="580"/>
      <x:c r="B230" s="580"/>
      <x:c r="C230" s="580"/>
      <x:c r="D230" s="580"/>
      <x:c r="E230" s="580"/>
    </x:row>
    <x:row r="231">
      <x:c r="A231" s="580"/>
      <x:c r="B231" s="580"/>
      <x:c r="C231" s="580"/>
      <x:c r="D231" s="580"/>
      <x:c r="E231" s="580"/>
    </x:row>
    <x:row r="232">
      <x:c r="A232" s="580"/>
      <x:c r="B232" s="580"/>
      <x:c r="C232" s="580"/>
      <x:c r="D232" s="580"/>
      <x:c r="E232" s="580"/>
    </x:row>
    <x:row r="233">
      <x:c r="A233" s="580"/>
      <x:c r="B233" s="580"/>
      <x:c r="C233" s="580"/>
      <x:c r="D233" s="580"/>
      <x:c r="E233" s="580"/>
    </x:row>
    <x:row r="234">
      <x:c r="A234" s="580"/>
      <x:c r="B234" s="580"/>
      <x:c r="C234" s="580"/>
      <x:c r="D234" s="580"/>
      <x:c r="E234" s="580"/>
    </x:row>
    <x:row r="235">
      <x:c r="A235" s="580"/>
      <x:c r="B235" s="580"/>
      <x:c r="C235" s="580"/>
      <x:c r="D235" s="580"/>
      <x:c r="E235" s="580"/>
    </x:row>
    <x:row r="236">
      <x:c r="A236" s="580"/>
      <x:c r="B236" s="580"/>
      <x:c r="C236" s="580"/>
      <x:c r="D236" s="580"/>
      <x:c r="E236" s="580"/>
    </x:row>
    <x:row r="237">
      <x:c r="A237" s="580"/>
      <x:c r="B237" s="580"/>
      <x:c r="C237" s="580"/>
      <x:c r="D237" s="580"/>
      <x:c r="E237" s="580"/>
    </x:row>
    <x:row r="238">
      <x:c r="A238" s="580"/>
      <x:c r="B238" s="580"/>
      <x:c r="C238" s="580"/>
      <x:c r="D238" s="580"/>
      <x:c r="E238" s="580"/>
    </x:row>
    <x:row r="239">
      <x:c r="A239" s="580"/>
      <x:c r="B239" s="580"/>
      <x:c r="C239" s="580"/>
      <x:c r="D239" s="580"/>
      <x:c r="E239" s="580"/>
    </x:row>
    <x:row r="240">
      <x:c r="A240" s="580"/>
      <x:c r="B240" s="580"/>
      <x:c r="C240" s="580"/>
      <x:c r="D240" s="580"/>
      <x:c r="E240" s="580"/>
    </x:row>
  </x:sheetData>
  <x:mergeCells>
    <x:mergeCell ref="A3:E3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18" hidden="0" customWidth="1"/>
    <x:col min="4" max="4" width="42" hidden="0" customWidth="1"/>
  </x:cols>
  <x:sheetData>
    <x:row r="1">
      <x:c r="A1" s="583" t="str">
        <x:v>🧪 Travel OS 1.0 RC4 QA</x:v>
      </x:c>
      <x:c r="B1" s="583"/>
      <x:c r="C1" s="583"/>
      <x:c r="D1" s="583"/>
    </x:row>
    <x:row r="2">
      <x:c r="A2" s="583"/>
      <x:c r="B2" s="583"/>
      <x:c r="C2" s="583"/>
      <x:c r="D2" s="583"/>
    </x:row>
    <x:row r="3">
      <x:c r="A3" s="584" t="str">
        <x:v>Run this on the actual family iPhones after deploying RC4.</x:v>
      </x:c>
      <x:c r="B3" s="584"/>
      <x:c r="C3" s="584"/>
      <x:c r="D3" s="584"/>
    </x:row>
    <x:row r="4">
      <x:c r="A4" s="580"/>
      <x:c r="B4" s="580"/>
      <x:c r="C4" s="580"/>
      <x:c r="D4" s="580"/>
    </x:row>
    <x:row r="5">
      <x:c r="A5" s="587" t="str">
        <x:v>Test</x:v>
      </x:c>
      <x:c r="B5" s="587" t="str">
        <x:v>Expected Result</x:v>
      </x:c>
      <x:c r="C5" s="587" t="str">
        <x:v>Status</x:v>
      </x:c>
      <x:c r="D5" s="587" t="str">
        <x:v>Notes</x:v>
      </x:c>
    </x:row>
    <x:row r="6">
      <x:c r="A6" s="588" t="str">
        <x:v>First launch</x:v>
      </x:c>
      <x:c r="B6" s="588" t="str">
        <x:v>Traveler onboarding appears once</x:v>
      </x:c>
      <x:c r="C6" s="588" t="str">
        <x:v>Not Started</x:v>
      </x:c>
      <x:c r="D6" s="588" t="str"/>
    </x:row>
    <x:row r="7">
      <x:c r="A7" s="588" t="str">
        <x:v>Traveler preference</x:v>
      </x:c>
      <x:c r="B7" s="588" t="str">
        <x:v>Selected traveler persists after closing app</x:v>
      </x:c>
      <x:c r="C7" s="588" t="str">
        <x:v>Not Started</x:v>
      </x:c>
      <x:c r="D7" s="588" t="str"/>
    </x:row>
    <x:row r="8">
      <x:c r="A8" s="588" t="str">
        <x:v>Large text</x:v>
      </x:c>
      <x:c r="B8" s="588" t="str">
        <x:v>Text and menus become larger without clipping</x:v>
      </x:c>
      <x:c r="C8" s="588" t="str">
        <x:v>Not Started</x:v>
      </x:c>
      <x:c r="D8" s="588" t="str"/>
    </x:row>
    <x:row r="9">
      <x:c r="A9" s="588" t="str">
        <x:v>Smart Mode before trip</x:v>
      </x:c>
      <x:c r="B9" s="588" t="str">
        <x:v>Home recommends Before Trip</x:v>
      </x:c>
      <x:c r="C9" s="588" t="str">
        <x:v>Not Started</x:v>
      </x:c>
      <x:c r="D9" s="588" t="str"/>
    </x:row>
    <x:row r="10">
      <x:c r="A10" s="588" t="str">
        <x:v>Travel Timeline</x:v>
      </x:c>
      <x:c r="B10" s="588" t="str">
        <x:v>Morning, afternoon, evening appear on Home and Today</x:v>
      </x:c>
      <x:c r="C10" s="588" t="str">
        <x:v>Not Started</x:v>
      </x:c>
      <x:c r="D10" s="588" t="str"/>
    </x:row>
    <x:row r="11">
      <x:c r="A11" s="588" t="str">
        <x:v>Bottom navigation</x:v>
      </x:c>
      <x:c r="B11" s="588" t="str">
        <x:v>Home, Today, Hilda, Travelers, SOS, More work</x:v>
      </x:c>
      <x:c r="C11" s="588" t="str">
        <x:v>Not Started</x:v>
      </x:c>
      <x:c r="D11" s="588" t="str"/>
    </x:row>
    <x:row r="12">
      <x:c r="A12" s="588" t="str">
        <x:v>Drawer swipe</x:v>
      </x:c>
      <x:c r="B12" s="588" t="str">
        <x:v>Left-edge swipe opens full menu</x:v>
      </x:c>
      <x:c r="C12" s="588" t="str">
        <x:v>Not Started</x:v>
      </x:c>
      <x:c r="D12" s="588" t="str"/>
    </x:row>
    <x:row r="13">
      <x:c r="A13" s="588" t="str">
        <x:v>Traveler swipe</x:v>
      </x:c>
      <x:c r="B13" s="588" t="str">
        <x:v>David ↔ Noelle ↔ Nick ↔ Hilda</x:v>
      </x:c>
      <x:c r="C13" s="588" t="str">
        <x:v>Not Started</x:v>
      </x:c>
      <x:c r="D13" s="588" t="str"/>
    </x:row>
    <x:row r="14">
      <x:c r="A14" s="588" t="str">
        <x:v>Destination swipe</x:v>
      </x:c>
      <x:c r="B14" s="588" t="str">
        <x:v>Tokyo ↔ Hakone ↔ Kyoto ↔ Osaka ↔ Nara</x:v>
      </x:c>
      <x:c r="C14" s="588" t="str">
        <x:v>Not Started</x:v>
      </x:c>
      <x:c r="D14" s="588" t="str"/>
    </x:row>
    <x:row r="15">
      <x:c r="A15" s="588" t="str">
        <x:v>Photo Quest</x:v>
      </x:c>
      <x:c r="B15" s="588" t="str">
        <x:v>Checklist persists after reload</x:v>
      </x:c>
      <x:c r="C15" s="588" t="str">
        <x:v>Not Started</x:v>
      </x:c>
      <x:c r="D15" s="588" t="str"/>
    </x:row>
    <x:row r="16">
      <x:c r="A16" s="588" t="str">
        <x:v>Money Hub</x:v>
      </x:c>
      <x:c r="B16" s="588" t="str">
        <x:v>Live/cached converter and cash helper work</x:v>
      </x:c>
      <x:c r="C16" s="588" t="str">
        <x:v>Not Started</x:v>
      </x:c>
      <x:c r="D16" s="588" t="str"/>
    </x:row>
    <x:row r="17">
      <x:c r="A17" s="588" t="str">
        <x:v>Offline shell</x:v>
      </x:c>
      <x:c r="B17" s="588" t="str">
        <x:v>App relaunches in Airplane Mode after initial use</x:v>
      </x:c>
      <x:c r="C17" s="588" t="str">
        <x:v>Not Started</x:v>
      </x:c>
      <x:c r="D17" s="588" t="str"/>
    </x:row>
    <x:row r="18">
      <x:c r="A18" s="588" t="str">
        <x:v>Offline essentials</x:v>
      </x:c>
      <x:c r="B18" s="588" t="str">
        <x:v>Today, Hilda, SOS, Lost, Phrases, Suica available</x:v>
      </x:c>
      <x:c r="C18" s="588" t="str">
        <x:v>Not Started</x:v>
      </x:c>
      <x:c r="D18" s="588" t="str"/>
    </x:row>
    <x:row r="19">
      <x:c r="A19" s="588" t="str">
        <x:v>Loading states</x:v>
      </x:c>
      <x:c r="B19" s="588" t="str">
        <x:v>Slow sections show skeletons instead of blank content</x:v>
      </x:c>
      <x:c r="C19" s="588" t="str">
        <x:v>Not Started</x:v>
      </x:c>
      <x:c r="D19" s="588" t="str"/>
    </x:row>
    <x:row r="20">
      <x:c r="A20" s="588" t="str">
        <x:v>Hilda test</x:v>
      </x:c>
      <x:c r="B20" s="588" t="str">
        <x:v>Hilda finds Today, Hotel, Bathroom, Lost, SOS unaided</x:v>
      </x:c>
      <x:c r="C20" s="588" t="str">
        <x:v>Not Started</x:v>
      </x:c>
      <x:c r="D20" s="588" t="str"/>
    </x:row>
    <x:row r="21">
      <x:c r="A21" s="588" t="str">
        <x:v>API test</x:v>
      </x:c>
      <x:c r="B21" s="588" t="str">
        <x:v>/api?action=core returns ok:true JSON</x:v>
      </x:c>
      <x:c r="C21" s="588" t="str">
        <x:v>Not Started</x:v>
      </x:c>
      <x:c r="D21" s="588" t="str"/>
    </x:row>
    <x:row r="22">
      <x:c r="A22" s="588" t="str">
        <x:v>FX test</x:v>
      </x:c>
      <x:c r="B22" s="588" t="str">
        <x:v>/fx returns rate/source/updatedAt</x:v>
      </x:c>
      <x:c r="C22" s="588" t="str">
        <x:v>Not Started</x:v>
      </x:c>
      <x:c r="D22" s="588" t="str"/>
    </x:row>
    <x:row r="23">
      <x:c r="A23" s="580"/>
      <x:c r="B23" s="580"/>
      <x:c r="C23" s="580"/>
      <x:c r="D23" s="580"/>
    </x:row>
    <x:row r="24">
      <x:c r="A24" s="580"/>
      <x:c r="B24" s="580"/>
      <x:c r="C24" s="580"/>
      <x:c r="D24" s="580"/>
    </x:row>
    <x:row r="25">
      <x:c r="A25" s="580"/>
      <x:c r="B25" s="580"/>
      <x:c r="C25" s="580"/>
      <x:c r="D25" s="580"/>
    </x:row>
    <x:row r="26">
      <x:c r="A26" s="580"/>
      <x:c r="B26" s="580"/>
      <x:c r="C26" s="580"/>
      <x:c r="D26" s="580"/>
    </x:row>
    <x:row r="27">
      <x:c r="A27" s="580"/>
      <x:c r="B27" s="580"/>
      <x:c r="C27" s="580"/>
      <x:c r="D27" s="580"/>
    </x:row>
    <x:row r="28">
      <x:c r="A28" s="580"/>
      <x:c r="B28" s="580"/>
      <x:c r="C28" s="580"/>
      <x:c r="D28" s="580"/>
    </x:row>
    <x:row r="29">
      <x:c r="A29" s="580"/>
      <x:c r="B29" s="580"/>
      <x:c r="C29" s="580"/>
      <x:c r="D29" s="580"/>
    </x:row>
    <x:row r="30">
      <x:c r="A30" s="580"/>
      <x:c r="B30" s="580"/>
      <x:c r="C30" s="580"/>
      <x:c r="D30" s="580"/>
    </x:row>
    <x:row r="31">
      <x:c r="A31" s="580"/>
      <x:c r="B31" s="580"/>
      <x:c r="C31" s="580"/>
      <x:c r="D31" s="580"/>
    </x:row>
    <x:row r="32">
      <x:c r="A32" s="580"/>
      <x:c r="B32" s="580"/>
      <x:c r="C32" s="580"/>
      <x:c r="D32" s="580"/>
    </x:row>
    <x:row r="33">
      <x:c r="A33" s="580"/>
      <x:c r="B33" s="580"/>
      <x:c r="C33" s="580"/>
      <x:c r="D33" s="580"/>
    </x:row>
    <x:row r="34">
      <x:c r="A34" s="580"/>
      <x:c r="B34" s="580"/>
      <x:c r="C34" s="580"/>
      <x:c r="D34" s="580"/>
    </x:row>
    <x:row r="35">
      <x:c r="A35" s="580"/>
      <x:c r="B35" s="580"/>
      <x:c r="C35" s="580"/>
      <x:c r="D35" s="580"/>
    </x:row>
    <x:row r="36">
      <x:c r="A36" s="580"/>
      <x:c r="B36" s="580"/>
      <x:c r="C36" s="580"/>
      <x:c r="D36" s="580"/>
    </x:row>
    <x:row r="37">
      <x:c r="A37" s="580"/>
      <x:c r="B37" s="580"/>
      <x:c r="C37" s="580"/>
      <x:c r="D37" s="580"/>
    </x:row>
    <x:row r="38">
      <x:c r="A38" s="580"/>
      <x:c r="B38" s="580"/>
      <x:c r="C38" s="580"/>
      <x:c r="D38" s="580"/>
    </x:row>
    <x:row r="39">
      <x:c r="A39" s="580"/>
      <x:c r="B39" s="580"/>
      <x:c r="C39" s="580"/>
      <x:c r="D39" s="580"/>
    </x:row>
    <x:row r="40">
      <x:c r="A40" s="580"/>
      <x:c r="B40" s="580"/>
      <x:c r="C40" s="580"/>
      <x:c r="D40" s="580"/>
    </x:row>
    <x:row r="41">
      <x:c r="A41" s="580"/>
      <x:c r="B41" s="580"/>
      <x:c r="C41" s="580"/>
      <x:c r="D41" s="580"/>
    </x:row>
    <x:row r="42">
      <x:c r="A42" s="580"/>
      <x:c r="B42" s="580"/>
      <x:c r="C42" s="580"/>
      <x:c r="D42" s="580"/>
    </x:row>
    <x:row r="43">
      <x:c r="A43" s="580"/>
      <x:c r="B43" s="580"/>
      <x:c r="C43" s="580"/>
      <x:c r="D43" s="580"/>
    </x:row>
    <x:row r="44">
      <x:c r="A44" s="580"/>
      <x:c r="B44" s="580"/>
      <x:c r="C44" s="580"/>
      <x:c r="D44" s="580"/>
    </x:row>
    <x:row r="45">
      <x:c r="A45" s="580"/>
      <x:c r="B45" s="580"/>
      <x:c r="C45" s="580"/>
      <x:c r="D45" s="580"/>
    </x:row>
    <x:row r="46">
      <x:c r="A46" s="580"/>
      <x:c r="B46" s="580"/>
      <x:c r="C46" s="580"/>
      <x:c r="D46" s="580"/>
    </x:row>
    <x:row r="47">
      <x:c r="A47" s="580"/>
      <x:c r="B47" s="580"/>
      <x:c r="C47" s="580"/>
      <x:c r="D47" s="580"/>
    </x:row>
    <x:row r="48">
      <x:c r="A48" s="580"/>
      <x:c r="B48" s="580"/>
      <x:c r="C48" s="580"/>
      <x:c r="D48" s="580"/>
    </x:row>
    <x:row r="49">
      <x:c r="A49" s="580"/>
      <x:c r="B49" s="580"/>
      <x:c r="C49" s="580"/>
      <x:c r="D49" s="580"/>
    </x:row>
    <x:row r="50">
      <x:c r="A50" s="580"/>
      <x:c r="B50" s="580"/>
      <x:c r="C50" s="580"/>
      <x:c r="D50" s="580"/>
    </x:row>
    <x:row r="51">
      <x:c r="A51" s="580"/>
      <x:c r="B51" s="580"/>
      <x:c r="C51" s="580"/>
      <x:c r="D51" s="580"/>
    </x:row>
    <x:row r="52">
      <x:c r="A52" s="580"/>
      <x:c r="B52" s="580"/>
      <x:c r="C52" s="580"/>
      <x:c r="D52" s="580"/>
    </x:row>
    <x:row r="53">
      <x:c r="A53" s="580"/>
      <x:c r="B53" s="580"/>
      <x:c r="C53" s="580"/>
      <x:c r="D53" s="580"/>
    </x:row>
    <x:row r="54">
      <x:c r="A54" s="580"/>
      <x:c r="B54" s="580"/>
      <x:c r="C54" s="580"/>
      <x:c r="D54" s="580"/>
    </x:row>
    <x:row r="55">
      <x:c r="A55" s="580"/>
      <x:c r="B55" s="580"/>
      <x:c r="C55" s="580"/>
      <x:c r="D55" s="580"/>
    </x:row>
    <x:row r="56">
      <x:c r="A56" s="580"/>
      <x:c r="B56" s="580"/>
      <x:c r="C56" s="580"/>
      <x:c r="D56" s="580"/>
    </x:row>
    <x:row r="57">
      <x:c r="A57" s="580"/>
      <x:c r="B57" s="580"/>
      <x:c r="C57" s="580"/>
      <x:c r="D57" s="580"/>
    </x:row>
    <x:row r="58">
      <x:c r="A58" s="580"/>
      <x:c r="B58" s="580"/>
      <x:c r="C58" s="580"/>
      <x:c r="D58" s="580"/>
    </x:row>
    <x:row r="59">
      <x:c r="A59" s="580"/>
      <x:c r="B59" s="580"/>
      <x:c r="C59" s="580"/>
      <x:c r="D59" s="580"/>
    </x:row>
    <x:row r="60">
      <x:c r="A60" s="580"/>
      <x:c r="B60" s="580"/>
      <x:c r="C60" s="580"/>
      <x:c r="D60" s="580"/>
    </x:row>
    <x:row r="61">
      <x:c r="A61" s="580"/>
      <x:c r="B61" s="580"/>
      <x:c r="C61" s="580"/>
      <x:c r="D61" s="580"/>
    </x:row>
    <x:row r="62">
      <x:c r="A62" s="580"/>
      <x:c r="B62" s="580"/>
      <x:c r="C62" s="580"/>
      <x:c r="D62" s="580"/>
    </x:row>
    <x:row r="63">
      <x:c r="A63" s="580"/>
      <x:c r="B63" s="580"/>
      <x:c r="C63" s="580"/>
      <x:c r="D63" s="580"/>
    </x:row>
    <x:row r="64">
      <x:c r="A64" s="580"/>
      <x:c r="B64" s="580"/>
      <x:c r="C64" s="580"/>
      <x:c r="D64" s="580"/>
    </x:row>
    <x:row r="65">
      <x:c r="A65" s="580"/>
      <x:c r="B65" s="580"/>
      <x:c r="C65" s="580"/>
      <x:c r="D65" s="580"/>
    </x:row>
    <x:row r="66">
      <x:c r="A66" s="580"/>
      <x:c r="B66" s="580"/>
      <x:c r="C66" s="580"/>
      <x:c r="D66" s="580"/>
    </x:row>
    <x:row r="67">
      <x:c r="A67" s="580"/>
      <x:c r="B67" s="580"/>
      <x:c r="C67" s="580"/>
      <x:c r="D67" s="580"/>
    </x:row>
    <x:row r="68">
      <x:c r="A68" s="580"/>
      <x:c r="B68" s="580"/>
      <x:c r="C68" s="580"/>
      <x:c r="D68" s="580"/>
    </x:row>
    <x:row r="69">
      <x:c r="A69" s="580"/>
      <x:c r="B69" s="580"/>
      <x:c r="C69" s="580"/>
      <x:c r="D69" s="580"/>
    </x:row>
    <x:row r="70">
      <x:c r="A70" s="580"/>
      <x:c r="B70" s="580"/>
      <x:c r="C70" s="580"/>
      <x:c r="D70" s="580"/>
    </x:row>
    <x:row r="71">
      <x:c r="A71" s="580"/>
      <x:c r="B71" s="580"/>
      <x:c r="C71" s="580"/>
      <x:c r="D71" s="580"/>
    </x:row>
    <x:row r="72">
      <x:c r="A72" s="580"/>
      <x:c r="B72" s="580"/>
      <x:c r="C72" s="580"/>
      <x:c r="D72" s="580"/>
    </x:row>
    <x:row r="73">
      <x:c r="A73" s="580"/>
      <x:c r="B73" s="580"/>
      <x:c r="C73" s="580"/>
      <x:c r="D73" s="580"/>
    </x:row>
    <x:row r="74">
      <x:c r="A74" s="580"/>
      <x:c r="B74" s="580"/>
      <x:c r="C74" s="580"/>
      <x:c r="D74" s="580"/>
    </x:row>
    <x:row r="75">
      <x:c r="A75" s="580"/>
      <x:c r="B75" s="580"/>
      <x:c r="C75" s="580"/>
      <x:c r="D75" s="580"/>
    </x:row>
    <x:row r="76">
      <x:c r="A76" s="580"/>
      <x:c r="B76" s="580"/>
      <x:c r="C76" s="580"/>
      <x:c r="D76" s="580"/>
    </x:row>
    <x:row r="77">
      <x:c r="A77" s="580"/>
      <x:c r="B77" s="580"/>
      <x:c r="C77" s="580"/>
      <x:c r="D77" s="580"/>
    </x:row>
    <x:row r="78">
      <x:c r="A78" s="580"/>
      <x:c r="B78" s="580"/>
      <x:c r="C78" s="580"/>
      <x:c r="D78" s="580"/>
    </x:row>
    <x:row r="79">
      <x:c r="A79" s="580"/>
      <x:c r="B79" s="580"/>
      <x:c r="C79" s="580"/>
      <x:c r="D79" s="580"/>
    </x:row>
    <x:row r="80">
      <x:c r="A80" s="580"/>
      <x:c r="B80" s="580"/>
      <x:c r="C80" s="580"/>
      <x:c r="D80" s="580"/>
    </x:row>
    <x:row r="81">
      <x:c r="A81" s="580"/>
      <x:c r="B81" s="580"/>
      <x:c r="C81" s="580"/>
      <x:c r="D81" s="580"/>
    </x:row>
    <x:row r="82">
      <x:c r="A82" s="580"/>
      <x:c r="B82" s="580"/>
      <x:c r="C82" s="580"/>
      <x:c r="D82" s="580"/>
    </x:row>
    <x:row r="83">
      <x:c r="A83" s="580"/>
      <x:c r="B83" s="580"/>
      <x:c r="C83" s="580"/>
      <x:c r="D83" s="580"/>
    </x:row>
    <x:row r="84">
      <x:c r="A84" s="580"/>
      <x:c r="B84" s="580"/>
      <x:c r="C84" s="580"/>
      <x:c r="D84" s="580"/>
    </x:row>
    <x:row r="85">
      <x:c r="A85" s="580"/>
      <x:c r="B85" s="580"/>
      <x:c r="C85" s="580"/>
      <x:c r="D85" s="580"/>
    </x:row>
    <x:row r="86">
      <x:c r="A86" s="580"/>
      <x:c r="B86" s="580"/>
      <x:c r="C86" s="580"/>
      <x:c r="D86" s="580"/>
    </x:row>
    <x:row r="87">
      <x:c r="A87" s="580"/>
      <x:c r="B87" s="580"/>
      <x:c r="C87" s="580"/>
      <x:c r="D87" s="580"/>
    </x:row>
    <x:row r="88">
      <x:c r="A88" s="580"/>
      <x:c r="B88" s="580"/>
      <x:c r="C88" s="580"/>
      <x:c r="D88" s="580"/>
    </x:row>
    <x:row r="89">
      <x:c r="A89" s="580"/>
      <x:c r="B89" s="580"/>
      <x:c r="C89" s="580"/>
      <x:c r="D89" s="580"/>
    </x:row>
    <x:row r="90">
      <x:c r="A90" s="580"/>
      <x:c r="B90" s="580"/>
      <x:c r="C90" s="580"/>
      <x:c r="D90" s="580"/>
    </x:row>
    <x:row r="91">
      <x:c r="A91" s="580"/>
      <x:c r="B91" s="580"/>
      <x:c r="C91" s="580"/>
      <x:c r="D91" s="580"/>
    </x:row>
    <x:row r="92">
      <x:c r="A92" s="580"/>
      <x:c r="B92" s="580"/>
      <x:c r="C92" s="580"/>
      <x:c r="D92" s="580"/>
    </x:row>
    <x:row r="93">
      <x:c r="A93" s="580"/>
      <x:c r="B93" s="580"/>
      <x:c r="C93" s="580"/>
      <x:c r="D93" s="580"/>
    </x:row>
    <x:row r="94">
      <x:c r="A94" s="580"/>
      <x:c r="B94" s="580"/>
      <x:c r="C94" s="580"/>
      <x:c r="D94" s="580"/>
    </x:row>
    <x:row r="95">
      <x:c r="A95" s="580"/>
      <x:c r="B95" s="580"/>
      <x:c r="C95" s="580"/>
      <x:c r="D95" s="580"/>
    </x:row>
    <x:row r="96">
      <x:c r="A96" s="580"/>
      <x:c r="B96" s="580"/>
      <x:c r="C96" s="580"/>
      <x:c r="D96" s="580"/>
    </x:row>
    <x:row r="97">
      <x:c r="A97" s="580"/>
      <x:c r="B97" s="580"/>
      <x:c r="C97" s="580"/>
      <x:c r="D97" s="580"/>
    </x:row>
    <x:row r="98">
      <x:c r="A98" s="580"/>
      <x:c r="B98" s="580"/>
      <x:c r="C98" s="580"/>
      <x:c r="D98" s="580"/>
    </x:row>
    <x:row r="99">
      <x:c r="A99" s="580"/>
      <x:c r="B99" s="580"/>
      <x:c r="C99" s="580"/>
      <x:c r="D99" s="580"/>
    </x:row>
    <x:row r="100">
      <x:c r="A100" s="580"/>
      <x:c r="B100" s="580"/>
      <x:c r="C100" s="580"/>
      <x:c r="D100" s="580"/>
    </x:row>
    <x:row r="101">
      <x:c r="A101" s="580"/>
      <x:c r="B101" s="580"/>
      <x:c r="C101" s="580"/>
      <x:c r="D101" s="580"/>
    </x:row>
    <x:row r="102">
      <x:c r="A102" s="580"/>
      <x:c r="B102" s="580"/>
      <x:c r="C102" s="580"/>
      <x:c r="D102" s="580"/>
    </x:row>
    <x:row r="103">
      <x:c r="A103" s="580"/>
      <x:c r="B103" s="580"/>
      <x:c r="C103" s="580"/>
      <x:c r="D103" s="580"/>
    </x:row>
    <x:row r="104">
      <x:c r="A104" s="580"/>
      <x:c r="B104" s="580"/>
      <x:c r="C104" s="580"/>
      <x:c r="D104" s="580"/>
    </x:row>
    <x:row r="105">
      <x:c r="A105" s="580"/>
      <x:c r="B105" s="580"/>
      <x:c r="C105" s="580"/>
      <x:c r="D105" s="580"/>
    </x:row>
    <x:row r="106">
      <x:c r="A106" s="580"/>
      <x:c r="B106" s="580"/>
      <x:c r="C106" s="580"/>
      <x:c r="D106" s="580"/>
    </x:row>
    <x:row r="107">
      <x:c r="A107" s="580"/>
      <x:c r="B107" s="580"/>
      <x:c r="C107" s="580"/>
      <x:c r="D107" s="580"/>
    </x:row>
    <x:row r="108">
      <x:c r="A108" s="580"/>
      <x:c r="B108" s="580"/>
      <x:c r="C108" s="580"/>
      <x:c r="D108" s="580"/>
    </x:row>
    <x:row r="109">
      <x:c r="A109" s="580"/>
      <x:c r="B109" s="580"/>
      <x:c r="C109" s="580"/>
      <x:c r="D109" s="580"/>
    </x:row>
    <x:row r="110">
      <x:c r="A110" s="580"/>
      <x:c r="B110" s="580"/>
      <x:c r="C110" s="580"/>
      <x:c r="D110" s="580"/>
    </x:row>
    <x:row r="111">
      <x:c r="A111" s="580"/>
      <x:c r="B111" s="580"/>
      <x:c r="C111" s="580"/>
      <x:c r="D111" s="580"/>
    </x:row>
    <x:row r="112">
      <x:c r="A112" s="580"/>
      <x:c r="B112" s="580"/>
      <x:c r="C112" s="580"/>
      <x:c r="D112" s="580"/>
    </x:row>
    <x:row r="113">
      <x:c r="A113" s="580"/>
      <x:c r="B113" s="580"/>
      <x:c r="C113" s="580"/>
      <x:c r="D113" s="580"/>
    </x:row>
    <x:row r="114">
      <x:c r="A114" s="580"/>
      <x:c r="B114" s="580"/>
      <x:c r="C114" s="580"/>
      <x:c r="D114" s="580"/>
    </x:row>
    <x:row r="115">
      <x:c r="A115" s="580"/>
      <x:c r="B115" s="580"/>
      <x:c r="C115" s="580"/>
      <x:c r="D115" s="580"/>
    </x:row>
    <x:row r="116">
      <x:c r="A116" s="580"/>
      <x:c r="B116" s="580"/>
      <x:c r="C116" s="580"/>
      <x:c r="D116" s="580"/>
    </x:row>
    <x:row r="117">
      <x:c r="A117" s="580"/>
      <x:c r="B117" s="580"/>
      <x:c r="C117" s="580"/>
      <x:c r="D117" s="580"/>
    </x:row>
    <x:row r="118">
      <x:c r="A118" s="580"/>
      <x:c r="B118" s="580"/>
      <x:c r="C118" s="580"/>
      <x:c r="D118" s="580"/>
    </x:row>
    <x:row r="119">
      <x:c r="A119" s="580"/>
      <x:c r="B119" s="580"/>
      <x:c r="C119" s="580"/>
      <x:c r="D119" s="580"/>
    </x:row>
    <x:row r="120">
      <x:c r="A120" s="580"/>
      <x:c r="B120" s="580"/>
      <x:c r="C120" s="580"/>
      <x:c r="D120" s="580"/>
    </x:row>
    <x:row r="121">
      <x:c r="A121" s="580"/>
      <x:c r="B121" s="580"/>
      <x:c r="C121" s="580"/>
      <x:c r="D121" s="580"/>
    </x:row>
    <x:row r="122">
      <x:c r="A122" s="580"/>
      <x:c r="B122" s="580"/>
      <x:c r="C122" s="580"/>
      <x:c r="D122" s="580"/>
    </x:row>
    <x:row r="123">
      <x:c r="A123" s="580"/>
      <x:c r="B123" s="580"/>
      <x:c r="C123" s="580"/>
      <x:c r="D123" s="580"/>
    </x:row>
    <x:row r="124">
      <x:c r="A124" s="580"/>
      <x:c r="B124" s="580"/>
      <x:c r="C124" s="580"/>
      <x:c r="D124" s="580"/>
    </x:row>
    <x:row r="125">
      <x:c r="A125" s="580"/>
      <x:c r="B125" s="580"/>
      <x:c r="C125" s="580"/>
      <x:c r="D125" s="580"/>
    </x:row>
    <x:row r="126">
      <x:c r="A126" s="580"/>
      <x:c r="B126" s="580"/>
      <x:c r="C126" s="580"/>
      <x:c r="D126" s="580"/>
    </x:row>
    <x:row r="127">
      <x:c r="A127" s="580"/>
      <x:c r="B127" s="580"/>
      <x:c r="C127" s="580"/>
      <x:c r="D127" s="580"/>
    </x:row>
    <x:row r="128">
      <x:c r="A128" s="580"/>
      <x:c r="B128" s="580"/>
      <x:c r="C128" s="580"/>
      <x:c r="D128" s="580"/>
    </x:row>
    <x:row r="129">
      <x:c r="A129" s="580"/>
      <x:c r="B129" s="580"/>
      <x:c r="C129" s="580"/>
      <x:c r="D129" s="580"/>
    </x:row>
    <x:row r="130">
      <x:c r="A130" s="580"/>
      <x:c r="B130" s="580"/>
      <x:c r="C130" s="580"/>
      <x:c r="D130" s="580"/>
    </x:row>
    <x:row r="131">
      <x:c r="A131" s="580"/>
      <x:c r="B131" s="580"/>
      <x:c r="C131" s="580"/>
      <x:c r="D131" s="580"/>
    </x:row>
    <x:row r="132">
      <x:c r="A132" s="580"/>
      <x:c r="B132" s="580"/>
      <x:c r="C132" s="580"/>
      <x:c r="D132" s="580"/>
    </x:row>
    <x:row r="133">
      <x:c r="A133" s="580"/>
      <x:c r="B133" s="580"/>
      <x:c r="C133" s="580"/>
      <x:c r="D133" s="580"/>
    </x:row>
    <x:row r="134">
      <x:c r="A134" s="580"/>
      <x:c r="B134" s="580"/>
      <x:c r="C134" s="580"/>
      <x:c r="D134" s="580"/>
    </x:row>
    <x:row r="135">
      <x:c r="A135" s="580"/>
      <x:c r="B135" s="580"/>
      <x:c r="C135" s="580"/>
      <x:c r="D135" s="580"/>
    </x:row>
    <x:row r="136">
      <x:c r="A136" s="580"/>
      <x:c r="B136" s="580"/>
      <x:c r="C136" s="580"/>
      <x:c r="D136" s="580"/>
    </x:row>
    <x:row r="137">
      <x:c r="A137" s="580"/>
      <x:c r="B137" s="580"/>
      <x:c r="C137" s="580"/>
      <x:c r="D137" s="580"/>
    </x:row>
    <x:row r="138">
      <x:c r="A138" s="580"/>
      <x:c r="B138" s="580"/>
      <x:c r="C138" s="580"/>
      <x:c r="D138" s="580"/>
    </x:row>
    <x:row r="139">
      <x:c r="A139" s="580"/>
      <x:c r="B139" s="580"/>
      <x:c r="C139" s="580"/>
      <x:c r="D139" s="580"/>
    </x:row>
    <x:row r="140">
      <x:c r="A140" s="580"/>
      <x:c r="B140" s="580"/>
      <x:c r="C140" s="580"/>
      <x:c r="D140" s="580"/>
    </x:row>
    <x:row r="141">
      <x:c r="A141" s="580"/>
      <x:c r="B141" s="580"/>
      <x:c r="C141" s="580"/>
      <x:c r="D141" s="580"/>
    </x:row>
    <x:row r="142">
      <x:c r="A142" s="580"/>
      <x:c r="B142" s="580"/>
      <x:c r="C142" s="580"/>
      <x:c r="D142" s="580"/>
    </x:row>
    <x:row r="143">
      <x:c r="A143" s="580"/>
      <x:c r="B143" s="580"/>
      <x:c r="C143" s="580"/>
      <x:c r="D143" s="580"/>
    </x:row>
    <x:row r="144">
      <x:c r="A144" s="580"/>
      <x:c r="B144" s="580"/>
      <x:c r="C144" s="580"/>
      <x:c r="D144" s="580"/>
    </x:row>
    <x:row r="145">
      <x:c r="A145" s="580"/>
      <x:c r="B145" s="580"/>
      <x:c r="C145" s="580"/>
      <x:c r="D145" s="580"/>
    </x:row>
    <x:row r="146">
      <x:c r="A146" s="580"/>
      <x:c r="B146" s="580"/>
      <x:c r="C146" s="580"/>
      <x:c r="D146" s="580"/>
    </x:row>
    <x:row r="147">
      <x:c r="A147" s="580"/>
      <x:c r="B147" s="580"/>
      <x:c r="C147" s="580"/>
      <x:c r="D147" s="580"/>
    </x:row>
    <x:row r="148">
      <x:c r="A148" s="580"/>
      <x:c r="B148" s="580"/>
      <x:c r="C148" s="580"/>
      <x:c r="D148" s="580"/>
    </x:row>
    <x:row r="149">
      <x:c r="A149" s="580"/>
      <x:c r="B149" s="580"/>
      <x:c r="C149" s="580"/>
      <x:c r="D149" s="580"/>
    </x:row>
    <x:row r="150">
      <x:c r="A150" s="580"/>
      <x:c r="B150" s="580"/>
      <x:c r="C150" s="580"/>
      <x:c r="D150" s="580"/>
    </x:row>
    <x:row r="151">
      <x:c r="A151" s="580"/>
      <x:c r="B151" s="580"/>
      <x:c r="C151" s="580"/>
      <x:c r="D151" s="580"/>
    </x:row>
    <x:row r="152">
      <x:c r="A152" s="580"/>
      <x:c r="B152" s="580"/>
      <x:c r="C152" s="580"/>
      <x:c r="D152" s="580"/>
    </x:row>
    <x:row r="153">
      <x:c r="A153" s="580"/>
      <x:c r="B153" s="580"/>
      <x:c r="C153" s="580"/>
      <x:c r="D153" s="580"/>
    </x:row>
    <x:row r="154">
      <x:c r="A154" s="580"/>
      <x:c r="B154" s="580"/>
      <x:c r="C154" s="580"/>
      <x:c r="D154" s="580"/>
    </x:row>
    <x:row r="155">
      <x:c r="A155" s="580"/>
      <x:c r="B155" s="580"/>
      <x:c r="C155" s="580"/>
      <x:c r="D155" s="580"/>
    </x:row>
    <x:row r="156">
      <x:c r="A156" s="580"/>
      <x:c r="B156" s="580"/>
      <x:c r="C156" s="580"/>
      <x:c r="D156" s="580"/>
    </x:row>
    <x:row r="157">
      <x:c r="A157" s="580"/>
      <x:c r="B157" s="580"/>
      <x:c r="C157" s="580"/>
      <x:c r="D157" s="580"/>
    </x:row>
    <x:row r="158">
      <x:c r="A158" s="580"/>
      <x:c r="B158" s="580"/>
      <x:c r="C158" s="580"/>
      <x:c r="D158" s="580"/>
    </x:row>
    <x:row r="159">
      <x:c r="A159" s="580"/>
      <x:c r="B159" s="580"/>
      <x:c r="C159" s="580"/>
      <x:c r="D159" s="580"/>
    </x:row>
    <x:row r="160">
      <x:c r="A160" s="580"/>
      <x:c r="B160" s="580"/>
      <x:c r="C160" s="580"/>
      <x:c r="D160" s="580"/>
    </x:row>
    <x:row r="161">
      <x:c r="A161" s="580"/>
      <x:c r="B161" s="580"/>
      <x:c r="C161" s="580"/>
      <x:c r="D161" s="580"/>
    </x:row>
    <x:row r="162">
      <x:c r="A162" s="580"/>
      <x:c r="B162" s="580"/>
      <x:c r="C162" s="580"/>
      <x:c r="D162" s="580"/>
    </x:row>
    <x:row r="163">
      <x:c r="A163" s="580"/>
      <x:c r="B163" s="580"/>
      <x:c r="C163" s="580"/>
      <x:c r="D163" s="580"/>
    </x:row>
    <x:row r="164">
      <x:c r="A164" s="580"/>
      <x:c r="B164" s="580"/>
      <x:c r="C164" s="580"/>
      <x:c r="D164" s="580"/>
    </x:row>
    <x:row r="165">
      <x:c r="A165" s="580"/>
      <x:c r="B165" s="580"/>
      <x:c r="C165" s="580"/>
      <x:c r="D165" s="580"/>
    </x:row>
    <x:row r="166">
      <x:c r="A166" s="580"/>
      <x:c r="B166" s="580"/>
      <x:c r="C166" s="580"/>
      <x:c r="D166" s="580"/>
    </x:row>
    <x:row r="167">
      <x:c r="A167" s="580"/>
      <x:c r="B167" s="580"/>
      <x:c r="C167" s="580"/>
      <x:c r="D167" s="580"/>
    </x:row>
    <x:row r="168">
      <x:c r="A168" s="580"/>
      <x:c r="B168" s="580"/>
      <x:c r="C168" s="580"/>
      <x:c r="D168" s="580"/>
    </x:row>
    <x:row r="169">
      <x:c r="A169" s="580"/>
      <x:c r="B169" s="580"/>
      <x:c r="C169" s="580"/>
      <x:c r="D169" s="580"/>
    </x:row>
    <x:row r="170">
      <x:c r="A170" s="580"/>
      <x:c r="B170" s="580"/>
      <x:c r="C170" s="580"/>
      <x:c r="D170" s="580"/>
    </x:row>
    <x:row r="171">
      <x:c r="A171" s="580"/>
      <x:c r="B171" s="580"/>
      <x:c r="C171" s="580"/>
      <x:c r="D171" s="580"/>
    </x:row>
    <x:row r="172">
      <x:c r="A172" s="580"/>
      <x:c r="B172" s="580"/>
      <x:c r="C172" s="580"/>
      <x:c r="D172" s="580"/>
    </x:row>
    <x:row r="173">
      <x:c r="A173" s="580"/>
      <x:c r="B173" s="580"/>
      <x:c r="C173" s="580"/>
      <x:c r="D173" s="580"/>
    </x:row>
    <x:row r="174">
      <x:c r="A174" s="580"/>
      <x:c r="B174" s="580"/>
      <x:c r="C174" s="580"/>
      <x:c r="D174" s="580"/>
    </x:row>
    <x:row r="175">
      <x:c r="A175" s="580"/>
      <x:c r="B175" s="580"/>
      <x:c r="C175" s="580"/>
      <x:c r="D175" s="580"/>
    </x:row>
    <x:row r="176">
      <x:c r="A176" s="580"/>
      <x:c r="B176" s="580"/>
      <x:c r="C176" s="580"/>
      <x:c r="D176" s="580"/>
    </x:row>
    <x:row r="177">
      <x:c r="A177" s="580"/>
      <x:c r="B177" s="580"/>
      <x:c r="C177" s="580"/>
      <x:c r="D177" s="580"/>
    </x:row>
    <x:row r="178">
      <x:c r="A178" s="580"/>
      <x:c r="B178" s="580"/>
      <x:c r="C178" s="580"/>
      <x:c r="D178" s="580"/>
    </x:row>
    <x:row r="179">
      <x:c r="A179" s="580"/>
      <x:c r="B179" s="580"/>
      <x:c r="C179" s="580"/>
      <x:c r="D179" s="580"/>
    </x:row>
    <x:row r="180">
      <x:c r="A180" s="580"/>
      <x:c r="B180" s="580"/>
      <x:c r="C180" s="580"/>
      <x:c r="D180" s="580"/>
    </x:row>
    <x:row r="181">
      <x:c r="A181" s="580"/>
      <x:c r="B181" s="580"/>
      <x:c r="C181" s="580"/>
      <x:c r="D181" s="580"/>
    </x:row>
    <x:row r="182">
      <x:c r="A182" s="580"/>
      <x:c r="B182" s="580"/>
      <x:c r="C182" s="580"/>
      <x:c r="D182" s="580"/>
    </x:row>
    <x:row r="183">
      <x:c r="A183" s="580"/>
      <x:c r="B183" s="580"/>
      <x:c r="C183" s="580"/>
      <x:c r="D183" s="580"/>
    </x:row>
    <x:row r="184">
      <x:c r="A184" s="580"/>
      <x:c r="B184" s="580"/>
      <x:c r="C184" s="580"/>
      <x:c r="D184" s="580"/>
    </x:row>
    <x:row r="185">
      <x:c r="A185" s="580"/>
      <x:c r="B185" s="580"/>
      <x:c r="C185" s="580"/>
      <x:c r="D185" s="580"/>
    </x:row>
    <x:row r="186">
      <x:c r="A186" s="580"/>
      <x:c r="B186" s="580"/>
      <x:c r="C186" s="580"/>
      <x:c r="D186" s="580"/>
    </x:row>
    <x:row r="187">
      <x:c r="A187" s="580"/>
      <x:c r="B187" s="580"/>
      <x:c r="C187" s="580"/>
      <x:c r="D187" s="580"/>
    </x:row>
    <x:row r="188">
      <x:c r="A188" s="580"/>
      <x:c r="B188" s="580"/>
      <x:c r="C188" s="580"/>
      <x:c r="D188" s="580"/>
    </x:row>
    <x:row r="189">
      <x:c r="A189" s="580"/>
      <x:c r="B189" s="580"/>
      <x:c r="C189" s="580"/>
      <x:c r="D189" s="580"/>
    </x:row>
    <x:row r="190">
      <x:c r="A190" s="580"/>
      <x:c r="B190" s="580"/>
      <x:c r="C190" s="580"/>
      <x:c r="D190" s="580"/>
    </x:row>
    <x:row r="191">
      <x:c r="A191" s="580"/>
      <x:c r="B191" s="580"/>
      <x:c r="C191" s="580"/>
      <x:c r="D191" s="580"/>
    </x:row>
    <x:row r="192">
      <x:c r="A192" s="580"/>
      <x:c r="B192" s="580"/>
      <x:c r="C192" s="580"/>
      <x:c r="D192" s="580"/>
    </x:row>
    <x:row r="193">
      <x:c r="A193" s="580"/>
      <x:c r="B193" s="580"/>
      <x:c r="C193" s="580"/>
      <x:c r="D193" s="580"/>
    </x:row>
    <x:row r="194">
      <x:c r="A194" s="580"/>
      <x:c r="B194" s="580"/>
      <x:c r="C194" s="580"/>
      <x:c r="D194" s="580"/>
    </x:row>
    <x:row r="195">
      <x:c r="A195" s="580"/>
      <x:c r="B195" s="580"/>
      <x:c r="C195" s="580"/>
      <x:c r="D195" s="580"/>
    </x:row>
    <x:row r="196">
      <x:c r="A196" s="580"/>
      <x:c r="B196" s="580"/>
      <x:c r="C196" s="580"/>
      <x:c r="D196" s="580"/>
    </x:row>
    <x:row r="197">
      <x:c r="A197" s="580"/>
      <x:c r="B197" s="580"/>
      <x:c r="C197" s="580"/>
      <x:c r="D197" s="580"/>
    </x:row>
    <x:row r="198">
      <x:c r="A198" s="580"/>
      <x:c r="B198" s="580"/>
      <x:c r="C198" s="580"/>
      <x:c r="D198" s="580"/>
    </x:row>
    <x:row r="199">
      <x:c r="A199" s="580"/>
      <x:c r="B199" s="580"/>
      <x:c r="C199" s="580"/>
      <x:c r="D199" s="580"/>
    </x:row>
    <x:row r="200">
      <x:c r="A200" s="580"/>
      <x:c r="B200" s="580"/>
      <x:c r="C200" s="580"/>
      <x:c r="D200" s="580"/>
    </x:row>
    <x:row r="201">
      <x:c r="A201" s="580"/>
      <x:c r="B201" s="580"/>
      <x:c r="C201" s="580"/>
      <x:c r="D201" s="580"/>
    </x:row>
    <x:row r="202">
      <x:c r="A202" s="580"/>
      <x:c r="B202" s="580"/>
      <x:c r="C202" s="580"/>
      <x:c r="D202" s="580"/>
    </x:row>
    <x:row r="203">
      <x:c r="A203" s="580"/>
      <x:c r="B203" s="580"/>
      <x:c r="C203" s="580"/>
      <x:c r="D203" s="580"/>
    </x:row>
    <x:row r="204">
      <x:c r="A204" s="580"/>
      <x:c r="B204" s="580"/>
      <x:c r="C204" s="580"/>
      <x:c r="D204" s="580"/>
    </x:row>
    <x:row r="205">
      <x:c r="A205" s="580"/>
      <x:c r="B205" s="580"/>
      <x:c r="C205" s="580"/>
      <x:c r="D205" s="580"/>
    </x:row>
    <x:row r="206">
      <x:c r="A206" s="580"/>
      <x:c r="B206" s="580"/>
      <x:c r="C206" s="580"/>
      <x:c r="D206" s="580"/>
    </x:row>
    <x:row r="207">
      <x:c r="A207" s="580"/>
      <x:c r="B207" s="580"/>
      <x:c r="C207" s="580"/>
      <x:c r="D207" s="580"/>
    </x:row>
    <x:row r="208">
      <x:c r="A208" s="580"/>
      <x:c r="B208" s="580"/>
      <x:c r="C208" s="580"/>
      <x:c r="D208" s="580"/>
    </x:row>
    <x:row r="209">
      <x:c r="A209" s="580"/>
      <x:c r="B209" s="580"/>
      <x:c r="C209" s="580"/>
      <x:c r="D209" s="580"/>
    </x:row>
    <x:row r="210">
      <x:c r="A210" s="580"/>
      <x:c r="B210" s="580"/>
      <x:c r="C210" s="580"/>
      <x:c r="D210" s="580"/>
    </x:row>
    <x:row r="211">
      <x:c r="A211" s="580"/>
      <x:c r="B211" s="580"/>
      <x:c r="C211" s="580"/>
      <x:c r="D211" s="580"/>
    </x:row>
    <x:row r="212">
      <x:c r="A212" s="580"/>
      <x:c r="B212" s="580"/>
      <x:c r="C212" s="580"/>
      <x:c r="D212" s="580"/>
    </x:row>
    <x:row r="213">
      <x:c r="A213" s="580"/>
      <x:c r="B213" s="580"/>
      <x:c r="C213" s="580"/>
      <x:c r="D213" s="580"/>
    </x:row>
    <x:row r="214">
      <x:c r="A214" s="580"/>
      <x:c r="B214" s="580"/>
      <x:c r="C214" s="580"/>
      <x:c r="D214" s="580"/>
    </x:row>
    <x:row r="215">
      <x:c r="A215" s="580"/>
      <x:c r="B215" s="580"/>
      <x:c r="C215" s="580"/>
      <x:c r="D215" s="580"/>
    </x:row>
    <x:row r="216">
      <x:c r="A216" s="580"/>
      <x:c r="B216" s="580"/>
      <x:c r="C216" s="580"/>
      <x:c r="D216" s="580"/>
    </x:row>
    <x:row r="217">
      <x:c r="A217" s="580"/>
      <x:c r="B217" s="580"/>
      <x:c r="C217" s="580"/>
      <x:c r="D217" s="580"/>
    </x:row>
    <x:row r="218">
      <x:c r="A218" s="580"/>
      <x:c r="B218" s="580"/>
      <x:c r="C218" s="580"/>
      <x:c r="D218" s="580"/>
    </x:row>
    <x:row r="219">
      <x:c r="A219" s="580"/>
      <x:c r="B219" s="580"/>
      <x:c r="C219" s="580"/>
      <x:c r="D219" s="580"/>
    </x:row>
    <x:row r="220">
      <x:c r="A220" s="580"/>
      <x:c r="B220" s="580"/>
      <x:c r="C220" s="580"/>
      <x:c r="D220" s="580"/>
    </x:row>
    <x:row r="221">
      <x:c r="A221" s="580"/>
      <x:c r="B221" s="580"/>
      <x:c r="C221" s="580"/>
      <x:c r="D221" s="580"/>
    </x:row>
    <x:row r="222">
      <x:c r="A222" s="580"/>
      <x:c r="B222" s="580"/>
      <x:c r="C222" s="580"/>
      <x:c r="D222" s="580"/>
    </x:row>
    <x:row r="223">
      <x:c r="A223" s="580"/>
      <x:c r="B223" s="580"/>
      <x:c r="C223" s="580"/>
      <x:c r="D223" s="580"/>
    </x:row>
    <x:row r="224">
      <x:c r="A224" s="580"/>
      <x:c r="B224" s="580"/>
      <x:c r="C224" s="580"/>
      <x:c r="D224" s="580"/>
    </x:row>
    <x:row r="225">
      <x:c r="A225" s="580"/>
      <x:c r="B225" s="580"/>
      <x:c r="C225" s="580"/>
      <x:c r="D225" s="580"/>
    </x:row>
    <x:row r="226">
      <x:c r="A226" s="580"/>
      <x:c r="B226" s="580"/>
      <x:c r="C226" s="580"/>
      <x:c r="D226" s="580"/>
    </x:row>
    <x:row r="227">
      <x:c r="A227" s="580"/>
      <x:c r="B227" s="580"/>
      <x:c r="C227" s="580"/>
      <x:c r="D227" s="580"/>
    </x:row>
    <x:row r="228">
      <x:c r="A228" s="580"/>
      <x:c r="B228" s="580"/>
      <x:c r="C228" s="580"/>
      <x:c r="D228" s="580"/>
    </x:row>
    <x:row r="229">
      <x:c r="A229" s="580"/>
      <x:c r="B229" s="580"/>
      <x:c r="C229" s="580"/>
      <x:c r="D229" s="580"/>
    </x:row>
    <x:row r="230">
      <x:c r="A230" s="580"/>
      <x:c r="B230" s="580"/>
      <x:c r="C230" s="580"/>
      <x:c r="D230" s="580"/>
    </x:row>
    <x:row r="231">
      <x:c r="A231" s="580"/>
      <x:c r="B231" s="580"/>
      <x:c r="C231" s="580"/>
      <x:c r="D231" s="580"/>
    </x:row>
    <x:row r="232">
      <x:c r="A232" s="580"/>
      <x:c r="B232" s="580"/>
      <x:c r="C232" s="580"/>
      <x:c r="D232" s="580"/>
    </x:row>
    <x:row r="233">
      <x:c r="A233" s="580"/>
      <x:c r="B233" s="580"/>
      <x:c r="C233" s="580"/>
      <x:c r="D233" s="580"/>
    </x:row>
    <x:row r="234">
      <x:c r="A234" s="580"/>
      <x:c r="B234" s="580"/>
      <x:c r="C234" s="580"/>
      <x:c r="D234" s="580"/>
    </x:row>
    <x:row r="235">
      <x:c r="A235" s="580"/>
      <x:c r="B235" s="580"/>
      <x:c r="C235" s="580"/>
      <x:c r="D235" s="580"/>
    </x:row>
    <x:row r="236">
      <x:c r="A236" s="580"/>
      <x:c r="B236" s="580"/>
      <x:c r="C236" s="580"/>
      <x:c r="D236" s="580"/>
    </x:row>
    <x:row r="237">
      <x:c r="A237" s="580"/>
      <x:c r="B237" s="580"/>
      <x:c r="C237" s="580"/>
      <x:c r="D237" s="580"/>
    </x:row>
    <x:row r="238">
      <x:c r="A238" s="580"/>
      <x:c r="B238" s="580"/>
      <x:c r="C238" s="580"/>
      <x:c r="D238" s="580"/>
    </x:row>
    <x:row r="239">
      <x:c r="A239" s="580"/>
      <x:c r="B239" s="580"/>
      <x:c r="C239" s="580"/>
      <x:c r="D239" s="580"/>
    </x:row>
    <x:row r="240">
      <x:c r="A240" s="580"/>
      <x:c r="B240" s="580"/>
      <x:c r="C240" s="580"/>
      <x:c r="D240" s="580"/>
    </x:row>
  </x:sheetData>
  <x:mergeCells>
    <x:mergeCell ref="A3:D3"/>
  </x:mergeCells>
  <x:dataValidations count="1">
    <x:dataValidation type="list" sqref="C6:C100">
      <x:formula1>"Not Started,In Progress,Pass,Fail,Blocked"</x:formula1>
    </x:dataValidation>
  </x:dataValidation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2" hidden="0" customWidth="1"/>
    <x:col min="4" max="4" width="12" hidden="0" customWidth="1"/>
    <x:col min="5" max="5" width="22" hidden="0" customWidth="1"/>
    <x:col min="6" max="6" width="22" hidden="0" customWidth="1"/>
    <x:col min="7" max="7" width="12" hidden="0" customWidth="1"/>
    <x:col min="8" max="8" width="30" hidden="0" customWidth="1"/>
    <x:col min="9" max="9" width="12" hidden="0" customWidth="1"/>
    <x:col min="10" max="10" width="20" hidden="0" customWidth="1"/>
    <x:col min="11" max="11" width="12" hidden="0" customWidth="1"/>
    <x:col min="12" max="12" width="20" hidden="0" customWidth="1"/>
  </x:cols>
  <x:sheetData>
    <x:row r="1">
      <x:c r="A1" s="609" t="str">
        <x:v>TRAVEL OS RC5 · FOOD EXPLORER</x:v>
      </x:c>
      <x:c r="B1" s="609"/>
      <x:c r="C1" s="609"/>
      <x:c r="D1" s="609"/>
      <x:c r="E1" s="609"/>
      <x:c r="F1" s="609"/>
      <x:c r="G1" s="609"/>
      <x:c r="H1" s="609"/>
      <x:c r="I1" s="609"/>
      <x:c r="J1" s="609"/>
      <x:c r="K1" s="609"/>
      <x:c r="L1" s="609"/>
    </x:row>
    <x:row r="2">
      <x:c r="A2" s="609"/>
      <x:c r="B2" s="609"/>
      <x:c r="C2" s="609"/>
      <x:c r="D2" s="609"/>
      <x:c r="E2" s="609"/>
      <x:c r="F2" s="609"/>
      <x:c r="G2" s="609"/>
      <x:c r="H2" s="609"/>
      <x:c r="I2" s="609"/>
      <x:c r="J2" s="609"/>
      <x:c r="K2" s="609"/>
      <x:c r="L2" s="609"/>
    </x:row>
    <x:row r="4">
      <x:c r="A4" s="603" t="str">
        <x:v>DATABASE OVERVIEW</x:v>
      </x:c>
      <x:c r="B4" s="603"/>
      <x:c r="C4" s="603"/>
      <x:c r="D4" s="603"/>
      <x:c r="E4" s="603"/>
      <x:c r="F4" s="603"/>
      <x:c r="G4" s="603"/>
      <x:c r="H4" s="603"/>
      <x:c r="I4" s="603"/>
      <x:c r="J4" s="603"/>
      <x:c r="K4" s="603"/>
      <x:c r="L4" s="603"/>
    </x:row>
    <x:row r="6">
      <x:c r="A6" s="610" t="str">
        <x:v>Total restaurants</x:v>
      </x:c>
      <x:c r="B6" s="610"/>
      <x:c r="C6" s="610"/>
      <x:c r="E6" s="610" t="str">
        <x:v>Tokyo</x:v>
      </x:c>
      <x:c r="F6" s="610"/>
      <x:c r="G6" s="610"/>
      <x:c r="I6" s="610" t="str">
        <x:v>Kyoto</x:v>
      </x:c>
      <x:c r="J6" s="610"/>
      <x:c r="K6" s="610"/>
    </x:row>
    <x:row r="7">
      <x:c r="A7" s="613" t="n">
        <x:f>COUNTA('🍽 Restaurants'!D5:D132)</x:f>
        <x:v>128</x:v>
      </x:c>
      <x:c r="B7" s="613"/>
      <x:c r="C7" s="613"/>
      <x:c r="E7" s="613" t="n">
        <x:f>COUNTIF('🍽 Restaurants'!B5:B132,"Tokyo")</x:f>
        <x:v>42</x:v>
      </x:c>
      <x:c r="F7" s="613"/>
      <x:c r="G7" s="613"/>
      <x:c r="I7" s="613" t="n">
        <x:f>COUNTIF('🍽 Restaurants'!B5:B132,"Kyoto")</x:f>
        <x:v>32</x:v>
      </x:c>
      <x:c r="J7" s="613"/>
      <x:c r="K7" s="613"/>
    </x:row>
    <x:row r="8">
      <x:c r="A8" s="613"/>
      <x:c r="B8" s="613"/>
      <x:c r="C8" s="613"/>
      <x:c r="E8" s="613"/>
      <x:c r="F8" s="613"/>
      <x:c r="G8" s="613"/>
      <x:c r="I8" s="613"/>
      <x:c r="J8" s="613"/>
      <x:c r="K8" s="613"/>
    </x:row>
    <x:row r="10">
      <x:c r="A10" s="610" t="str">
        <x:v>Osaka</x:v>
      </x:c>
      <x:c r="B10" s="610"/>
      <x:c r="C10" s="610"/>
      <x:c r="E10" s="610" t="str">
        <x:v>Hakone</x:v>
      </x:c>
      <x:c r="F10" s="610"/>
      <x:c r="G10" s="610"/>
      <x:c r="I10" s="610" t="str">
        <x:v>Breakfast options</x:v>
      </x:c>
      <x:c r="J10" s="610"/>
      <x:c r="K10" s="610"/>
    </x:row>
    <x:row r="11">
      <x:c r="A11" s="613" t="n">
        <x:f>COUNTIF('🍽 Restaurants'!B5:B132,"Osaka")</x:f>
        <x:v>32</x:v>
      </x:c>
      <x:c r="B11" s="613"/>
      <x:c r="C11" s="613"/>
      <x:c r="E11" s="613" t="n">
        <x:f>COUNTIF('🍽 Restaurants'!B5:B132,"Hakone")</x:f>
        <x:v>22</x:v>
      </x:c>
      <x:c r="F11" s="613"/>
      <x:c r="G11" s="613"/>
      <x:c r="I11" s="613" t="n">
        <x:f>COUNTIF('🍽 Restaurants'!H5:H132,"Yes")</x:f>
        <x:v>52</x:v>
      </x:c>
      <x:c r="J11" s="613"/>
      <x:c r="K11" s="613"/>
    </x:row>
    <x:row r="12">
      <x:c r="A12" s="613"/>
      <x:c r="B12" s="613"/>
      <x:c r="C12" s="613"/>
      <x:c r="E12" s="613"/>
      <x:c r="F12" s="613"/>
      <x:c r="G12" s="613"/>
      <x:c r="I12" s="613"/>
      <x:c r="J12" s="613"/>
      <x:c r="K12" s="613"/>
    </x:row>
    <x:row r="14">
      <x:c r="A14" s="610" t="str">
        <x:v>Lunch options</x:v>
      </x:c>
      <x:c r="B14" s="610"/>
      <x:c r="C14" s="610"/>
      <x:c r="E14" s="610" t="str">
        <x:v>Michelin-tagged</x:v>
      </x:c>
      <x:c r="F14" s="610"/>
      <x:c r="G14" s="610"/>
      <x:c r="I14" s="610" t="str">
        <x:v>GF-focused / listed</x:v>
      </x:c>
      <x:c r="J14" s="610"/>
      <x:c r="K14" s="610"/>
    </x:row>
    <x:row r="15">
      <x:c r="A15" s="613" t="n">
        <x:f>COUNTIF('🍽 Restaurants'!I5:I132,"Yes")</x:f>
        <x:v>99</x:v>
      </x:c>
      <x:c r="B15" s="613"/>
      <x:c r="C15" s="613"/>
      <x:c r="E15" s="613" t="n">
        <x:f>COUNTIF('🍽 Restaurants'!L5:L132,"&lt;&gt;—")</x:f>
        <x:v>42</x:v>
      </x:c>
      <x:c r="F15" s="613"/>
      <x:c r="G15" s="613"/>
      <x:c r="I15" s="613" t="n">
        <x:f>COUNTIF('🍽 Restaurants'!F5:F132,"GF*")</x:f>
        <x:v>0</x:v>
      </x:c>
      <x:c r="J15" s="613"/>
      <x:c r="K15" s="613"/>
    </x:row>
    <x:row r="16">
      <x:c r="A16" s="613"/>
      <x:c r="B16" s="613"/>
      <x:c r="C16" s="613"/>
      <x:c r="E16" s="613"/>
      <x:c r="F16" s="613"/>
      <x:c r="G16" s="613"/>
      <x:c r="I16" s="613"/>
      <x:c r="J16" s="613"/>
      <x:c r="K16" s="613"/>
    </x:row>
    <x:row r="19">
      <x:c r="A19" s="603" t="str">
        <x:v>HOW TO USE THIS DATABASE</x:v>
      </x:c>
      <x:c r="B19" s="603"/>
      <x:c r="C19" s="603"/>
      <x:c r="D19" s="603"/>
      <x:c r="E19" s="603"/>
      <x:c r="F19" s="603"/>
      <x:c r="G19" s="603"/>
      <x:c r="H19" s="603"/>
      <x:c r="I19" s="603"/>
      <x:c r="J19" s="603"/>
      <x:c r="K19" s="603"/>
      <x:c r="L19" s="603"/>
    </x:row>
    <x:row r="21">
      <x:c r="A21" s="617" t="str">
        <x:v>1</x:v>
      </x:c>
      <x:c r="B21" s="618" t="str">
        <x:v>Filter by City + Meal Tags</x:v>
      </x:c>
      <x:c r="C21" s="376" t="str">
        <x:v>Start with the city and the meal you need: breakfast, lunch, dinner, café, or dessert.</x:v>
      </x:c>
      <x:c r="D21" s="376"/>
      <x:c r="E21" s="376"/>
      <x:c r="F21" s="376"/>
      <x:c r="G21" s="376"/>
      <x:c r="H21" s="376"/>
    </x:row>
    <x:row r="22">
      <x:c r="A22" s="617" t="str">
        <x:v>2</x:v>
      </x:c>
      <x:c r="B22" s="618" t="str">
        <x:v>Shortlist, then verify</x:v>
      </x:c>
      <x:c r="C22" s="376" t="str">
        <x:v>Tabelog ratings, operating hours, Michelin distinctions, menus, and reservation rules can change.</x:v>
      </x:c>
      <x:c r="D22" s="376"/>
      <x:c r="E22" s="376"/>
      <x:c r="F22" s="376"/>
      <x:c r="G22" s="376"/>
      <x:c r="H22" s="376"/>
    </x:row>
    <x:row r="23">
      <x:c r="A23" s="617" t="str">
        <x:v>3</x:v>
      </x:c>
      <x:c r="B23" s="618" t="str">
        <x:v>Dietary confirmation</x:v>
      </x:c>
      <x:c r="C23" s="376" t="str">
        <x:v>Do not treat a listing as safe unless the restaurant confirms gluten-free and lactose-free needs in writing.</x:v>
      </x:c>
      <x:c r="D23" s="376"/>
      <x:c r="E23" s="376"/>
      <x:c r="F23" s="376"/>
      <x:c r="G23" s="376"/>
      <x:c r="H23" s="376"/>
    </x:row>
    <x:row r="24">
      <x:c r="A24" s="617" t="str">
        <x:v>4</x:v>
      </x:c>
      <x:c r="B24" s="618" t="str">
        <x:v>Track reservations</x:v>
      </x:c>
      <x:c r="C24" s="376" t="str">
        <x:v>Use Status, Favorite, and Reservation Status so the app becomes your single source of truth.</x:v>
      </x:c>
      <x:c r="D24" s="376"/>
      <x:c r="E24" s="376"/>
      <x:c r="F24" s="376"/>
      <x:c r="G24" s="376"/>
      <x:c r="H24" s="376"/>
    </x:row>
    <x:row r="25">
      <x:c r="A25" s="617" t="str">
        <x:v>5</x:v>
      </x:c>
      <x:c r="B25" s="618" t="str">
        <x:v>Use links</x:v>
      </x:c>
      <x:c r="C25" s="376" t="str">
        <x:v>Each row includes Google Maps, Tabelog search, and Michelin source links where relevant.</x:v>
      </x:c>
      <x:c r="D25" s="376"/>
      <x:c r="E25" s="376"/>
      <x:c r="F25" s="376"/>
      <x:c r="G25" s="376"/>
      <x:c r="H25" s="376"/>
    </x:row>
    <x:row r="27">
      <x:c r="A27" s="603" t="str">
        <x:v>DIETARY CONFIDENCE LEGEND</x:v>
      </x:c>
      <x:c r="B27" s="603"/>
      <x:c r="C27" s="603"/>
      <x:c r="D27" s="603"/>
      <x:c r="E27" s="603"/>
      <x:c r="F27" s="603"/>
      <x:c r="G27" s="603"/>
      <x:c r="H27" s="603"/>
      <x:c r="I27" s="603"/>
      <x:c r="J27" s="603"/>
      <x:c r="K27" s="603"/>
      <x:c r="L27" s="603"/>
    </x:row>
    <x:row r="29">
      <x:c r="A29" s="618" t="str">
        <x:v>GF-focused / listed</x:v>
      </x:c>
      <x:c r="B29" s="376" t="str">
        <x:v>Strongest research candidate, but verify current menu and cross-contact.</x:v>
      </x:c>
      <x:c r="C29" s="376"/>
      <x:c r="D29" s="376"/>
      <x:c r="E29" s="376"/>
      <x:c r="F29" s="376"/>
      <x:c r="G29" s="376"/>
      <x:c r="H29" s="376"/>
    </x:row>
    <x:row r="30">
      <x:c r="A30" s="618" t="str">
        <x:v>Good candidate / adaptable</x:v>
      </x:c>
      <x:c r="B30" s="376" t="str">
        <x:v>Cuisine appears adaptable; restaurant confirmation still required.</x:v>
      </x:c>
      <x:c r="C30" s="376"/>
      <x:c r="D30" s="376"/>
      <x:c r="E30" s="376"/>
      <x:c r="F30" s="376"/>
      <x:c r="G30" s="376"/>
      <x:c r="H30" s="376"/>
    </x:row>
    <x:row r="31">
      <x:c r="A31" s="618" t="str">
        <x:v>Confirm directly</x:v>
      </x:c>
      <x:c r="B31" s="376" t="str">
        <x:v>No safety assumption. Ask before booking.</x:v>
      </x:c>
      <x:c r="C31" s="376"/>
      <x:c r="D31" s="376"/>
      <x:c r="E31" s="376"/>
      <x:c r="F31" s="376"/>
      <x:c r="G31" s="376"/>
      <x:c r="H31" s="376"/>
    </x:row>
    <x:row r="32">
      <x:c r="A32" s="618" t="str">
        <x:v>Not GF / standard form</x:v>
      </x:c>
      <x:c r="B32" s="376" t="str">
        <x:v>Included for companions or cultural interest, not as a safe option.</x:v>
      </x:c>
      <x:c r="C32" s="376"/>
      <x:c r="D32" s="376"/>
      <x:c r="E32" s="376"/>
      <x:c r="F32" s="376"/>
      <x:c r="G32" s="376"/>
      <x:c r="H32" s="376"/>
    </x:row>
    <x:row r="34">
      <x:c r="A34" s="622" t="str">
        <x:v>Important: this is a professional planning shortlist—not a medical guarantee. Ingredients, sauces, shared fryers, and cross-contact practices can change. Reconfirm close to the trip and again at the restaurant.</x:v>
      </x:c>
      <x:c r="B34" s="622"/>
      <x:c r="C34" s="622"/>
      <x:c r="D34" s="622"/>
      <x:c r="E34" s="622"/>
      <x:c r="F34" s="622"/>
      <x:c r="G34" s="622"/>
      <x:c r="H34" s="622"/>
      <x:c r="I34" s="622"/>
      <x:c r="J34" s="622"/>
      <x:c r="K34" s="622"/>
      <x:c r="L34" s="622"/>
    </x:row>
    <x:row r="35">
      <x:c r="A35" s="622"/>
      <x:c r="B35" s="622"/>
      <x:c r="C35" s="622"/>
      <x:c r="D35" s="622"/>
      <x:c r="E35" s="622"/>
      <x:c r="F35" s="622"/>
      <x:c r="G35" s="622"/>
      <x:c r="H35" s="622"/>
      <x:c r="I35" s="622"/>
      <x:c r="J35" s="622"/>
      <x:c r="K35" s="622"/>
      <x:c r="L35" s="622"/>
    </x:row>
    <x:row r="36">
      <x:c r="A36" s="622"/>
      <x:c r="B36" s="622"/>
      <x:c r="C36" s="622"/>
      <x:c r="D36" s="622"/>
      <x:c r="E36" s="622"/>
      <x:c r="F36" s="622"/>
      <x:c r="G36" s="622"/>
      <x:c r="H36" s="622"/>
      <x:c r="I36" s="622"/>
      <x:c r="J36" s="622"/>
      <x:c r="K36" s="622"/>
      <x:c r="L36" s="622"/>
    </x:row>
  </x:sheetData>
  <x:mergeCells>
    <x:mergeCell ref="A1:L2"/>
    <x:mergeCell ref="A4:L4"/>
    <x:mergeCell ref="A6:C6"/>
    <x:mergeCell ref="A7:C8"/>
    <x:mergeCell ref="E6:G6"/>
    <x:mergeCell ref="E7:G8"/>
    <x:mergeCell ref="I6:K6"/>
    <x:mergeCell ref="I7:K8"/>
    <x:mergeCell ref="A10:C10"/>
    <x:mergeCell ref="A11:C12"/>
    <x:mergeCell ref="E10:G10"/>
    <x:mergeCell ref="E11:G12"/>
    <x:mergeCell ref="I10:K10"/>
    <x:mergeCell ref="I11:K12"/>
    <x:mergeCell ref="A14:C14"/>
    <x:mergeCell ref="A15:C16"/>
    <x:mergeCell ref="E14:G14"/>
    <x:mergeCell ref="E15:G16"/>
    <x:mergeCell ref="I14:K14"/>
    <x:mergeCell ref="I15:K16"/>
    <x:mergeCell ref="A19:L19"/>
    <x:mergeCell ref="A27:L27"/>
    <x:mergeCell ref="A34:L36"/>
  </x:mergeCell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55" hidden="0" customWidth="1"/>
    <x:col min="4" max="4" width="12" hidden="0" customWidth="1"/>
    <x:col min="5" max="5" width="22" hidden="0" customWidth="1"/>
    <x:col min="6" max="6" width="22" hidden="0" customWidth="1"/>
    <x:col min="7" max="7" width="12" hidden="0" customWidth="1"/>
    <x:col min="8" max="8" width="22" hidden="0" customWidth="1"/>
    <x:col min="9" max="9" width="12" hidden="0" customWidth="1"/>
    <x:col min="10" max="10" width="18" hidden="0" customWidth="1"/>
    <x:col min="11" max="11" width="12" hidden="0" customWidth="1"/>
    <x:col min="12" max="12" width="18" hidden="0" customWidth="1"/>
  </x:cols>
  <x:sheetData>
    <x:row r="1">
      <x:c r="A1" s="632" t="str">
        <x:v>TRAVEL OS RC6 · TRAVEL COMPANION</x:v>
      </x:c>
      <x:c r="B1" s="632"/>
      <x:c r="C1" s="632"/>
      <x:c r="D1" s="632"/>
      <x:c r="E1" s="632"/>
      <x:c r="F1" s="632"/>
      <x:c r="G1" s="632"/>
      <x:c r="H1" s="632"/>
      <x:c r="I1" s="632"/>
      <x:c r="J1" s="632"/>
      <x:c r="K1" s="632"/>
      <x:c r="L1" s="632"/>
    </x:row>
    <x:row r="2">
      <x:c r="A2" s="632"/>
      <x:c r="B2" s="632"/>
      <x:c r="C2" s="632"/>
      <x:c r="D2" s="632"/>
      <x:c r="E2" s="632"/>
      <x:c r="F2" s="632"/>
      <x:c r="G2" s="632"/>
      <x:c r="H2" s="632"/>
      <x:c r="I2" s="632"/>
      <x:c r="J2" s="632"/>
      <x:c r="K2" s="632"/>
      <x:c r="L2" s="632"/>
    </x:row>
    <x:row r="4">
      <x:c r="A4" s="634" t="str">
        <x:v>AT-A-GLANCE</x:v>
      </x:c>
      <x:c r="B4" s="634"/>
      <x:c r="C4" s="634"/>
      <x:c r="D4" s="634"/>
      <x:c r="E4" s="634"/>
      <x:c r="F4" s="634"/>
      <x:c r="G4" s="634"/>
      <x:c r="H4" s="634"/>
      <x:c r="I4" s="634"/>
      <x:c r="J4" s="634"/>
      <x:c r="K4" s="634"/>
      <x:c r="L4" s="634"/>
    </x:row>
    <x:row r="6">
      <x:c r="A6" s="636" t="str">
        <x:v>Trip days</x:v>
      </x:c>
      <x:c r="B6" s="636"/>
      <x:c r="C6" s="636"/>
      <x:c r="E6" s="636" t="str">
        <x:v>Restaurant candidates</x:v>
      </x:c>
      <x:c r="F6" s="636"/>
      <x:c r="G6" s="636"/>
      <x:c r="I6" s="636" t="str">
        <x:v>Michelin-tagged</x:v>
      </x:c>
      <x:c r="J6" s="636"/>
      <x:c r="K6" s="636"/>
    </x:row>
    <x:row r="7">
      <x:c r="A7" s="639" t="n">
        <x:f>COUNTA('📅 Master Itinerary'!B5:B21)-2</x:f>
        <x:v>15</x:v>
      </x:c>
      <x:c r="B7" s="639"/>
      <x:c r="C7" s="639"/>
      <x:c r="E7" s="639" t="n">
        <x:f>COUNTA('🍽 Restaurants'!D5:D200)</x:f>
        <x:v>128</x:v>
      </x:c>
      <x:c r="F7" s="639"/>
      <x:c r="G7" s="639"/>
      <x:c r="I7" s="639" t="n">
        <x:f>COUNTIF('🍽 Restaurants'!L5:L200,"*MICHELIN*")</x:f>
        <x:v>0</x:v>
      </x:c>
      <x:c r="J7" s="639"/>
      <x:c r="K7" s="639"/>
    </x:row>
    <x:row r="8">
      <x:c r="A8" s="639"/>
      <x:c r="B8" s="639"/>
      <x:c r="C8" s="639"/>
      <x:c r="E8" s="639"/>
      <x:c r="F8" s="639"/>
      <x:c r="G8" s="639"/>
      <x:c r="I8" s="639"/>
      <x:c r="J8" s="639"/>
      <x:c r="K8" s="639"/>
    </x:row>
    <x:row r="10">
      <x:c r="A10" s="636" t="str">
        <x:v>Breakfast options</x:v>
      </x:c>
      <x:c r="B10" s="636"/>
      <x:c r="C10" s="636"/>
      <x:c r="E10" s="636" t="str">
        <x:v>Reservations confirmed</x:v>
      </x:c>
      <x:c r="F10" s="636"/>
      <x:c r="G10" s="636"/>
      <x:c r="I10" s="636" t="str">
        <x:v>Favorites</x:v>
      </x:c>
      <x:c r="J10" s="636"/>
      <x:c r="K10" s="636"/>
    </x:row>
    <x:row r="11">
      <x:c r="A11" s="639" t="n">
        <x:f>COUNTIF('🍽 Restaurants'!H5:H200,"Yes")</x:f>
        <x:v>52</x:v>
      </x:c>
      <x:c r="B11" s="639"/>
      <x:c r="C11" s="639"/>
      <x:c r="E11" s="639" t="n">
        <x:f>COUNTIF('🍽 Restaurants'!W5:W200,"Confirmed")</x:f>
        <x:v>0</x:v>
      </x:c>
      <x:c r="F11" s="639"/>
      <x:c r="G11" s="639"/>
      <x:c r="I11" s="639" t="n">
        <x:f>COUNTIF('🍽 Restaurants'!V5:V200,"Yes")</x:f>
        <x:v>0</x:v>
      </x:c>
      <x:c r="J11" s="639"/>
      <x:c r="K11" s="639"/>
    </x:row>
    <x:row r="12">
      <x:c r="A12" s="639"/>
      <x:c r="B12" s="639"/>
      <x:c r="C12" s="639"/>
      <x:c r="E12" s="639"/>
      <x:c r="F12" s="639"/>
      <x:c r="G12" s="639"/>
      <x:c r="I12" s="639"/>
      <x:c r="J12" s="639"/>
      <x:c r="K12" s="639"/>
    </x:row>
    <x:row r="15">
      <x:c r="A15" s="634" t="str">
        <x:v>RC6 MODULES</x:v>
      </x:c>
      <x:c r="B15" s="634"/>
      <x:c r="C15" s="634"/>
      <x:c r="D15" s="634"/>
      <x:c r="E15" s="634"/>
      <x:c r="F15" s="634"/>
      <x:c r="G15" s="634"/>
      <x:c r="H15" s="634"/>
      <x:c r="I15" s="634"/>
      <x:c r="J15" s="634"/>
      <x:c r="K15" s="634"/>
      <x:c r="L15" s="634"/>
    </x:row>
    <x:row r="17">
      <x:c r="A17" s="642" t="str">
        <x:v>1</x:v>
      </x:c>
      <x:c r="B17" s="618" t="str">
        <x:v>Reservation Assistant</x:v>
      </x:c>
      <x:c r="C17" s="376" t="str">
        <x:v>Booking channel, opening rule, target date, deadline, deposit, dietary request and confirmation.</x:v>
      </x:c>
    </x:row>
    <x:row r="18">
      <x:c r="A18" s="642" t="str">
        <x:v>2</x:v>
      </x:c>
      <x:c r="B18" s="618" t="str">
        <x:v>Daily Timeline</x:v>
      </x:c>
      <x:c r="C18" s="376" t="str">
        <x:v>Time-based morning, lunch, afternoon, dinner and nightly reset plan for every trip day.</x:v>
      </x:c>
    </x:row>
    <x:row r="19">
      <x:c r="A19" s="642" t="str">
        <x:v>3</x:v>
      </x:c>
      <x:c r="B19" s="618" t="str">
        <x:v>Transit Intelligence</x:v>
      </x:c>
      <x:c r="C19" s="376" t="str">
        <x:v>Next route, reservation needs, luggage plan, station notes and official live-status links.</x:v>
      </x:c>
    </x:row>
    <x:row r="20">
      <x:c r="A20" s="642" t="str">
        <x:v>4</x:v>
      </x:c>
      <x:c r="B20" s="618" t="str">
        <x:v>Weather + Rain Mode</x:v>
      </x:c>
      <x:c r="C20" s="376" t="str">
        <x:v>Live forecast during travel with automatic indoor-backup prompts.</x:v>
      </x:c>
    </x:row>
    <x:row r="21">
      <x:c r="A21" s="642" t="str">
        <x:v>5</x:v>
      </x:c>
      <x:c r="B21" s="618" t="str">
        <x:v>Packing Intelligence</x:v>
      </x:c>
      <x:c r="C21" s="376" t="str">
        <x:v>Tokyo, Hakone, Kyoto, Osaka and flight-day carry lists.</x:v>
      </x:c>
    </x:row>
    <x:row r="22">
      <x:c r="A22" s="642" t="str">
        <x:v>6</x:v>
      </x:c>
      <x:c r="B22" s="618" t="str">
        <x:v>Budget Dashboard</x:v>
      </x:c>
      <x:c r="C22" s="376" t="str">
        <x:v>Planned, actual, remaining, daily average and category variance.</x:v>
      </x:c>
    </x:row>
    <x:row r="23">
      <x:c r="A23" s="642" t="str">
        <x:v>7</x:v>
      </x:c>
      <x:c r="B23" s="618" t="str">
        <x:v>Map Explorer</x:v>
      </x:c>
      <x:c r="C23" s="376" t="str">
        <x:v>Hotels, restaurants, attractions and transit hubs in one searchable location index.</x:v>
      </x:c>
    </x:row>
    <x:row r="24">
      <x:c r="A24" s="642" t="str">
        <x:v>8</x:v>
      </x:c>
      <x:c r="B24" s="618" t="str">
        <x:v>Smart Daily Brief</x:v>
      </x:c>
      <x:c r="C24" s="376" t="str">
        <x:v>Morning briefing generated from itinerary, weather, reservations, transit and packing.</x:v>
      </x:c>
    </x:row>
    <x:row r="25">
      <x:c r="A25" s="642" t="str">
        <x:v>9</x:v>
      </x:c>
      <x:c r="B25" s="618" t="str">
        <x:v>Memory Book</x:v>
      </x:c>
      <x:c r="C25" s="376" t="str">
        <x:v>Best meal, best moment, photos, purchases, ratings and printable trip recap.</x:v>
      </x:c>
    </x:row>
    <x:row r="28">
      <x:c r="A28" s="646" t="str">
        <x:v>RC6 is a travel-day operating system. Live weather works without an API key. Transit buttons open official status or mapping services; true platform-level real-time data still depends on third-party connectivity.</x:v>
      </x:c>
      <x:c r="B28" s="646"/>
      <x:c r="C28" s="646"/>
      <x:c r="D28" s="646"/>
      <x:c r="E28" s="646"/>
      <x:c r="F28" s="646"/>
      <x:c r="G28" s="646"/>
      <x:c r="H28" s="646"/>
      <x:c r="I28" s="646"/>
      <x:c r="J28" s="646"/>
      <x:c r="K28" s="646"/>
      <x:c r="L28" s="646"/>
    </x:row>
    <x:row r="29">
      <x:c r="A29" s="646"/>
      <x:c r="B29" s="646"/>
      <x:c r="C29" s="646"/>
      <x:c r="D29" s="646"/>
      <x:c r="E29" s="646"/>
      <x:c r="F29" s="646"/>
      <x:c r="G29" s="646"/>
      <x:c r="H29" s="646"/>
      <x:c r="I29" s="646"/>
      <x:c r="J29" s="646"/>
      <x:c r="K29" s="646"/>
      <x:c r="L29" s="646"/>
    </x:row>
    <x:row r="30">
      <x:c r="A30" s="646"/>
      <x:c r="B30" s="646"/>
      <x:c r="C30" s="646"/>
      <x:c r="D30" s="646"/>
      <x:c r="E30" s="646"/>
      <x:c r="F30" s="646"/>
      <x:c r="G30" s="646"/>
      <x:c r="H30" s="646"/>
      <x:c r="I30" s="646"/>
      <x:c r="J30" s="646"/>
      <x:c r="K30" s="646"/>
      <x:c r="L30" s="646"/>
    </x:row>
  </x:sheetData>
  <x:mergeCells>
    <x:mergeCell ref="A1:L2"/>
    <x:mergeCell ref="A4:L4"/>
    <x:mergeCell ref="A6:C6"/>
    <x:mergeCell ref="A7:C8"/>
    <x:mergeCell ref="E6:G6"/>
    <x:mergeCell ref="E7:G8"/>
    <x:mergeCell ref="I6:K6"/>
    <x:mergeCell ref="I7:K8"/>
    <x:mergeCell ref="A10:C10"/>
    <x:mergeCell ref="A11:C12"/>
    <x:mergeCell ref="E10:G10"/>
    <x:mergeCell ref="E11:G12"/>
    <x:mergeCell ref="I10:K10"/>
    <x:mergeCell ref="I11:K12"/>
    <x:mergeCell ref="A15:L15"/>
    <x:mergeCell ref="A28:L30"/>
  </x:mergeCell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13" hidden="0" customWidth="1"/>
    <x:col min="5" max="5" width="22" hidden="0" customWidth="1"/>
    <x:col min="6" max="6" width="20" hidden="0" customWidth="1"/>
    <x:col min="7" max="7" width="18" hidden="0" customWidth="1"/>
    <x:col min="8" max="8" width="22" hidden="0" customWidth="1"/>
    <x:col min="9" max="9" width="16" hidden="0" customWidth="1"/>
    <x:col min="10" max="10" width="18" hidden="0" customWidth="1"/>
    <x:col min="11" max="11" width="1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38" hidden="0" customWidth="1"/>
  </x:cols>
  <x:sheetData>
    <x:row r="1">
      <x:c r="A1" s="647" t="str">
        <x:v>🎟 RESERVATION ASSISTANT · RC6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O1" s="647"/>
      <x:c r="P1" s="647"/>
      <x:c r="Q1" s="647"/>
    </x:row>
    <x:row r="2">
      <x:c r="A2" s="647"/>
      <x:c r="B2" s="647"/>
      <x:c r="C2" s="647"/>
      <x:c r="D2" s="647"/>
      <x:c r="E2" s="647"/>
      <x:c r="F2" s="647"/>
      <x:c r="G2" s="647"/>
      <x:c r="H2" s="647"/>
      <x:c r="I2" s="647"/>
      <x:c r="J2" s="647"/>
      <x:c r="K2" s="647"/>
      <x:c r="L2" s="647"/>
      <x:c r="M2" s="647"/>
      <x:c r="N2" s="647"/>
      <x:c r="O2" s="647"/>
      <x:c r="P2" s="647"/>
      <x:c r="Q2" s="647"/>
    </x:row>
    <x:row r="4">
      <x:c r="A4" s="648" t="str">
        <x:v>Restaurant</x:v>
      </x:c>
      <x:c r="B4" s="648" t="str">
        <x:v>City</x:v>
      </x:c>
      <x:c r="C4" s="648" t="str">
        <x:v>Area</x:v>
      </x:c>
      <x:c r="D4" s="648" t="str">
        <x:v>Priority</x:v>
      </x:c>
      <x:c r="E4" s="648" t="str">
        <x:v>Michelin</x:v>
      </x:c>
      <x:c r="F4" s="648" t="str">
        <x:v>Meal</x:v>
      </x:c>
      <x:c r="G4" s="648" t="str">
        <x:v>Booking Channel</x:v>
      </x:c>
      <x:c r="H4" s="648" t="str">
        <x:v>Opening Rule</x:v>
      </x:c>
      <x:c r="I4" s="648" t="str">
        <x:v>Target Booking Date</x:v>
      </x:c>
      <x:c r="J4" s="648" t="str">
        <x:v>Cancellation Deadline</x:v>
      </x:c>
      <x:c r="K4" s="648" t="str">
        <x:v>Deposit</x:v>
      </x:c>
      <x:c r="L4" s="648" t="str">
        <x:v>Dietary Request</x:v>
      </x:c>
      <x:c r="M4" s="648" t="str">
        <x:v>Confirmation #</x:v>
      </x:c>
      <x:c r="N4" s="648" t="str">
        <x:v>Status</x:v>
      </x:c>
      <x:c r="O4" s="648" t="str">
        <x:v>Owner</x:v>
      </x:c>
      <x:c r="P4" s="648" t="str">
        <x:v>Contact / Booking URL</x:v>
      </x:c>
      <x:c r="Q4" s="648" t="str">
        <x:v>Notes</x:v>
      </x:c>
    </x:row>
    <x:row r="5">
      <x:c r="A5" t="str">
        <x:v>Gora Kadan</x:v>
      </x:c>
      <x:c r="B5" t="str">
        <x:v>Hakone</x:v>
      </x:c>
      <x:c r="C5" t="str">
        <x:v>Gora</x:v>
      </x:c>
      <x:c r="D5" t="str">
        <x:v>Bucket list</x:v>
      </x:c>
      <x:c r="E5" t="str">
        <x:v>MICHELIN Key hotel / restaurant research</x:v>
      </x:c>
      <x:c r="F5" t="str">
        <x:v>Breakfast,Dinner</x:v>
      </x:c>
      <x:c r="G5" t="str">
        <x:v>Research</x:v>
      </x:c>
      <x:c r="H5" t="str">
        <x:v>Research</x:v>
      </x:c>
      <x:c r="I5" s="382"/>
      <x:c r="J5" s="382"/>
      <x:c r="K5" t="str">
        <x:v>Unknown</x:v>
      </x:c>
      <x:c r="L5" t="str">
        <x:v>No</x:v>
      </x:c>
      <x:c r="M5" t="str"/>
      <x:c r="N5" t="str">
        <x:v>Not booked</x:v>
      </x:c>
      <x:c r="O5" t="str">
        <x:v>David + Noelle</x:v>
      </x:c>
      <x:c r="P5" t="str">
        <x:v>https://tabelog.com/en/rstLst/?sk=Gora+Kadan</x:v>
      </x:c>
      <x:c r="Q5" t="str">
        <x:v>Gluten-free and lactose-free accommodation must be reconfirmed directly; cross-contact is not assumed safe.</x:v>
      </x:c>
    </x:row>
    <x:row r="6">
      <x:c r="A6" t="str">
        <x:v>Hakone Ginyu</x:v>
      </x:c>
      <x:c r="B6" t="str">
        <x:v>Hakone</x:v>
      </x:c>
      <x:c r="C6" t="str">
        <x:v>Miyanoshita</x:v>
      </x:c>
      <x:c r="D6" t="str">
        <x:v>Bucket list</x:v>
      </x:c>
      <x:c r="E6" t="str">
        <x:v>—</x:v>
      </x:c>
      <x:c r="F6" t="str">
        <x:v>Breakfast,Dinner</x:v>
      </x:c>
      <x:c r="G6" t="str">
        <x:v>Research</x:v>
      </x:c>
      <x:c r="H6" t="str">
        <x:v>Research</x:v>
      </x:c>
      <x:c r="I6" s="382"/>
      <x:c r="J6" s="382"/>
      <x:c r="K6" t="str">
        <x:v>Unknown</x:v>
      </x:c>
      <x:c r="L6" t="str">
        <x:v>No</x:v>
      </x:c>
      <x:c r="M6" t="str"/>
      <x:c r="N6" t="str">
        <x:v>Not booked</x:v>
      </x:c>
      <x:c r="O6" t="str">
        <x:v>David + Noelle</x:v>
      </x:c>
      <x:c r="P6" t="str">
        <x:v>https://tabelog.com/en/rstLst/?sk=Hakone+Ginyu</x:v>
      </x:c>
      <x:c r="Q6" t="str">
        <x:v>Gluten-free and lactose-free accommodation must be reconfirmed directly; cross-contact is not assumed safe.</x:v>
      </x:c>
    </x:row>
    <x:row r="7">
      <x:c r="A7" t="str">
        <x:v>Gion Sasaki</x:v>
      </x:c>
      <x:c r="B7" t="str">
        <x:v>Kyoto</x:v>
      </x:c>
      <x:c r="C7" t="str">
        <x:v>Gion</x:v>
      </x:c>
      <x:c r="D7" t="str">
        <x:v>Bucket list</x:v>
      </x:c>
      <x:c r="E7" t="str">
        <x:v>3★ / MICHELIN Guide</x:v>
      </x:c>
      <x:c r="F7" t="str">
        <x:v>Dinner</x:v>
      </x:c>
      <x:c r="G7" t="str">
        <x:v>Research</x:v>
      </x:c>
      <x:c r="H7" t="str">
        <x:v>Research</x:v>
      </x:c>
      <x:c r="I7" s="382"/>
      <x:c r="J7" s="382"/>
      <x:c r="K7" t="str">
        <x:v>Unknown</x:v>
      </x:c>
      <x:c r="L7" t="str">
        <x:v>No</x:v>
      </x:c>
      <x:c r="M7" t="str"/>
      <x:c r="N7" t="str">
        <x:v>Not booked</x:v>
      </x:c>
      <x:c r="O7" t="str">
        <x:v>David + Noelle</x:v>
      </x:c>
      <x:c r="P7" t="str">
        <x:v>https://tabelog.com/en/rstLst/?sk=Gion+Sasaki</x:v>
      </x:c>
      <x:c r="Q7" t="str">
        <x:v>Gluten-free and lactose-free accommodation must be reconfirmed directly; cross-contact is not assumed safe.</x:v>
      </x:c>
    </x:row>
    <x:row r="8">
      <x:c r="A8" t="str">
        <x:v>Hyotei</x:v>
      </x:c>
      <x:c r="B8" t="str">
        <x:v>Kyoto</x:v>
      </x:c>
      <x:c r="C8" t="str">
        <x:v>Nanzenji</x:v>
      </x:c>
      <x:c r="D8" t="str">
        <x:v>Bucket list</x:v>
      </x:c>
      <x:c r="E8" t="str">
        <x:v>3★ / MICHELIN Guide</x:v>
      </x:c>
      <x:c r="F8" t="str">
        <x:v>Breakfast,Lunch,Dinner</x:v>
      </x:c>
      <x:c r="G8" t="str">
        <x:v>Research</x:v>
      </x:c>
      <x:c r="H8" t="str">
        <x:v>Research</x:v>
      </x:c>
      <x:c r="I8" s="382"/>
      <x:c r="J8" s="382"/>
      <x:c r="K8" t="str">
        <x:v>Unknown</x:v>
      </x:c>
      <x:c r="L8" t="str">
        <x:v>No</x:v>
      </x:c>
      <x:c r="M8" t="str"/>
      <x:c r="N8" t="str">
        <x:v>Not booked</x:v>
      </x:c>
      <x:c r="O8" t="str">
        <x:v>David + Noelle</x:v>
      </x:c>
      <x:c r="P8" t="str">
        <x:v>https://tabelog.com/en/rstLst/?sk=Hyotei</x:v>
      </x:c>
      <x:c r="Q8" t="str">
        <x:v>Gluten-free and lactose-free accommodation must be reconfirmed directly; cross-contact is not assumed safe.</x:v>
      </x:c>
    </x:row>
    <x:row r="9">
      <x:c r="A9" t="str">
        <x:v>Kikunoi Honten</x:v>
      </x:c>
      <x:c r="B9" t="str">
        <x:v>Kyoto</x:v>
      </x:c>
      <x:c r="C9" t="str">
        <x:v>Higashiyama</x:v>
      </x:c>
      <x:c r="D9" t="str">
        <x:v>Bucket list</x:v>
      </x:c>
      <x:c r="E9" t="str">
        <x:v>3★ / MICHELIN Guide</x:v>
      </x:c>
      <x:c r="F9" t="str">
        <x:v>Lunch,Dinner</x:v>
      </x:c>
      <x:c r="G9" t="str">
        <x:v>Research</x:v>
      </x:c>
      <x:c r="H9" t="str">
        <x:v>Research</x:v>
      </x:c>
      <x:c r="I9" s="382"/>
      <x:c r="J9" s="382"/>
      <x:c r="K9" t="str">
        <x:v>Unknown</x:v>
      </x:c>
      <x:c r="L9" t="str">
        <x:v>No</x:v>
      </x:c>
      <x:c r="M9" t="str"/>
      <x:c r="N9" t="str">
        <x:v>Not booked</x:v>
      </x:c>
      <x:c r="O9" t="str">
        <x:v>David + Noelle</x:v>
      </x:c>
      <x:c r="P9" t="str">
        <x:v>https://tabelog.com/en/rstLst/?sk=Kikunoi+Honten</x:v>
      </x:c>
      <x:c r="Q9" t="str">
        <x:v>Gluten-free and lactose-free accommodation must be reconfirmed directly; cross-contact is not assumed safe.</x:v>
      </x:c>
    </x:row>
    <x:row r="10">
      <x:c r="A10" t="str">
        <x:v>Miyamaso</x:v>
      </x:c>
      <x:c r="B10" t="str">
        <x:v>Kyoto</x:v>
      </x:c>
      <x:c r="C10" t="str">
        <x:v>Sakyo</x:v>
      </x:c>
      <x:c r="D10" t="str">
        <x:v>Bucket list</x:v>
      </x:c>
      <x:c r="E10" t="str">
        <x:v>2★ / MICHELIN Guide</x:v>
      </x:c>
      <x:c r="F10" t="str">
        <x:v>Lunch,Dinner</x:v>
      </x:c>
      <x:c r="G10" t="str">
        <x:v>Research</x:v>
      </x:c>
      <x:c r="H10" t="str">
        <x:v>Research</x:v>
      </x:c>
      <x:c r="I10" s="382"/>
      <x:c r="J10" s="382"/>
      <x:c r="K10" t="str">
        <x:v>Unknown</x:v>
      </x:c>
      <x:c r="L10" t="str">
        <x:v>No</x:v>
      </x:c>
      <x:c r="M10" t="str"/>
      <x:c r="N10" t="str">
        <x:v>Not booked</x:v>
      </x:c>
      <x:c r="O10" t="str">
        <x:v>David + Noelle</x:v>
      </x:c>
      <x:c r="P10" t="str">
        <x:v>https://tabelog.com/en/rstLst/?sk=Miyamaso</x:v>
      </x:c>
      <x:c r="Q10" t="str">
        <x:v>Gluten-free and lactose-free accommodation must be reconfirmed directly; cross-contact is not assumed safe.</x:v>
      </x:c>
    </x:row>
    <x:row r="11">
      <x:c r="A11" t="str">
        <x:v>Mizai</x:v>
      </x:c>
      <x:c r="B11" t="str">
        <x:v>Kyoto</x:v>
      </x:c>
      <x:c r="C11" t="str">
        <x:v>Gion</x:v>
      </x:c>
      <x:c r="D11" t="str">
        <x:v>Bucket list</x:v>
      </x:c>
      <x:c r="E11" t="str">
        <x:v>3★ / MICHELIN Guide</x:v>
      </x:c>
      <x:c r="F11" t="str">
        <x:v>Dinner</x:v>
      </x:c>
      <x:c r="G11" t="str">
        <x:v>Research</x:v>
      </x:c>
      <x:c r="H11" t="str">
        <x:v>Research</x:v>
      </x:c>
      <x:c r="I11" s="382"/>
      <x:c r="J11" s="382"/>
      <x:c r="K11" t="str">
        <x:v>Unknown</x:v>
      </x:c>
      <x:c r="L11" t="str">
        <x:v>No</x:v>
      </x:c>
      <x:c r="M11" t="str"/>
      <x:c r="N11" t="str">
        <x:v>Not booked</x:v>
      </x:c>
      <x:c r="O11" t="str">
        <x:v>David + Noelle</x:v>
      </x:c>
      <x:c r="P11" t="str">
        <x:v>https://tabelog.com/en/rstLst/?sk=Mizai</x:v>
      </x:c>
      <x:c r="Q11" t="str">
        <x:v>Gluten-free and lactose-free accommodation must be reconfirmed directly; cross-contact is not assumed safe.</x:v>
      </x:c>
    </x:row>
    <x:row r="12">
      <x:c r="A12" t="str">
        <x:v>Ogata</x:v>
      </x:c>
      <x:c r="B12" t="str">
        <x:v>Kyoto</x:v>
      </x:c>
      <x:c r="C12" t="str">
        <x:v>Gion</x:v>
      </x:c>
      <x:c r="D12" t="str">
        <x:v>Bucket list</x:v>
      </x:c>
      <x:c r="E12" t="str">
        <x:v>2★ / MICHELIN Guide</x:v>
      </x:c>
      <x:c r="F12" t="str">
        <x:v>Dinner</x:v>
      </x:c>
      <x:c r="G12" t="str">
        <x:v>Research</x:v>
      </x:c>
      <x:c r="H12" t="str">
        <x:v>Research</x:v>
      </x:c>
      <x:c r="I12" s="382"/>
      <x:c r="J12" s="382"/>
      <x:c r="K12" t="str">
        <x:v>Unknown</x:v>
      </x:c>
      <x:c r="L12" t="str">
        <x:v>No</x:v>
      </x:c>
      <x:c r="M12" t="str"/>
      <x:c r="N12" t="str">
        <x:v>Not booked</x:v>
      </x:c>
      <x:c r="O12" t="str">
        <x:v>David + Noelle</x:v>
      </x:c>
      <x:c r="P12" t="str">
        <x:v>https://tabelog.com/en/rstLst/?sk=Ogata</x:v>
      </x:c>
      <x:c r="Q12" t="str">
        <x:v>Gluten-free and lactose-free accommodation must be reconfirmed directly; cross-contact is not assumed safe.</x:v>
      </x:c>
    </x:row>
    <x:row r="13">
      <x:c r="A13" t="str">
        <x:v>HAJIME</x:v>
      </x:c>
      <x:c r="B13" t="str">
        <x:v>Osaka</x:v>
      </x:c>
      <x:c r="C13" t="str">
        <x:v>Nishi-Azabu / Nakanoshima</x:v>
      </x:c>
      <x:c r="D13" t="str">
        <x:v>Bucket list</x:v>
      </x:c>
      <x:c r="E13" t="str">
        <x:v>3★ / MICHELIN Guide</x:v>
      </x:c>
      <x:c r="F13" t="str">
        <x:v>Lunch,Dinner</x:v>
      </x:c>
      <x:c r="G13" t="str">
        <x:v>Research</x:v>
      </x:c>
      <x:c r="H13" t="str">
        <x:v>Research</x:v>
      </x:c>
      <x:c r="I13" s="382"/>
      <x:c r="J13" s="382"/>
      <x:c r="K13" t="str">
        <x:v>Unknown</x:v>
      </x:c>
      <x:c r="L13" t="str">
        <x:v>No</x:v>
      </x:c>
      <x:c r="M13" t="str"/>
      <x:c r="N13" t="str">
        <x:v>Not booked</x:v>
      </x:c>
      <x:c r="O13" t="str">
        <x:v>David + Noelle</x:v>
      </x:c>
      <x:c r="P13" t="str">
        <x:v>https://tabelog.com/en/rstLst/?sk=HAJIME</x:v>
      </x:c>
      <x:c r="Q13" t="str">
        <x:v>Gluten-free and lactose-free accommodation must be reconfirmed directly; cross-contact is not assumed safe.</x:v>
      </x:c>
    </x:row>
    <x:row r="14">
      <x:c r="A14" t="str">
        <x:v>Kashiwaya Osaka Senriyama</x:v>
      </x:c>
      <x:c r="B14" t="str">
        <x:v>Osaka</x:v>
      </x:c>
      <x:c r="C14" t="str">
        <x:v>Suita</x:v>
      </x:c>
      <x:c r="D14" t="str">
        <x:v>Bucket list</x:v>
      </x:c>
      <x:c r="E14" t="str">
        <x:v>3★ / MICHELIN Guide</x:v>
      </x:c>
      <x:c r="F14" t="str">
        <x:v>Lunch,Dinner</x:v>
      </x:c>
      <x:c r="G14" t="str">
        <x:v>Research</x:v>
      </x:c>
      <x:c r="H14" t="str">
        <x:v>Research</x:v>
      </x:c>
      <x:c r="I14" s="382"/>
      <x:c r="J14" s="382"/>
      <x:c r="K14" t="str">
        <x:v>Unknown</x:v>
      </x:c>
      <x:c r="L14" t="str">
        <x:v>No</x:v>
      </x:c>
      <x:c r="M14" t="str"/>
      <x:c r="N14" t="str">
        <x:v>Not booked</x:v>
      </x:c>
      <x:c r="O14" t="str">
        <x:v>David + Noelle</x:v>
      </x:c>
      <x:c r="P14" t="str">
        <x:v>https://tabelog.com/en/rstLst/?sk=Kashiwaya+Osaka+Senriyama</x:v>
      </x:c>
      <x:c r="Q14" t="str">
        <x:v>Gluten-free and lactose-free accommodation must be reconfirmed directly; cross-contact is not assumed safe.</x:v>
      </x:c>
    </x:row>
    <x:row r="15">
      <x:c r="A15" t="str">
        <x:v>La Cime</x:v>
      </x:c>
      <x:c r="B15" t="str">
        <x:v>Osaka</x:v>
      </x:c>
      <x:c r="C15" t="str">
        <x:v>Honmachi</x:v>
      </x:c>
      <x:c r="D15" t="str">
        <x:v>Bucket list</x:v>
      </x:c>
      <x:c r="E15" t="str">
        <x:v>2★ / MICHELIN Guide</x:v>
      </x:c>
      <x:c r="F15" t="str">
        <x:v>Lunch,Dinner</x:v>
      </x:c>
      <x:c r="G15" t="str">
        <x:v>Research</x:v>
      </x:c>
      <x:c r="H15" t="str">
        <x:v>Research</x:v>
      </x:c>
      <x:c r="I15" s="382"/>
      <x:c r="J15" s="382"/>
      <x:c r="K15" t="str">
        <x:v>Unknown</x:v>
      </x:c>
      <x:c r="L15" t="str">
        <x:v>No</x:v>
      </x:c>
      <x:c r="M15" t="str"/>
      <x:c r="N15" t="str">
        <x:v>Not booked</x:v>
      </x:c>
      <x:c r="O15" t="str">
        <x:v>David + Noelle</x:v>
      </x:c>
      <x:c r="P15" t="str">
        <x:v>https://tabelog.com/en/rstLst/?sk=La+Cime</x:v>
      </x:c>
      <x:c r="Q15" t="str">
        <x:v>Gluten-free and lactose-free accommodation must be reconfirmed directly; cross-contact is not assumed safe.</x:v>
      </x:c>
    </x:row>
    <x:row r="16">
      <x:c r="A16" t="str">
        <x:v>Taian</x:v>
      </x:c>
      <x:c r="B16" t="str">
        <x:v>Osaka</x:v>
      </x:c>
      <x:c r="C16" t="str">
        <x:v>Matsuyamachi</x:v>
      </x:c>
      <x:c r="D16" t="str">
        <x:v>Bucket list</x:v>
      </x:c>
      <x:c r="E16" t="str">
        <x:v>3★ / MICHELIN Guide</x:v>
      </x:c>
      <x:c r="F16" t="str">
        <x:v>Dinner</x:v>
      </x:c>
      <x:c r="G16" t="str">
        <x:v>Research</x:v>
      </x:c>
      <x:c r="H16" t="str">
        <x:v>Research</x:v>
      </x:c>
      <x:c r="I16" s="382"/>
      <x:c r="J16" s="382"/>
      <x:c r="K16" t="str">
        <x:v>Unknown</x:v>
      </x:c>
      <x:c r="L16" t="str">
        <x:v>No</x:v>
      </x:c>
      <x:c r="M16" t="str"/>
      <x:c r="N16" t="str">
        <x:v>Not booked</x:v>
      </x:c>
      <x:c r="O16" t="str">
        <x:v>David + Noelle</x:v>
      </x:c>
      <x:c r="P16" t="str">
        <x:v>https://tabelog.com/en/rstLst/?sk=Taian</x:v>
      </x:c>
      <x:c r="Q16" t="str">
        <x:v>Gluten-free and lactose-free accommodation must be reconfirmed directly; cross-contact is not assumed safe.</x:v>
      </x:c>
    </x:row>
    <x:row r="17">
      <x:c r="A17" t="str">
        <x:v>Akasaka Kikunoi</x:v>
      </x:c>
      <x:c r="B17" t="str">
        <x:v>Tokyo</x:v>
      </x:c>
      <x:c r="C17" t="str">
        <x:v>Akasaka</x:v>
      </x:c>
      <x:c r="D17" t="str">
        <x:v>Bucket list</x:v>
      </x:c>
      <x:c r="E17" t="str">
        <x:v>2★ / MICHELIN Guide</x:v>
      </x:c>
      <x:c r="F17" t="str">
        <x:v>Lunch,Dinner</x:v>
      </x:c>
      <x:c r="G17" t="str">
        <x:v>Research</x:v>
      </x:c>
      <x:c r="H17" t="str">
        <x:v>Research</x:v>
      </x:c>
      <x:c r="I17" s="382"/>
      <x:c r="J17" s="382"/>
      <x:c r="K17" t="str">
        <x:v>Unknown</x:v>
      </x:c>
      <x:c r="L17" t="str">
        <x:v>No</x:v>
      </x:c>
      <x:c r="M17" t="str"/>
      <x:c r="N17" t="str">
        <x:v>Not booked</x:v>
      </x:c>
      <x:c r="O17" t="str">
        <x:v>David + Noelle</x:v>
      </x:c>
      <x:c r="P17" t="str">
        <x:v>https://tabelog.com/en/rstLst/?sk=Akasaka+Kikunoi</x:v>
      </x:c>
      <x:c r="Q17" t="str">
        <x:v>Gluten-free and lactose-free accommodation must be reconfirmed directly; cross-contact is not assumed safe.</x:v>
      </x:c>
    </x:row>
    <x:row r="18">
      <x:c r="A18" t="str">
        <x:v>Harutaka</x:v>
      </x:c>
      <x:c r="B18" t="str">
        <x:v>Tokyo</x:v>
      </x:c>
      <x:c r="C18" t="str">
        <x:v>Ginza</x:v>
      </x:c>
      <x:c r="D18" t="str">
        <x:v>Bucket list</x:v>
      </x:c>
      <x:c r="E18" t="str">
        <x:v>MICHELIN Guide selection</x:v>
      </x:c>
      <x:c r="F18" t="str">
        <x:v>Dinner</x:v>
      </x:c>
      <x:c r="G18" t="str">
        <x:v>Research</x:v>
      </x:c>
      <x:c r="H18" t="str">
        <x:v>Research</x:v>
      </x:c>
      <x:c r="I18" s="382"/>
      <x:c r="J18" s="382"/>
      <x:c r="K18" t="str">
        <x:v>Unknown</x:v>
      </x:c>
      <x:c r="L18" t="str">
        <x:v>No</x:v>
      </x:c>
      <x:c r="M18" t="str"/>
      <x:c r="N18" t="str">
        <x:v>Not booked</x:v>
      </x:c>
      <x:c r="O18" t="str">
        <x:v>David + Noelle</x:v>
      </x:c>
      <x:c r="P18" t="str">
        <x:v>https://tabelog.com/en/rstLst/?sk=Harutaka</x:v>
      </x:c>
      <x:c r="Q18" t="str">
        <x:v>Gluten-free and lactose-free accommodation must be reconfirmed directly; cross-contact is not assumed safe.</x:v>
      </x:c>
    </x:row>
    <x:row r="19">
      <x:c r="A19" t="str">
        <x:v>L'Effervescence</x:v>
      </x:c>
      <x:c r="B19" t="str">
        <x:v>Tokyo</x:v>
      </x:c>
      <x:c r="C19" t="str">
        <x:v>Ginza</x:v>
      </x:c>
      <x:c r="D19" t="str">
        <x:v>Bucket list</x:v>
      </x:c>
      <x:c r="E19" t="str">
        <x:v>3★ / MICHELIN Guide</x:v>
      </x:c>
      <x:c r="F19" t="str">
        <x:v>Lunch,Dinner</x:v>
      </x:c>
      <x:c r="G19" t="str">
        <x:v>Research</x:v>
      </x:c>
      <x:c r="H19" t="str">
        <x:v>Research</x:v>
      </x:c>
      <x:c r="I19" s="382"/>
      <x:c r="J19" s="382"/>
      <x:c r="K19" t="str">
        <x:v>Unknown</x:v>
      </x:c>
      <x:c r="L19" t="str">
        <x:v>No</x:v>
      </x:c>
      <x:c r="M19" t="str"/>
      <x:c r="N19" t="str">
        <x:v>Not booked</x:v>
      </x:c>
      <x:c r="O19" t="str">
        <x:v>David + Noelle</x:v>
      </x:c>
      <x:c r="P19" t="str">
        <x:v>https://tabelog.com/en/rstLst/?sk=L%27Effervescence</x:v>
      </x:c>
      <x:c r="Q19" t="str">
        <x:v>Gluten-free and lactose-free accommodation must be reconfirmed directly; cross-contact is not assumed safe.</x:v>
      </x:c>
    </x:row>
    <x:row r="20">
      <x:c r="A20" t="str">
        <x:v>NARISAWA</x:v>
      </x:c>
      <x:c r="B20" t="str">
        <x:v>Tokyo</x:v>
      </x:c>
      <x:c r="C20" t="str">
        <x:v>Minami-Aoyama</x:v>
      </x:c>
      <x:c r="D20" t="str">
        <x:v>Bucket list</x:v>
      </x:c>
      <x:c r="E20" t="str">
        <x:v>2★ / MICHELIN Guide</x:v>
      </x:c>
      <x:c r="F20" t="str">
        <x:v>Lunch,Dinner</x:v>
      </x:c>
      <x:c r="G20" t="str">
        <x:v>Research</x:v>
      </x:c>
      <x:c r="H20" t="str">
        <x:v>Research</x:v>
      </x:c>
      <x:c r="I20" s="382"/>
      <x:c r="J20" s="382"/>
      <x:c r="K20" t="str">
        <x:v>Unknown</x:v>
      </x:c>
      <x:c r="L20" t="str">
        <x:v>No</x:v>
      </x:c>
      <x:c r="M20" t="str"/>
      <x:c r="N20" t="str">
        <x:v>Not booked</x:v>
      </x:c>
      <x:c r="O20" t="str">
        <x:v>David + Noelle</x:v>
      </x:c>
      <x:c r="P20" t="str">
        <x:v>https://tabelog.com/en/rstLst/?sk=NARISAWA</x:v>
      </x:c>
      <x:c r="Q20" t="str">
        <x:v>Gluten-free and lactose-free accommodation must be reconfirmed directly; cross-contact is not assumed safe.</x:v>
      </x:c>
    </x:row>
    <x:row r="21">
      <x:c r="A21" t="str">
        <x:v>Sushi Yoshitake</x:v>
      </x:c>
      <x:c r="B21" t="str">
        <x:v>Tokyo</x:v>
      </x:c>
      <x:c r="C21" t="str">
        <x:v>Ginza</x:v>
      </x:c>
      <x:c r="D21" t="str">
        <x:v>Bucket list</x:v>
      </x:c>
      <x:c r="E21" t="str">
        <x:v>2★ / MICHELIN Guide</x:v>
      </x:c>
      <x:c r="F21" t="str">
        <x:v>Dinner</x:v>
      </x:c>
      <x:c r="G21" t="str">
        <x:v>Research</x:v>
      </x:c>
      <x:c r="H21" t="str">
        <x:v>Research</x:v>
      </x:c>
      <x:c r="I21" s="382"/>
      <x:c r="J21" s="382"/>
      <x:c r="K21" t="str">
        <x:v>Unknown</x:v>
      </x:c>
      <x:c r="L21" t="str">
        <x:v>No</x:v>
      </x:c>
      <x:c r="M21" t="str"/>
      <x:c r="N21" t="str">
        <x:v>Not booked</x:v>
      </x:c>
      <x:c r="O21" t="str">
        <x:v>David + Noelle</x:v>
      </x:c>
      <x:c r="P21" t="str">
        <x:v>https://tabelog.com/en/rstLst/?sk=Sushi+Yoshitake</x:v>
      </x:c>
      <x:c r="Q21" t="str">
        <x:v>Gluten-free and lactose-free accommodation must be reconfirmed directly; cross-contact is not assumed safe.</x:v>
      </x:c>
    </x:row>
    <x:row r="22">
      <x:c r="A22" t="str">
        <x:v>SÉZANNE</x:v>
      </x:c>
      <x:c r="B22" t="str">
        <x:v>Tokyo</x:v>
      </x:c>
      <x:c r="C22" t="str">
        <x:v>Marunouchi</x:v>
      </x:c>
      <x:c r="D22" t="str">
        <x:v>Bucket list</x:v>
      </x:c>
      <x:c r="E22" t="str">
        <x:v>3★ / MICHELIN Guide</x:v>
      </x:c>
      <x:c r="F22" t="str">
        <x:v>Lunch,Dinner</x:v>
      </x:c>
      <x:c r="G22" t="str">
        <x:v>Research</x:v>
      </x:c>
      <x:c r="H22" t="str">
        <x:v>Research</x:v>
      </x:c>
      <x:c r="I22" s="382"/>
      <x:c r="J22" s="382"/>
      <x:c r="K22" t="str">
        <x:v>Unknown</x:v>
      </x:c>
      <x:c r="L22" t="str">
        <x:v>No</x:v>
      </x:c>
      <x:c r="M22" t="str"/>
      <x:c r="N22" t="str">
        <x:v>Not booked</x:v>
      </x:c>
      <x:c r="O22" t="str">
        <x:v>David + Noelle</x:v>
      </x:c>
      <x:c r="P22" t="str">
        <x:v>https://tabelog.com/en/rstLst/?sk=S%C3%89ZANNE</x:v>
      </x:c>
      <x:c r="Q22" t="str">
        <x:v>Gluten-free and lactose-free accommodation must be reconfirmed directly; cross-contact is not assumed safe.</x:v>
      </x:c>
    </x:row>
    <x:row r="23">
      <x:c r="A23" t="str">
        <x:v>Coffee Camp</x:v>
      </x:c>
      <x:c r="B23" t="str">
        <x:v>Hakone</x:v>
      </x:c>
      <x:c r="C23" t="str">
        <x:v>Hakone-Yumoto</x:v>
      </x:c>
      <x:c r="D23" t="str">
        <x:v>Top pick</x:v>
      </x:c>
      <x:c r="E23" t="str">
        <x:v>—</x:v>
      </x:c>
      <x:c r="F23" t="str">
        <x:v>Breakfast,Lunch,Cafe</x:v>
      </x:c>
      <x:c r="G23" t="str">
        <x:v>Research</x:v>
      </x:c>
      <x:c r="H23" t="str">
        <x:v>Research</x:v>
      </x:c>
      <x:c r="I23" s="382"/>
      <x:c r="J23" s="382"/>
      <x:c r="K23" t="str">
        <x:v>Unknown</x:v>
      </x:c>
      <x:c r="L23" t="str">
        <x:v>No</x:v>
      </x:c>
      <x:c r="M23" t="str"/>
      <x:c r="N23" t="str">
        <x:v>Not booked</x:v>
      </x:c>
      <x:c r="O23" t="str">
        <x:v>David + Noelle</x:v>
      </x:c>
      <x:c r="P23" t="str">
        <x:v>https://tabelog.com/en/rstLst/?sk=Coffee+Camp</x:v>
      </x:c>
      <x:c r="Q23" t="str">
        <x:v>Gluten-free and lactose-free accommodation must be reconfirmed directly; cross-contact is not assumed safe.</x:v>
      </x:c>
    </x:row>
    <x:row r="24">
      <x:c r="A24" t="str">
        <x:v>FUFU Hakone</x:v>
      </x:c>
      <x:c r="B24" t="str">
        <x:v>Hakone</x:v>
      </x:c>
      <x:c r="C24" t="str">
        <x:v>Gora</x:v>
      </x:c>
      <x:c r="D24" t="str">
        <x:v>Top pick</x:v>
      </x:c>
      <x:c r="E24" t="str">
        <x:v>—</x:v>
      </x:c>
      <x:c r="F24" t="str">
        <x:v>Breakfast,Dinner</x:v>
      </x:c>
      <x:c r="G24" t="str">
        <x:v>Research</x:v>
      </x:c>
      <x:c r="H24" t="str">
        <x:v>Research</x:v>
      </x:c>
      <x:c r="I24" s="382"/>
      <x:c r="J24" s="382"/>
      <x:c r="K24" t="str">
        <x:v>Unknown</x:v>
      </x:c>
      <x:c r="L24" t="str">
        <x:v>No</x:v>
      </x:c>
      <x:c r="M24" t="str"/>
      <x:c r="N24" t="str">
        <x:v>Not booked</x:v>
      </x:c>
      <x:c r="O24" t="str">
        <x:v>David + Noelle</x:v>
      </x:c>
      <x:c r="P24" t="str">
        <x:v>https://tabelog.com/en/rstLst/?sk=FUFU+Hakone</x:v>
      </x:c>
      <x:c r="Q24" t="str">
        <x:v>Gluten-free and lactose-free accommodation must be reconfirmed directly; cross-contact is not assumed safe.</x:v>
      </x:c>
    </x:row>
    <x:row r="25">
      <x:c r="A25" t="str">
        <x:v>Itoh Dining by NOBU</x:v>
      </x:c>
      <x:c r="B25" t="str">
        <x:v>Hakone</x:v>
      </x:c>
      <x:c r="C25" t="str">
        <x:v>Gora</x:v>
      </x:c>
      <x:c r="D25" t="str">
        <x:v>Top pick</x:v>
      </x:c>
      <x:c r="E25" t="str">
        <x:v>—</x:v>
      </x:c>
      <x:c r="F25" t="str">
        <x:v>Lunch,Dinner</x:v>
      </x:c>
      <x:c r="G25" t="str">
        <x:v>Research</x:v>
      </x:c>
      <x:c r="H25" t="str">
        <x:v>Research</x:v>
      </x:c>
      <x:c r="I25" s="382"/>
      <x:c r="J25" s="382"/>
      <x:c r="K25" t="str">
        <x:v>Unknown</x:v>
      </x:c>
      <x:c r="L25" t="str">
        <x:v>No</x:v>
      </x:c>
      <x:c r="M25" t="str"/>
      <x:c r="N25" t="str">
        <x:v>Not booked</x:v>
      </x:c>
      <x:c r="O25" t="str">
        <x:v>David + Noelle</x:v>
      </x:c>
      <x:c r="P25" t="str">
        <x:v>https://tabelog.com/en/rstLst/?sk=Itoh+Dining+by+NOBU</x:v>
      </x:c>
      <x:c r="Q25" t="str">
        <x:v>Gluten-free and lactose-free accommodation must be reconfirmed directly; cross-contact is not assumed safe.</x:v>
      </x:c>
    </x:row>
    <x:row r="26">
      <x:c r="A26" t="str">
        <x:v>WPÜ DINING Hakone</x:v>
      </x:c>
      <x:c r="B26" t="str">
        <x:v>Hakone</x:v>
      </x:c>
      <x:c r="C26" t="str">
        <x:v>Gora</x:v>
      </x:c>
      <x:c r="D26" t="str">
        <x:v>Top pick</x:v>
      </x:c>
      <x:c r="E26" t="str">
        <x:v>—</x:v>
      </x:c>
      <x:c r="F26" t="str">
        <x:v>Breakfast,Lunch,Dinner,Cafe</x:v>
      </x:c>
      <x:c r="G26" t="str">
        <x:v>Research</x:v>
      </x:c>
      <x:c r="H26" t="str">
        <x:v>Research</x:v>
      </x:c>
      <x:c r="I26" s="382"/>
      <x:c r="J26" s="382"/>
      <x:c r="K26" t="str">
        <x:v>Unknown</x:v>
      </x:c>
      <x:c r="L26" t="str">
        <x:v>No</x:v>
      </x:c>
      <x:c r="M26" t="str"/>
      <x:c r="N26" t="str">
        <x:v>Not booked</x:v>
      </x:c>
      <x:c r="O26" t="str">
        <x:v>David + Noelle</x:v>
      </x:c>
      <x:c r="P26" t="str">
        <x:v>https://tabelog.com/en/rstLst/?sk=WP%C3%9C+DINING+Hakone</x:v>
      </x:c>
      <x:c r="Q26" t="str">
        <x:v>Gluten-free and lactose-free accommodation must be reconfirmed directly; cross-contact is not assumed safe.</x:v>
      </x:c>
    </x:row>
    <x:row r="27">
      <x:c r="A27" t="str">
        <x:v>% Arabica Kyoto Arashiyama</x:v>
      </x:c>
      <x:c r="B27" t="str">
        <x:v>Kyoto</x:v>
      </x:c>
      <x:c r="C27" t="str">
        <x:v>Arashiyama</x:v>
      </x:c>
      <x:c r="D27" t="str">
        <x:v>Top pick</x:v>
      </x:c>
      <x:c r="E27" t="str">
        <x:v>—</x:v>
      </x:c>
      <x:c r="F27" t="str">
        <x:v>Breakfast,Cafe</x:v>
      </x:c>
      <x:c r="G27" t="str">
        <x:v>Research</x:v>
      </x:c>
      <x:c r="H27" t="str">
        <x:v>Research</x:v>
      </x:c>
      <x:c r="I27" s="382"/>
      <x:c r="J27" s="382"/>
      <x:c r="K27" t="str">
        <x:v>Unknown</x:v>
      </x:c>
      <x:c r="L27" t="str">
        <x:v>No</x:v>
      </x:c>
      <x:c r="M27" t="str"/>
      <x:c r="N27" t="str">
        <x:v>Not booked</x:v>
      </x:c>
      <x:c r="O27" t="str">
        <x:v>David + Noelle</x:v>
      </x:c>
      <x:c r="P27" t="str">
        <x:v>https://tabelog.com/en/rstLst/?sk=%25+Arabica+Kyoto+Arashiyama</x:v>
      </x:c>
      <x:c r="Q27" t="str">
        <x:v>Gluten-free and lactose-free accommodation must be reconfirmed directly; cross-contact is not assumed safe.</x:v>
      </x:c>
    </x:row>
    <x:row r="28">
      <x:c r="A28" t="str">
        <x:v>CHOICE</x:v>
      </x:c>
      <x:c r="B28" t="str">
        <x:v>Kyoto</x:v>
      </x:c>
      <x:c r="C28" t="str">
        <x:v>Sanjo</x:v>
      </x:c>
      <x:c r="D28" t="str">
        <x:v>Top pick</x:v>
      </x:c>
      <x:c r="E28" t="str">
        <x:v>—</x:v>
      </x:c>
      <x:c r="F28" t="str">
        <x:v>Breakfast,Lunch,Cafe,Dessert</x:v>
      </x:c>
      <x:c r="G28" t="str">
        <x:v>Research</x:v>
      </x:c>
      <x:c r="H28" t="str">
        <x:v>Research</x:v>
      </x:c>
      <x:c r="I28" s="382"/>
      <x:c r="J28" s="382"/>
      <x:c r="K28" t="str">
        <x:v>Unknown</x:v>
      </x:c>
      <x:c r="L28" t="str">
        <x:v>No</x:v>
      </x:c>
      <x:c r="M28" t="str"/>
      <x:c r="N28" t="str">
        <x:v>Not booked</x:v>
      </x:c>
      <x:c r="O28" t="str">
        <x:v>David + Noelle</x:v>
      </x:c>
      <x:c r="P28" t="str">
        <x:v>https://tabelog.com/en/rstLst/?sk=CHOICE</x:v>
      </x:c>
      <x:c r="Q28" t="str">
        <x:v>Gluten-free and lactose-free accommodation must be reconfirmed directly; cross-contact is not assumed safe.</x:v>
      </x:c>
    </x:row>
    <x:row r="29">
      <x:c r="A29" t="str">
        <x:v>Demachi Futaba</x:v>
      </x:c>
      <x:c r="B29" t="str">
        <x:v>Kyoto</x:v>
      </x:c>
      <x:c r="C29" t="str">
        <x:v>Demachiyanagi</x:v>
      </x:c>
      <x:c r="D29" t="str">
        <x:v>Top pick</x:v>
      </x:c>
      <x:c r="E29" t="str">
        <x:v>—</x:v>
      </x:c>
      <x:c r="F29" t="str">
        <x:v>Breakfast,Lunch,Dessert</x:v>
      </x:c>
      <x:c r="G29" t="str">
        <x:v>Research</x:v>
      </x:c>
      <x:c r="H29" t="str">
        <x:v>Research</x:v>
      </x:c>
      <x:c r="I29" s="382"/>
      <x:c r="J29" s="382"/>
      <x:c r="K29" t="str">
        <x:v>Unknown</x:v>
      </x:c>
      <x:c r="L29" t="str">
        <x:v>No</x:v>
      </x:c>
      <x:c r="M29" t="str"/>
      <x:c r="N29" t="str">
        <x:v>Not booked</x:v>
      </x:c>
      <x:c r="O29" t="str">
        <x:v>David + Noelle</x:v>
      </x:c>
      <x:c r="P29" t="str">
        <x:v>https://tabelog.com/en/rstLst/?sk=Demachi+Futaba</x:v>
      </x:c>
      <x:c r="Q29" t="str">
        <x:v>Gluten-free and lactose-free accommodation must be reconfirmed directly; cross-contact is not assumed safe.</x:v>
      </x:c>
    </x:row>
    <x:row r="30">
      <x:c r="A30" t="str">
        <x:v>Gion Maruyama</x:v>
      </x:c>
      <x:c r="B30" t="str">
        <x:v>Kyoto</x:v>
      </x:c>
      <x:c r="C30" t="str">
        <x:v>Gion</x:v>
      </x:c>
      <x:c r="D30" t="str">
        <x:v>Top pick</x:v>
      </x:c>
      <x:c r="E30" t="str">
        <x:v>2★ / MICHELIN Guide</x:v>
      </x:c>
      <x:c r="F30" t="str">
        <x:v>Lunch,Dinner</x:v>
      </x:c>
      <x:c r="G30" t="str">
        <x:v>Research</x:v>
      </x:c>
      <x:c r="H30" t="str">
        <x:v>Research</x:v>
      </x:c>
      <x:c r="I30" s="382"/>
      <x:c r="J30" s="382"/>
      <x:c r="K30" t="str">
        <x:v>Unknown</x:v>
      </x:c>
      <x:c r="L30" t="str">
        <x:v>No</x:v>
      </x:c>
      <x:c r="M30" t="str"/>
      <x:c r="N30" t="str">
        <x:v>Not booked</x:v>
      </x:c>
      <x:c r="O30" t="str">
        <x:v>David + Noelle</x:v>
      </x:c>
      <x:c r="P30" t="str">
        <x:v>https://tabelog.com/en/rstLst/?sk=Gion+Maruyama</x:v>
      </x:c>
      <x:c r="Q30" t="str">
        <x:v>Gluten-free and lactose-free accommodation must be reconfirmed directly; cross-contact is not assumed safe.</x:v>
      </x:c>
    </x:row>
    <x:row r="31">
      <x:c r="A31" t="str">
        <x:v>Honke Tankuma Honten</x:v>
      </x:c>
      <x:c r="B31" t="str">
        <x:v>Kyoto</x:v>
      </x:c>
      <x:c r="C31" t="str">
        <x:v>Shimogyo</x:v>
      </x:c>
      <x:c r="D31" t="str">
        <x:v>Top pick</x:v>
      </x:c>
      <x:c r="E31" t="str">
        <x:v>MICHELIN Guide selection</x:v>
      </x:c>
      <x:c r="F31" t="str">
        <x:v>Breakfast,Lunch,Dinner</x:v>
      </x:c>
      <x:c r="G31" t="str">
        <x:v>Research</x:v>
      </x:c>
      <x:c r="H31" t="str">
        <x:v>Research</x:v>
      </x:c>
      <x:c r="I31" s="382"/>
      <x:c r="J31" s="382"/>
      <x:c r="K31" t="str">
        <x:v>Unknown</x:v>
      </x:c>
      <x:c r="L31" t="str">
        <x:v>No</x:v>
      </x:c>
      <x:c r="M31" t="str"/>
      <x:c r="N31" t="str">
        <x:v>Not booked</x:v>
      </x:c>
      <x:c r="O31" t="str">
        <x:v>David + Noelle</x:v>
      </x:c>
      <x:c r="P31" t="str">
        <x:v>https://tabelog.com/en/rstLst/?sk=Honke+Tankuma+Honten</x:v>
      </x:c>
      <x:c r="Q31" t="str">
        <x:v>Gluten-free and lactose-free accommodation must be reconfirmed directly; cross-contact is not assumed safe.</x:v>
      </x:c>
    </x:row>
    <x:row r="32">
      <x:c r="A32" t="str">
        <x:v>Jiki Miyazawa</x:v>
      </x:c>
      <x:c r="B32" t="str">
        <x:v>Kyoto</x:v>
      </x:c>
      <x:c r="C32" t="str">
        <x:v>Nakagyo</x:v>
      </x:c>
      <x:c r="D32" t="str">
        <x:v>Top pick</x:v>
      </x:c>
      <x:c r="E32" t="str">
        <x:v>1★ / MICHELIN Guide</x:v>
      </x:c>
      <x:c r="F32" t="str">
        <x:v>Lunch,Dinner</x:v>
      </x:c>
      <x:c r="G32" t="str">
        <x:v>Research</x:v>
      </x:c>
      <x:c r="H32" t="str">
        <x:v>Research</x:v>
      </x:c>
      <x:c r="I32" s="382"/>
      <x:c r="J32" s="382"/>
      <x:c r="K32" t="str">
        <x:v>Unknown</x:v>
      </x:c>
      <x:c r="L32" t="str">
        <x:v>No</x:v>
      </x:c>
      <x:c r="M32" t="str"/>
      <x:c r="N32" t="str">
        <x:v>Not booked</x:v>
      </x:c>
      <x:c r="O32" t="str">
        <x:v>David + Noelle</x:v>
      </x:c>
      <x:c r="P32" t="str">
        <x:v>https://tabelog.com/en/rstLst/?sk=Jiki+Miyazawa</x:v>
      </x:c>
      <x:c r="Q32" t="str">
        <x:v>Gluten-free and lactose-free accommodation must be reconfirmed directly; cross-contact is not assumed safe.</x:v>
      </x:c>
    </x:row>
    <x:row r="33">
      <x:c r="A33" t="str">
        <x:v>KOKORO Kitchen Kyoto</x:v>
      </x:c>
      <x:c r="B33" t="str">
        <x:v>Kyoto</x:v>
      </x:c>
      <x:c r="C33" t="str">
        <x:v>Kyoto Station</x:v>
      </x:c>
      <x:c r="D33" t="str">
        <x:v>Top pick</x:v>
      </x:c>
      <x:c r="E33" t="str">
        <x:v>—</x:v>
      </x:c>
      <x:c r="F33" t="str">
        <x:v>Breakfast,Lunch,Cafe</x:v>
      </x:c>
      <x:c r="G33" t="str">
        <x:v>Research</x:v>
      </x:c>
      <x:c r="H33" t="str">
        <x:v>Research</x:v>
      </x:c>
      <x:c r="I33" s="382"/>
      <x:c r="J33" s="382"/>
      <x:c r="K33" t="str">
        <x:v>Unknown</x:v>
      </x:c>
      <x:c r="L33" t="str">
        <x:v>No</x:v>
      </x:c>
      <x:c r="M33" t="str"/>
      <x:c r="N33" t="str">
        <x:v>Not booked</x:v>
      </x:c>
      <x:c r="O33" t="str">
        <x:v>David + Noelle</x:v>
      </x:c>
      <x:c r="P33" t="str">
        <x:v>https://tabelog.com/en/rstLst/?sk=KOKORO+Kitchen+Kyoto</x:v>
      </x:c>
      <x:c r="Q33" t="str">
        <x:v>Gluten-free and lactose-free accommodation must be reconfirmed directly; cross-contact is not assumed safe.</x:v>
      </x:c>
    </x:row>
    <x:row r="34">
      <x:c r="A34" t="str">
        <x:v>Kiyama</x:v>
      </x:c>
      <x:c r="B34" t="str">
        <x:v>Kyoto</x:v>
      </x:c>
      <x:c r="C34" t="str">
        <x:v>Karasuma</x:v>
      </x:c>
      <x:c r="D34" t="str">
        <x:v>Top pick</x:v>
      </x:c>
      <x:c r="E34" t="str">
        <x:v>1★ / MICHELIN Guide</x:v>
      </x:c>
      <x:c r="F34" t="str">
        <x:v>Lunch,Dinner</x:v>
      </x:c>
      <x:c r="G34" t="str">
        <x:v>Research</x:v>
      </x:c>
      <x:c r="H34" t="str">
        <x:v>Research</x:v>
      </x:c>
      <x:c r="I34" s="382"/>
      <x:c r="J34" s="382"/>
      <x:c r="K34" t="str">
        <x:v>Unknown</x:v>
      </x:c>
      <x:c r="L34" t="str">
        <x:v>No</x:v>
      </x:c>
      <x:c r="M34" t="str"/>
      <x:c r="N34" t="str">
        <x:v>Not booked</x:v>
      </x:c>
      <x:c r="O34" t="str">
        <x:v>David + Noelle</x:v>
      </x:c>
      <x:c r="P34" t="str">
        <x:v>https://tabelog.com/en/rstLst/?sk=Kiyama</x:v>
      </x:c>
      <x:c r="Q34" t="str">
        <x:v>Gluten-free and lactose-free accommodation must be reconfirmed directly; cross-contact is not assumed safe.</x:v>
      </x:c>
    </x:row>
    <x:row r="35">
      <x:c r="A35" t="str">
        <x:v>Kurasu Kyoto Stand</x:v>
      </x:c>
      <x:c r="B35" t="str">
        <x:v>Kyoto</x:v>
      </x:c>
      <x:c r="C35" t="str">
        <x:v>Kyoto Station</x:v>
      </x:c>
      <x:c r="D35" t="str">
        <x:v>Top pick</x:v>
      </x:c>
      <x:c r="E35" t="str">
        <x:v>—</x:v>
      </x:c>
      <x:c r="F35" t="str">
        <x:v>Breakfast,Cafe</x:v>
      </x:c>
      <x:c r="G35" t="str">
        <x:v>Research</x:v>
      </x:c>
      <x:c r="H35" t="str">
        <x:v>Research</x:v>
      </x:c>
      <x:c r="I35" s="382"/>
      <x:c r="J35" s="382"/>
      <x:c r="K35" t="str">
        <x:v>Unknown</x:v>
      </x:c>
      <x:c r="L35" t="str">
        <x:v>No</x:v>
      </x:c>
      <x:c r="M35" t="str"/>
      <x:c r="N35" t="str">
        <x:v>Not booked</x:v>
      </x:c>
      <x:c r="O35" t="str">
        <x:v>David + Noelle</x:v>
      </x:c>
      <x:c r="P35" t="str">
        <x:v>https://tabelog.com/en/rstLst/?sk=Kurasu+Kyoto+Stand</x:v>
      </x:c>
      <x:c r="Q35" t="str">
        <x:v>Gluten-free and lactose-free accommodation must be reconfirmed directly; cross-contact is not assumed safe.</x:v>
      </x:c>
    </x:row>
    <x:row r="36">
      <x:c r="A36" t="str">
        <x:v>Nishiki Market seafood / tamagoyaki stalls</x:v>
      </x:c>
      <x:c r="B36" t="str">
        <x:v>Kyoto</x:v>
      </x:c>
      <x:c r="C36" t="str">
        <x:v>Nishiki</x:v>
      </x:c>
      <x:c r="D36" t="str">
        <x:v>Top pick</x:v>
      </x:c>
      <x:c r="E36" t="str">
        <x:v>—</x:v>
      </x:c>
      <x:c r="F36" t="str">
        <x:v>Breakfast,Lunch</x:v>
      </x:c>
      <x:c r="G36" t="str">
        <x:v>Research</x:v>
      </x:c>
      <x:c r="H36" t="str">
        <x:v>Research</x:v>
      </x:c>
      <x:c r="I36" s="382"/>
      <x:c r="J36" s="382"/>
      <x:c r="K36" t="str">
        <x:v>Unknown</x:v>
      </x:c>
      <x:c r="L36" t="str">
        <x:v>No</x:v>
      </x:c>
      <x:c r="M36" t="str"/>
      <x:c r="N36" t="str">
        <x:v>Not booked</x:v>
      </x:c>
      <x:c r="O36" t="str">
        <x:v>David + Noelle</x:v>
      </x:c>
      <x:c r="P36" t="str">
        <x:v>https://tabelog.com/en/rstLst/?sk=Nishiki+Market+seafood+%2F+tamagoyaki+stalls</x:v>
      </x:c>
      <x:c r="Q36" t="str">
        <x:v>Gluten-free and lactose-free accommodation must be reconfirmed directly; cross-contact is not assumed safe.</x:v>
      </x:c>
    </x:row>
    <x:row r="37">
      <x:c r="A37" t="str">
        <x:v>Shoraian</x:v>
      </x:c>
      <x:c r="B37" t="str">
        <x:v>Kyoto</x:v>
      </x:c>
      <x:c r="C37" t="str">
        <x:v>Arashiyama</x:v>
      </x:c>
      <x:c r="D37" t="str">
        <x:v>Top pick</x:v>
      </x:c>
      <x:c r="E37" t="str">
        <x:v>MICHELIN Guide selection</x:v>
      </x:c>
      <x:c r="F37" t="str">
        <x:v>Lunch</x:v>
      </x:c>
      <x:c r="G37" t="str">
        <x:v>Research</x:v>
      </x:c>
      <x:c r="H37" t="str">
        <x:v>Research</x:v>
      </x:c>
      <x:c r="I37" s="382"/>
      <x:c r="J37" s="382"/>
      <x:c r="K37" t="str">
        <x:v>Unknown</x:v>
      </x:c>
      <x:c r="L37" t="str">
        <x:v>No</x:v>
      </x:c>
      <x:c r="M37" t="str"/>
      <x:c r="N37" t="str">
        <x:v>Not booked</x:v>
      </x:c>
      <x:c r="O37" t="str">
        <x:v>David + Noelle</x:v>
      </x:c>
      <x:c r="P37" t="str">
        <x:v>https://tabelog.com/en/rstLst/?sk=Shoraian</x:v>
      </x:c>
      <x:c r="Q37" t="str">
        <x:v>Gluten-free and lactose-free accommodation must be reconfirmed directly; cross-contact is not assumed safe.</x:v>
      </x:c>
    </x:row>
    <x:row r="38">
      <x:c r="A38" t="str">
        <x:v>Tosca</x:v>
      </x:c>
      <x:c r="B38" t="str">
        <x:v>Kyoto</x:v>
      </x:c>
      <x:c r="C38" t="str">
        <x:v>Nishiki</x:v>
      </x:c>
      <x:c r="D38" t="str">
        <x:v>Top pick</x:v>
      </x:c>
      <x:c r="E38" t="str">
        <x:v>—</x:v>
      </x:c>
      <x:c r="F38" t="str">
        <x:v>Lunch,Dinner</x:v>
      </x:c>
      <x:c r="G38" t="str">
        <x:v>Research</x:v>
      </x:c>
      <x:c r="H38" t="str">
        <x:v>Research</x:v>
      </x:c>
      <x:c r="I38" s="382"/>
      <x:c r="J38" s="382"/>
      <x:c r="K38" t="str">
        <x:v>Unknown</x:v>
      </x:c>
      <x:c r="L38" t="str">
        <x:v>No</x:v>
      </x:c>
      <x:c r="M38" t="str"/>
      <x:c r="N38" t="str">
        <x:v>Not booked</x:v>
      </x:c>
      <x:c r="O38" t="str">
        <x:v>David + Noelle</x:v>
      </x:c>
      <x:c r="P38" t="str">
        <x:v>https://tabelog.com/en/rstLst/?sk=Tosca</x:v>
      </x:c>
      <x:c r="Q38" t="str">
        <x:v>Gluten-free and lactose-free accommodation must be reconfirmed directly; cross-contact is not assumed safe.</x:v>
      </x:c>
    </x:row>
    <x:row r="39">
      <x:c r="A39" t="str">
        <x:v>Waco Crepes</x:v>
      </x:c>
      <x:c r="B39" t="str">
        <x:v>Kyoto</x:v>
      </x:c>
      <x:c r="C39" t="str">
        <x:v>Higashiyama</x:v>
      </x:c>
      <x:c r="D39" t="str">
        <x:v>Top pick</x:v>
      </x:c>
      <x:c r="E39" t="str">
        <x:v>—</x:v>
      </x:c>
      <x:c r="F39" t="str">
        <x:v>Breakfast,Lunch,Cafe,Dessert</x:v>
      </x:c>
      <x:c r="G39" t="str">
        <x:v>Research</x:v>
      </x:c>
      <x:c r="H39" t="str">
        <x:v>Research</x:v>
      </x:c>
      <x:c r="I39" s="382"/>
      <x:c r="J39" s="382"/>
      <x:c r="K39" t="str">
        <x:v>Unknown</x:v>
      </x:c>
      <x:c r="L39" t="str">
        <x:v>No</x:v>
      </x:c>
      <x:c r="M39" t="str"/>
      <x:c r="N39" t="str">
        <x:v>Not booked</x:v>
      </x:c>
      <x:c r="O39" t="str">
        <x:v>David + Noelle</x:v>
      </x:c>
      <x:c r="P39" t="str">
        <x:v>https://tabelog.com/en/rstLst/?sk=Waco+Crepes</x:v>
      </x:c>
      <x:c r="Q39" t="str">
        <x:v>Gluten-free and lactose-free accommodation must be reconfirmed directly; cross-contact is not assumed safe.</x:v>
      </x:c>
    </x:row>
    <x:row r="40">
      <x:c r="A40" t="str">
        <x:v>Weekenders Coffee Tominokoji</x:v>
      </x:c>
      <x:c r="B40" t="str">
        <x:v>Kyoto</x:v>
      </x:c>
      <x:c r="C40" t="str">
        <x:v>Nakagyo</x:v>
      </x:c>
      <x:c r="D40" t="str">
        <x:v>Top pick</x:v>
      </x:c>
      <x:c r="E40" t="str">
        <x:v>—</x:v>
      </x:c>
      <x:c r="F40" t="str">
        <x:v>Breakfast,Cafe</x:v>
      </x:c>
      <x:c r="G40" t="str">
        <x:v>Research</x:v>
      </x:c>
      <x:c r="H40" t="str">
        <x:v>Research</x:v>
      </x:c>
      <x:c r="I40" s="382"/>
      <x:c r="J40" s="382"/>
      <x:c r="K40" t="str">
        <x:v>Unknown</x:v>
      </x:c>
      <x:c r="L40" t="str">
        <x:v>No</x:v>
      </x:c>
      <x:c r="M40" t="str"/>
      <x:c r="N40" t="str">
        <x:v>Not booked</x:v>
      </x:c>
      <x:c r="O40" t="str">
        <x:v>David + Noelle</x:v>
      </x:c>
      <x:c r="P40" t="str">
        <x:v>https://tabelog.com/en/rstLst/?sk=Weekenders+Coffee+Tominokoji</x:v>
      </x:c>
      <x:c r="Q40" t="str">
        <x:v>Gluten-free and lactose-free accommodation must be reconfirmed directly; cross-contact is not assumed safe.</x:v>
      </x:c>
    </x:row>
    <x:row r="41">
      <x:c r="A41" t="str">
        <x:v>Brooklyn Roasting Company Kitahama</x:v>
      </x:c>
      <x:c r="B41" t="str">
        <x:v>Osaka</x:v>
      </x:c>
      <x:c r="C41" t="str">
        <x:v>Kitahama</x:v>
      </x:c>
      <x:c r="D41" t="str">
        <x:v>Top pick</x:v>
      </x:c>
      <x:c r="E41" t="str">
        <x:v>—</x:v>
      </x:c>
      <x:c r="F41" t="str">
        <x:v>Breakfast,Cafe</x:v>
      </x:c>
      <x:c r="G41" t="str">
        <x:v>Research</x:v>
      </x:c>
      <x:c r="H41" t="str">
        <x:v>Research</x:v>
      </x:c>
      <x:c r="I41" s="382"/>
      <x:c r="J41" s="382"/>
      <x:c r="K41" t="str">
        <x:v>Unknown</x:v>
      </x:c>
      <x:c r="L41" t="str">
        <x:v>No</x:v>
      </x:c>
      <x:c r="M41" t="str"/>
      <x:c r="N41" t="str">
        <x:v>Not booked</x:v>
      </x:c>
      <x:c r="O41" t="str">
        <x:v>David + Noelle</x:v>
      </x:c>
      <x:c r="P41" t="str">
        <x:v>https://tabelog.com/en/rstLst/?sk=Brooklyn+Roasting+Company+Kitahama</x:v>
      </x:c>
      <x:c r="Q41" t="str">
        <x:v>Gluten-free and lactose-free accommodation must be reconfirmed directly; cross-contact is not assumed safe.</x:v>
      </x:c>
    </x:row>
    <x:row r="42">
      <x:c r="A42" t="str">
        <x:v>Comeconoco Laboratory &amp; Cafe</x:v>
      </x:c>
      <x:c r="B42" t="str">
        <x:v>Osaka</x:v>
      </x:c>
      <x:c r="C42" t="str">
        <x:v>Namba</x:v>
      </x:c>
      <x:c r="D42" t="str">
        <x:v>Top pick</x:v>
      </x:c>
      <x:c r="E42" t="str">
        <x:v>—</x:v>
      </x:c>
      <x:c r="F42" t="str">
        <x:v>Breakfast,Lunch,Cafe,Dessert</x:v>
      </x:c>
      <x:c r="G42" t="str">
        <x:v>Research</x:v>
      </x:c>
      <x:c r="H42" t="str">
        <x:v>Research</x:v>
      </x:c>
      <x:c r="I42" s="382"/>
      <x:c r="J42" s="382"/>
      <x:c r="K42" t="str">
        <x:v>Unknown</x:v>
      </x:c>
      <x:c r="L42" t="str">
        <x:v>No</x:v>
      </x:c>
      <x:c r="M42" t="str"/>
      <x:c r="N42" t="str">
        <x:v>Not booked</x:v>
      </x:c>
      <x:c r="O42" t="str">
        <x:v>David + Noelle</x:v>
      </x:c>
      <x:c r="P42" t="str">
        <x:v>https://tabelog.com/en/rstLst/?sk=Comeconoco+Laboratory+%26+Cafe</x:v>
      </x:c>
      <x:c r="Q42" t="str">
        <x:v>Gluten-free and lactose-free accommodation must be reconfirmed directly; cross-contact is not assumed safe.</x:v>
      </x:c>
    </x:row>
    <x:row r="43">
      <x:c r="A43" t="str">
        <x:v>Endo Sushi Kyobashi</x:v>
      </x:c>
      <x:c r="B43" t="str">
        <x:v>Osaka</x:v>
      </x:c>
      <x:c r="C43" t="str">
        <x:v>Namba</x:v>
      </x:c>
      <x:c r="D43" t="str">
        <x:v>Top pick</x:v>
      </x:c>
      <x:c r="E43" t="str">
        <x:v>—</x:v>
      </x:c>
      <x:c r="F43" t="str">
        <x:v>Breakfast,Lunch</x:v>
      </x:c>
      <x:c r="G43" t="str">
        <x:v>Research</x:v>
      </x:c>
      <x:c r="H43" t="str">
        <x:v>Research</x:v>
      </x:c>
      <x:c r="I43" s="382"/>
      <x:c r="J43" s="382"/>
      <x:c r="K43" t="str">
        <x:v>Unknown</x:v>
      </x:c>
      <x:c r="L43" t="str">
        <x:v>No</x:v>
      </x:c>
      <x:c r="M43" t="str"/>
      <x:c r="N43" t="str">
        <x:v>Not booked</x:v>
      </x:c>
      <x:c r="O43" t="str">
        <x:v>David + Noelle</x:v>
      </x:c>
      <x:c r="P43" t="str">
        <x:v>https://tabelog.com/en/rstLst/?sk=Endo+Sushi+Kyobashi</x:v>
      </x:c>
      <x:c r="Q43" t="str">
        <x:v>Gluten-free and lactose-free accommodation must be reconfirmed directly; cross-contact is not assumed safe.</x:v>
      </x:c>
    </x:row>
    <x:row r="44">
      <x:c r="A44" t="str">
        <x:v>Fujiya 1935</x:v>
      </x:c>
      <x:c r="B44" t="str">
        <x:v>Osaka</x:v>
      </x:c>
      <x:c r="C44" t="str">
        <x:v>Sakaisuji-Hommachi</x:v>
      </x:c>
      <x:c r="D44" t="str">
        <x:v>Top pick</x:v>
      </x:c>
      <x:c r="E44" t="str">
        <x:v>2★ / MICHELIN Guide</x:v>
      </x:c>
      <x:c r="F44" t="str">
        <x:v>Lunch,Dinner</x:v>
      </x:c>
      <x:c r="G44" t="str">
        <x:v>Research</x:v>
      </x:c>
      <x:c r="H44" t="str">
        <x:v>Research</x:v>
      </x:c>
      <x:c r="I44" s="382"/>
      <x:c r="J44" s="382"/>
      <x:c r="K44" t="str">
        <x:v>Unknown</x:v>
      </x:c>
      <x:c r="L44" t="str">
        <x:v>No</x:v>
      </x:c>
      <x:c r="M44" t="str"/>
      <x:c r="N44" t="str">
        <x:v>Not booked</x:v>
      </x:c>
      <x:c r="O44" t="str">
        <x:v>David + Noelle</x:v>
      </x:c>
      <x:c r="P44" t="str">
        <x:v>https://tabelog.com/en/rstLst/?sk=Fujiya+1935</x:v>
      </x:c>
      <x:c r="Q44" t="str">
        <x:v>Gluten-free and lactose-free accommodation must be reconfirmed directly; cross-contact is not assumed safe.</x:v>
      </x:c>
    </x:row>
  </x:sheetData>
  <x:mergeCells>
    <x:mergeCell ref="A1:Q2"/>
  </x:mergeCells>
  <x:conditionalFormatting sqref="N5:N44">
    <x:cfRule type="expression" dxfId="7" priority="1">
      <x:formula>N5="Confirmed"</x:formula>
    </x:cfRule>
    <x:cfRule type="expression" dxfId="8" priority="2">
      <x:formula>N5="Need to reserve"</x:formula>
    </x:cfRule>
  </x:conditionalFormatting>
  <x:dataValidations count="2">
    <x:dataValidation type="list" sqref="L5:L44">
      <x:formula1>"No,Drafted,Sent,Confirmed"</x:formula1>
    </x:dataValidation>
    <x:dataValidation type="list" sqref="N5:N44">
      <x:formula1>"Not booked,Need to reserve,Requested,Waitlist,Confirmed,Cancelled"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6fde3c1b046ca"/>
  </x:tableParts>
</x:worksheet>
</file>

<file path=xl/worksheets/sheet10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4" hidden="0" customWidth="1"/>
    <x:col min="4" max="4" width="9" hidden="0" customWidth="1"/>
    <x:col min="5" max="5" width="9" hidden="0" customWidth="1"/>
    <x:col min="6" max="6" width="18" hidden="0" customWidth="1"/>
    <x:col min="7" max="7" width="36" hidden="0" customWidth="1"/>
    <x:col min="8" max="8" width="20" hidden="0" customWidth="1"/>
    <x:col min="9" max="9" width="20" hidden="0" customWidth="1"/>
    <x:col min="10" max="10" width="24" hidden="0" customWidth="1"/>
    <x:col min="11" max="11" width="12" hidden="0" customWidth="1"/>
    <x:col min="12" max="12" width="28" hidden="0" customWidth="1"/>
  </x:cols>
  <x:sheetData>
    <x:row r="1">
      <x:c r="A1" s="647" t="str">
        <x:v>🕒 DAILY TIMELINE · RC6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</x:row>
    <x:row r="2">
      <x:c r="A2" s="647"/>
      <x:c r="B2" s="647"/>
      <x:c r="C2" s="647"/>
      <x:c r="D2" s="647"/>
      <x:c r="E2" s="647"/>
      <x:c r="F2" s="647"/>
      <x:c r="G2" s="647"/>
      <x:c r="H2" s="647"/>
      <x:c r="I2" s="647"/>
      <x:c r="J2" s="647"/>
      <x:c r="K2" s="647"/>
      <x:c r="L2" s="647"/>
    </x:row>
    <x:row r="4">
      <x:c r="A4" s="634" t="str">
        <x:v>Date</x:v>
      </x:c>
      <x:c r="B4" s="634" t="str">
        <x:v>Day</x:v>
      </x:c>
      <x:c r="C4" s="634" t="str">
        <x:v>City</x:v>
      </x:c>
      <x:c r="D4" s="634" t="str">
        <x:v>Start</x:v>
      </x:c>
      <x:c r="E4" s="634" t="str">
        <x:v>End</x:v>
      </x:c>
      <x:c r="F4" s="634" t="str">
        <x:v>Type</x:v>
      </x:c>
      <x:c r="G4" s="634" t="str">
        <x:v>Plan</x:v>
      </x:c>
      <x:c r="H4" s="634" t="str">
        <x:v>Area / Station</x:v>
      </x:c>
      <x:c r="I4" s="634" t="str">
        <x:v>Reservation</x:v>
      </x:c>
      <x:c r="J4" s="634" t="str">
        <x:v>Transit / Walking</x:v>
      </x:c>
      <x:c r="K4" s="634" t="str">
        <x:v>Buffer</x:v>
      </x:c>
      <x:c r="L4" s="634" t="str">
        <x:v>Notes</x:v>
      </x:c>
    </x:row>
    <x:row r="5">
      <x:c r="A5" s="382" t="n">
        <x:v>46321</x:v>
      </x:c>
      <x:c r="B5" t="str">
        <x:v>Travel</x:v>
      </x:c>
      <x:c r="C5" t="str">
        <x:v>USA / Flight</x:v>
      </x:c>
      <x:c r="D5" t="str">
        <x:v>08:00</x:v>
      </x:c>
      <x:c r="E5" t="str">
        <x:v>09:00</x:v>
      </x:c>
      <x:c r="F5" t="str">
        <x:v>Breakfast / Prep</x:v>
      </x:c>
      <x:c r="G5" t="str">
        <x:v>Breakfast near hotel or hotel meal</x:v>
      </x:c>
      <x:c r="H5" t="str">
        <x:v>Hotel area</x:v>
      </x:c>
      <x:c r="I5" t="str"/>
      <x:c r="J5" t="str">
        <x:v>Open map before departure</x:v>
      </x:c>
      <x:c r="K5" t="str">
        <x:v>15 min</x:v>
      </x:c>
      <x:c r="L5" t="str">
        <x:v>Carry dietary card</x:v>
      </x:c>
    </x:row>
    <x:row r="6">
      <x:c r="A6" s="382" t="n">
        <x:v>46321</x:v>
      </x:c>
      <x:c r="B6" t="str">
        <x:v>Travel</x:v>
      </x:c>
      <x:c r="C6" t="str">
        <x:v>USA / Flight</x:v>
      </x:c>
      <x:c r="D6" t="str">
        <x:v>09:30</x:v>
      </x:c>
      <x:c r="E6" t="str">
        <x:v>12:00</x:v>
      </x:c>
      <x:c r="F6" t="str">
        <x:v>Morning</x:v>
      </x:c>
      <x:c r="G6" t="str">
        <x:v>Depart USA</x:v>
      </x:c>
      <x:c r="H6" t="str"/>
      <x:c r="I6" t="str">
        <x:v>Check ticket / opening time</x:v>
      </x:c>
      <x:c r="J6" t="str">
        <x:v>Open map before departure</x:v>
      </x:c>
      <x:c r="K6" t="str">
        <x:v>30 min</x:v>
      </x:c>
      <x:c r="L6" t="str"/>
    </x:row>
    <x:row r="7">
      <x:c r="A7" s="382" t="n">
        <x:v>46321</x:v>
      </x:c>
      <x:c r="B7" t="str">
        <x:v>Travel</x:v>
      </x:c>
      <x:c r="C7" t="str">
        <x:v>USA / Flight</x:v>
      </x:c>
      <x:c r="D7" t="str">
        <x:v>12:00</x:v>
      </x:c>
      <x:c r="E7" t="str">
        <x:v>13:30</x:v>
      </x:c>
      <x:c r="F7" t="str">
        <x:v>Lunch</x:v>
      </x:c>
      <x:c r="G7" t="str">
        <x:v>Food Explorer shortlist near current area</x:v>
      </x:c>
      <x:c r="H7" t="str"/>
      <x:c r="I7" t="str">
        <x:v>Reserve if needed</x:v>
      </x:c>
      <x:c r="J7" t="str">
        <x:v>Open map before departure</x:v>
      </x:c>
      <x:c r="K7" t="str">
        <x:v>30 min</x:v>
      </x:c>
      <x:c r="L7" t="str"/>
    </x:row>
    <x:row r="8">
      <x:c r="A8" s="382" t="n">
        <x:v>46321</x:v>
      </x:c>
      <x:c r="B8" t="str">
        <x:v>Travel</x:v>
      </x:c>
      <x:c r="C8" t="str">
        <x:v>USA / Flight</x:v>
      </x:c>
      <x:c r="D8" t="str">
        <x:v>14:00</x:v>
      </x:c>
      <x:c r="E8" t="str">
        <x:v>17:00</x:v>
      </x:c>
      <x:c r="F8" t="str">
        <x:v>Afternoon</x:v>
      </x:c>
      <x:c r="G8" t="str">
        <x:v>JAL flights from LAX + BOS</x:v>
      </x:c>
      <x:c r="H8" t="str"/>
      <x:c r="I8" t="str">
        <x:v>Open route before leaving</x:v>
      </x:c>
      <x:c r="J8" t="str">
        <x:v>Open map before departure</x:v>
      </x:c>
      <x:c r="K8" t="str">
        <x:v>30 min</x:v>
      </x:c>
      <x:c r="L8" t="str"/>
    </x:row>
    <x:row r="9">
      <x:c r="A9" s="382" t="n">
        <x:v>46321</x:v>
      </x:c>
      <x:c r="B9" t="str">
        <x:v>Travel</x:v>
      </x:c>
      <x:c r="C9" t="str">
        <x:v>USA / Flight</x:v>
      </x:c>
      <x:c r="D9" t="str">
        <x:v>18:00</x:v>
      </x:c>
      <x:c r="E9" t="str">
        <x:v>20:00</x:v>
      </x:c>
      <x:c r="F9" t="str">
        <x:v>Dinner</x:v>
      </x:c>
      <x:c r="G9" t="str">
        <x:v>In flight</x:v>
      </x:c>
      <x:c r="H9" t="str"/>
      <x:c r="I9" t="str">
        <x:v>Reserve if needed</x:v>
      </x:c>
      <x:c r="J9" t="str">
        <x:v>Open map before departure</x:v>
      </x:c>
      <x:c r="K9" t="str">
        <x:v>45 min</x:v>
      </x:c>
      <x:c r="L9" t="str"/>
    </x:row>
    <x:row r="10">
      <x:c r="A10" s="382" t="n">
        <x:v>46321</x:v>
      </x:c>
      <x:c r="B10" t="str">
        <x:v>Travel</x:v>
      </x:c>
      <x:c r="C10" t="str">
        <x:v>USA / Flight</x:v>
      </x:c>
      <x:c r="D10" t="str">
        <x:v>20:30</x:v>
      </x:c>
      <x:c r="E10" t="str">
        <x:v>21:00</x:v>
      </x:c>
      <x:c r="F10" t="str">
        <x:v>Nightly Reset</x:v>
      </x:c>
      <x:c r="G10" t="str">
        <x:v>Review tomorrow, weather, transit and packing</x:v>
      </x:c>
      <x:c r="H10" t="str">
        <x:v>Hotel</x:v>
      </x:c>
      <x:c r="I10" t="str"/>
      <x:c r="J10" t="str">
        <x:v>Open map before departure</x:v>
      </x:c>
      <x:c r="K10" t="str"/>
      <x:c r="L10" t="str">
        <x:v>Charge devices</x:v>
      </x:c>
    </x:row>
    <x:row r="11">
      <x:c r="A11" s="382" t="n">
        <x:v>46322</x:v>
      </x:c>
      <x:c r="B11" t="str">
        <x:v>Arrival</x:v>
      </x:c>
      <x:c r="C11" t="str">
        <x:v>Tokyo</x:v>
      </x:c>
      <x:c r="D11" t="str">
        <x:v>08:00</x:v>
      </x:c>
      <x:c r="E11" t="str">
        <x:v>09:00</x:v>
      </x:c>
      <x:c r="F11" t="str">
        <x:v>Breakfast / Prep</x:v>
      </x:c>
      <x:c r="G11" t="str">
        <x:v>Breakfast near hotel or hotel meal</x:v>
      </x:c>
      <x:c r="H11" t="str">
        <x:v>Hotel area</x:v>
      </x:c>
      <x:c r="I11" t="str"/>
      <x:c r="J11" t="str">
        <x:v>Open map before departure</x:v>
      </x:c>
      <x:c r="K11" t="str">
        <x:v>15 min</x:v>
      </x:c>
      <x:c r="L11" t="str">
        <x:v>Carry dietary card</x:v>
      </x:c>
    </x:row>
    <x:row r="12">
      <x:c r="A12" s="382" t="n">
        <x:v>46322</x:v>
      </x:c>
      <x:c r="B12" t="str">
        <x:v>Arrival</x:v>
      </x:c>
      <x:c r="C12" t="str">
        <x:v>Tokyo</x:v>
      </x:c>
      <x:c r="D12" t="str">
        <x:v>09:30</x:v>
      </x:c>
      <x:c r="E12" t="str">
        <x:v>12:00</x:v>
      </x:c>
      <x:c r="F12" t="str">
        <x:v>Morning</x:v>
      </x:c>
      <x:c r="G12" t="str">
        <x:v>Arrive Narita</x:v>
      </x:c>
      <x:c r="H12" t="str"/>
      <x:c r="I12" t="str">
        <x:v>Check ticket / opening time</x:v>
      </x:c>
      <x:c r="J12" t="str">
        <x:v>Open map before departure</x:v>
      </x:c>
      <x:c r="K12" t="str">
        <x:v>30 min</x:v>
      </x:c>
      <x:c r="L12" t="str"/>
    </x:row>
    <x:row r="13">
      <x:c r="A13" s="382" t="n">
        <x:v>46322</x:v>
      </x:c>
      <x:c r="B13" t="str">
        <x:v>Arrival</x:v>
      </x:c>
      <x:c r="C13" t="str">
        <x:v>Tokyo</x:v>
      </x:c>
      <x:c r="D13" t="str">
        <x:v>12:00</x:v>
      </x:c>
      <x:c r="E13" t="str">
        <x:v>13:30</x:v>
      </x:c>
      <x:c r="F13" t="str">
        <x:v>Lunch</x:v>
      </x:c>
      <x:c r="G13" t="str">
        <x:v>Food Explorer shortlist near current area</x:v>
      </x:c>
      <x:c r="H13" t="str"/>
      <x:c r="I13" t="str">
        <x:v>Reserve if needed</x:v>
      </x:c>
      <x:c r="J13" t="str">
        <x:v>Open map before departure</x:v>
      </x:c>
      <x:c r="K13" t="str">
        <x:v>30 min</x:v>
      </x:c>
      <x:c r="L13" t="str"/>
    </x:row>
    <x:row r="14">
      <x:c r="A14" s="382" t="n">
        <x:v>46322</x:v>
      </x:c>
      <x:c r="B14" t="str">
        <x:v>Arrival</x:v>
      </x:c>
      <x:c r="C14" t="str">
        <x:v>Tokyo</x:v>
      </x:c>
      <x:c r="D14" t="str">
        <x:v>14:00</x:v>
      </x:c>
      <x:c r="E14" t="str">
        <x:v>17:00</x:v>
      </x:c>
      <x:c r="F14" t="str">
        <x:v>Afternoon</x:v>
      </x:c>
      <x:c r="G14" t="str">
        <x:v>Narita Express / taxi to Akasaka</x:v>
      </x:c>
      <x:c r="H14" t="str"/>
      <x:c r="I14" t="str">
        <x:v>Open route before leaving</x:v>
      </x:c>
      <x:c r="J14" t="str">
        <x:v>Open map before departure</x:v>
      </x:c>
      <x:c r="K14" t="str">
        <x:v>30 min</x:v>
      </x:c>
      <x:c r="L14" t="str"/>
    </x:row>
    <x:row r="15">
      <x:c r="A15" s="382" t="n">
        <x:v>46322</x:v>
      </x:c>
      <x:c r="B15" t="str">
        <x:v>Arrival</x:v>
      </x:c>
      <x:c r="C15" t="str">
        <x:v>Tokyo</x:v>
      </x:c>
      <x:c r="D15" t="str">
        <x:v>18:00</x:v>
      </x:c>
      <x:c r="E15" t="str">
        <x:v>20:00</x:v>
      </x:c>
      <x:c r="F15" t="str">
        <x:v>Dinner</x:v>
      </x:c>
      <x:c r="G15" t="str">
        <x:v>Easy dinner + sleep</x:v>
      </x:c>
      <x:c r="H15" t="str"/>
      <x:c r="I15" t="str">
        <x:v>Reserve if needed</x:v>
      </x:c>
      <x:c r="J15" t="str">
        <x:v>Open map before departure</x:v>
      </x:c>
      <x:c r="K15" t="str">
        <x:v>45 min</x:v>
      </x:c>
      <x:c r="L15" t="str"/>
    </x:row>
    <x:row r="16">
      <x:c r="A16" s="382" t="n">
        <x:v>46322</x:v>
      </x:c>
      <x:c r="B16" t="str">
        <x:v>Arrival</x:v>
      </x:c>
      <x:c r="C16" t="str">
        <x:v>Tokyo</x:v>
      </x:c>
      <x:c r="D16" t="str">
        <x:v>20:30</x:v>
      </x:c>
      <x:c r="E16" t="str">
        <x:v>21:00</x:v>
      </x:c>
      <x:c r="F16" t="str">
        <x:v>Nightly Reset</x:v>
      </x:c>
      <x:c r="G16" t="str">
        <x:v>Review tomorrow, weather, transit and packing</x:v>
      </x:c>
      <x:c r="H16" t="str">
        <x:v>Hotel</x:v>
      </x:c>
      <x:c r="I16" t="str"/>
      <x:c r="J16" t="str">
        <x:v>Open map before departure</x:v>
      </x:c>
      <x:c r="K16" t="str"/>
      <x:c r="L16" t="str">
        <x:v>Charge devices</x:v>
      </x:c>
    </x:row>
    <x:row r="17">
      <x:c r="A17" s="382" t="n">
        <x:v>46323</x:v>
      </x:c>
      <x:c r="B17" t="n">
        <x:v>1</x:v>
      </x:c>
      <x:c r="C17" t="str">
        <x:v>Tokyo</x:v>
      </x:c>
      <x:c r="D17" t="str">
        <x:v>08:00</x:v>
      </x:c>
      <x:c r="E17" t="str">
        <x:v>09:00</x:v>
      </x:c>
      <x:c r="F17" t="str">
        <x:v>Breakfast / Prep</x:v>
      </x:c>
      <x:c r="G17" t="str">
        <x:v>Breakfast near hotel or hotel meal</x:v>
      </x:c>
      <x:c r="H17" t="str">
        <x:v>Hotel area</x:v>
      </x:c>
      <x:c r="I17" t="str"/>
      <x:c r="J17" t="str">
        <x:v>Open map before departure</x:v>
      </x:c>
      <x:c r="K17" t="str">
        <x:v>15 min</x:v>
      </x:c>
      <x:c r="L17" t="str">
        <x:v>Carry dietary card</x:v>
      </x:c>
    </x:row>
    <x:row r="18">
      <x:c r="A18" s="382" t="n">
        <x:v>46323</x:v>
      </x:c>
      <x:c r="B18" t="n">
        <x:v>1</x:v>
      </x:c>
      <x:c r="C18" t="str">
        <x:v>Tokyo</x:v>
      </x:c>
      <x:c r="D18" t="str">
        <x:v>09:30</x:v>
      </x:c>
      <x:c r="E18" t="str">
        <x:v>12:00</x:v>
      </x:c>
      <x:c r="F18" t="str">
        <x:v>Morning</x:v>
      </x:c>
      <x:c r="G18" t="str">
        <x:v>Akasaka orientation</x:v>
      </x:c>
      <x:c r="H18" t="str"/>
      <x:c r="I18" t="str">
        <x:v>Check ticket / opening time</x:v>
      </x:c>
      <x:c r="J18" t="str">
        <x:v>Open map before departure</x:v>
      </x:c>
      <x:c r="K18" t="str">
        <x:v>30 min</x:v>
      </x:c>
      <x:c r="L18" t="str"/>
    </x:row>
    <x:row r="19">
      <x:c r="A19" s="382" t="n">
        <x:v>46323</x:v>
      </x:c>
      <x:c r="B19" t="n">
        <x:v>1</x:v>
      </x:c>
      <x:c r="C19" t="str">
        <x:v>Tokyo</x:v>
      </x:c>
      <x:c r="D19" t="str">
        <x:v>12:00</x:v>
      </x:c>
      <x:c r="E19" t="str">
        <x:v>13:30</x:v>
      </x:c>
      <x:c r="F19" t="str">
        <x:v>Lunch</x:v>
      </x:c>
      <x:c r="G19" t="str">
        <x:v>Food Explorer shortlist near current area</x:v>
      </x:c>
      <x:c r="H19" t="str"/>
      <x:c r="I19" t="str">
        <x:v>Reserve if needed</x:v>
      </x:c>
      <x:c r="J19" t="str">
        <x:v>Open map before departure</x:v>
      </x:c>
      <x:c r="K19" t="str">
        <x:v>30 min</x:v>
      </x:c>
      <x:c r="L19" t="str"/>
    </x:row>
    <x:row r="20">
      <x:c r="A20" s="382" t="n">
        <x:v>46323</x:v>
      </x:c>
      <x:c r="B20" t="n">
        <x:v>1</x:v>
      </x:c>
      <x:c r="C20" t="str">
        <x:v>Tokyo</x:v>
      </x:c>
      <x:c r="D20" t="str">
        <x:v>14:00</x:v>
      </x:c>
      <x:c r="E20" t="str">
        <x:v>17:00</x:v>
      </x:c>
      <x:c r="F20" t="str">
        <x:v>Afternoon</x:v>
      </x:c>
      <x:c r="G20" t="str">
        <x:v>Hie Shrine + nearby cafés</x:v>
      </x:c>
      <x:c r="H20" t="str"/>
      <x:c r="I20" t="str">
        <x:v>Open route before leaving</x:v>
      </x:c>
      <x:c r="J20" t="str">
        <x:v>Open map before departure</x:v>
      </x:c>
      <x:c r="K20" t="str">
        <x:v>30 min</x:v>
      </x:c>
      <x:c r="L20" t="str"/>
    </x:row>
    <x:row r="21">
      <x:c r="A21" s="382" t="n">
        <x:v>46323</x:v>
      </x:c>
      <x:c r="B21" t="n">
        <x:v>1</x:v>
      </x:c>
      <x:c r="C21" t="str">
        <x:v>Tokyo</x:v>
      </x:c>
      <x:c r="D21" t="str">
        <x:v>18:00</x:v>
      </x:c>
      <x:c r="E21" t="str">
        <x:v>20:00</x:v>
      </x:c>
      <x:c r="F21" t="str">
        <x:v>Dinner</x:v>
      </x:c>
      <x:c r="G21" t="str">
        <x:v>Welcome dinner</x:v>
      </x:c>
      <x:c r="H21" t="str"/>
      <x:c r="I21" t="str">
        <x:v>Reserve if needed</x:v>
      </x:c>
      <x:c r="J21" t="str">
        <x:v>Open map before departure</x:v>
      </x:c>
      <x:c r="K21" t="str">
        <x:v>45 min</x:v>
      </x:c>
      <x:c r="L21" t="str"/>
    </x:row>
    <x:row r="22">
      <x:c r="A22" s="382" t="n">
        <x:v>46323</x:v>
      </x:c>
      <x:c r="B22" t="n">
        <x:v>1</x:v>
      </x:c>
      <x:c r="C22" t="str">
        <x:v>Tokyo</x:v>
      </x:c>
      <x:c r="D22" t="str">
        <x:v>20:30</x:v>
      </x:c>
      <x:c r="E22" t="str">
        <x:v>21:00</x:v>
      </x:c>
      <x:c r="F22" t="str">
        <x:v>Nightly Reset</x:v>
      </x:c>
      <x:c r="G22" t="str">
        <x:v>Review tomorrow, weather, transit and packing</x:v>
      </x:c>
      <x:c r="H22" t="str">
        <x:v>Hotel</x:v>
      </x:c>
      <x:c r="I22" t="str"/>
      <x:c r="J22" t="str">
        <x:v>Open map before departure</x:v>
      </x:c>
      <x:c r="K22" t="str"/>
      <x:c r="L22" t="str">
        <x:v>Charge devices</x:v>
      </x:c>
    </x:row>
    <x:row r="23">
      <x:c r="A23" s="382" t="n">
        <x:v>46324</x:v>
      </x:c>
      <x:c r="B23" t="n">
        <x:v>2</x:v>
      </x:c>
      <x:c r="C23" t="str">
        <x:v>Tokyo</x:v>
      </x:c>
      <x:c r="D23" t="str">
        <x:v>08:00</x:v>
      </x:c>
      <x:c r="E23" t="str">
        <x:v>09:00</x:v>
      </x:c>
      <x:c r="F23" t="str">
        <x:v>Breakfast / Prep</x:v>
      </x:c>
      <x:c r="G23" t="str">
        <x:v>Breakfast near hotel or hotel meal</x:v>
      </x:c>
      <x:c r="H23" t="str">
        <x:v>Hotel area</x:v>
      </x:c>
      <x:c r="I23" t="str"/>
      <x:c r="J23" t="str">
        <x:v>Open map before departure</x:v>
      </x:c>
      <x:c r="K23" t="str">
        <x:v>15 min</x:v>
      </x:c>
      <x:c r="L23" t="str">
        <x:v>Carry dietary card</x:v>
      </x:c>
    </x:row>
    <x:row r="24">
      <x:c r="A24" s="382" t="n">
        <x:v>46324</x:v>
      </x:c>
      <x:c r="B24" t="n">
        <x:v>2</x:v>
      </x:c>
      <x:c r="C24" t="str">
        <x:v>Tokyo</x:v>
      </x:c>
      <x:c r="D24" t="str">
        <x:v>09:30</x:v>
      </x:c>
      <x:c r="E24" t="str">
        <x:v>12:00</x:v>
      </x:c>
      <x:c r="F24" t="str">
        <x:v>Morning</x:v>
      </x:c>
      <x:c r="G24" t="str">
        <x:v>Asakusa + Senso-ji</x:v>
      </x:c>
      <x:c r="H24" t="str"/>
      <x:c r="I24" t="str">
        <x:v>Check ticket / opening time</x:v>
      </x:c>
      <x:c r="J24" t="str">
        <x:v>Open map before departure</x:v>
      </x:c>
      <x:c r="K24" t="str">
        <x:v>30 min</x:v>
      </x:c>
      <x:c r="L24" t="str"/>
    </x:row>
    <x:row r="25">
      <x:c r="A25" s="382" t="n">
        <x:v>46324</x:v>
      </x:c>
      <x:c r="B25" t="n">
        <x:v>2</x:v>
      </x:c>
      <x:c r="C25" t="str">
        <x:v>Tokyo</x:v>
      </x:c>
      <x:c r="D25" t="str">
        <x:v>12:00</x:v>
      </x:c>
      <x:c r="E25" t="str">
        <x:v>13:30</x:v>
      </x:c>
      <x:c r="F25" t="str">
        <x:v>Lunch</x:v>
      </x:c>
      <x:c r="G25" t="str">
        <x:v>Food Explorer shortlist near current area</x:v>
      </x:c>
      <x:c r="H25" t="str"/>
      <x:c r="I25" t="str">
        <x:v>Reserve if needed</x:v>
      </x:c>
      <x:c r="J25" t="str">
        <x:v>Open map before departure</x:v>
      </x:c>
      <x:c r="K25" t="str">
        <x:v>30 min</x:v>
      </x:c>
      <x:c r="L25" t="str"/>
    </x:row>
    <x:row r="26">
      <x:c r="A26" s="382" t="n">
        <x:v>46324</x:v>
      </x:c>
      <x:c r="B26" t="n">
        <x:v>2</x:v>
      </x:c>
      <x:c r="C26" t="str">
        <x:v>Tokyo</x:v>
      </x:c>
      <x:c r="D26" t="str">
        <x:v>14:00</x:v>
      </x:c>
      <x:c r="E26" t="str">
        <x:v>17:00</x:v>
      </x:c>
      <x:c r="F26" t="str">
        <x:v>Afternoon</x:v>
      </x:c>
      <x:c r="G26" t="str">
        <x:v>Ueno / Ameyoko</x:v>
      </x:c>
      <x:c r="H26" t="str"/>
      <x:c r="I26" t="str">
        <x:v>Open route before leaving</x:v>
      </x:c>
      <x:c r="J26" t="str">
        <x:v>Open map before departure</x:v>
      </x:c>
      <x:c r="K26" t="str">
        <x:v>30 min</x:v>
      </x:c>
      <x:c r="L26" t="str"/>
    </x:row>
    <x:row r="27">
      <x:c r="A27" s="382" t="n">
        <x:v>46324</x:v>
      </x:c>
      <x:c r="B27" t="n">
        <x:v>2</x:v>
      </x:c>
      <x:c r="C27" t="str">
        <x:v>Tokyo</x:v>
      </x:c>
      <x:c r="D27" t="str">
        <x:v>18:00</x:v>
      </x:c>
      <x:c r="E27" t="str">
        <x:v>20:00</x:v>
      </x:c>
      <x:c r="F27" t="str">
        <x:v>Dinner</x:v>
      </x:c>
      <x:c r="G27" t="str">
        <x:v>Dinner near hotel</x:v>
      </x:c>
      <x:c r="H27" t="str"/>
      <x:c r="I27" t="str">
        <x:v>Reserve if needed</x:v>
      </x:c>
      <x:c r="J27" t="str">
        <x:v>Open map before departure</x:v>
      </x:c>
      <x:c r="K27" t="str">
        <x:v>45 min</x:v>
      </x:c>
      <x:c r="L27" t="str"/>
    </x:row>
    <x:row r="28">
      <x:c r="A28" s="382" t="n">
        <x:v>46324</x:v>
      </x:c>
      <x:c r="B28" t="n">
        <x:v>2</x:v>
      </x:c>
      <x:c r="C28" t="str">
        <x:v>Tokyo</x:v>
      </x:c>
      <x:c r="D28" t="str">
        <x:v>20:30</x:v>
      </x:c>
      <x:c r="E28" t="str">
        <x:v>21:00</x:v>
      </x:c>
      <x:c r="F28" t="str">
        <x:v>Nightly Reset</x:v>
      </x:c>
      <x:c r="G28" t="str">
        <x:v>Review tomorrow, weather, transit and packing</x:v>
      </x:c>
      <x:c r="H28" t="str">
        <x:v>Hotel</x:v>
      </x:c>
      <x:c r="I28" t="str"/>
      <x:c r="J28" t="str">
        <x:v>Open map before departure</x:v>
      </x:c>
      <x:c r="K28" t="str"/>
      <x:c r="L28" t="str">
        <x:v>Charge devices</x:v>
      </x:c>
    </x:row>
    <x:row r="29">
      <x:c r="A29" s="382" t="n">
        <x:v>46325</x:v>
      </x:c>
      <x:c r="B29" t="n">
        <x:v>3</x:v>
      </x:c>
      <x:c r="C29" t="str">
        <x:v>Tokyo</x:v>
      </x:c>
      <x:c r="D29" t="str">
        <x:v>08:00</x:v>
      </x:c>
      <x:c r="E29" t="str">
        <x:v>09:00</x:v>
      </x:c>
      <x:c r="F29" t="str">
        <x:v>Breakfast / Prep</x:v>
      </x:c>
      <x:c r="G29" t="str">
        <x:v>Breakfast near hotel or hotel meal</x:v>
      </x:c>
      <x:c r="H29" t="str">
        <x:v>Hotel area</x:v>
      </x:c>
      <x:c r="I29" t="str"/>
      <x:c r="J29" t="str">
        <x:v>Open map before departure</x:v>
      </x:c>
      <x:c r="K29" t="str">
        <x:v>15 min</x:v>
      </x:c>
      <x:c r="L29" t="str">
        <x:v>Carry dietary card</x:v>
      </x:c>
    </x:row>
    <x:row r="30">
      <x:c r="A30" s="382" t="n">
        <x:v>46325</x:v>
      </x:c>
      <x:c r="B30" t="n">
        <x:v>3</x:v>
      </x:c>
      <x:c r="C30" t="str">
        <x:v>Tokyo</x:v>
      </x:c>
      <x:c r="D30" t="str">
        <x:v>09:30</x:v>
      </x:c>
      <x:c r="E30" t="str">
        <x:v>12:00</x:v>
      </x:c>
      <x:c r="F30" t="str">
        <x:v>Morning</x:v>
      </x:c>
      <x:c r="G30" t="str">
        <x:v>Meiji Shrine</x:v>
      </x:c>
      <x:c r="H30" t="str"/>
      <x:c r="I30" t="str">
        <x:v>Check ticket / opening time</x:v>
      </x:c>
      <x:c r="J30" t="str">
        <x:v>Open map before departure</x:v>
      </x:c>
      <x:c r="K30" t="str">
        <x:v>30 min</x:v>
      </x:c>
      <x:c r="L30" t="str"/>
    </x:row>
    <x:row r="31">
      <x:c r="A31" s="382" t="n">
        <x:v>46325</x:v>
      </x:c>
      <x:c r="B31" t="n">
        <x:v>3</x:v>
      </x:c>
      <x:c r="C31" t="str">
        <x:v>Tokyo</x:v>
      </x:c>
      <x:c r="D31" t="str">
        <x:v>12:00</x:v>
      </x:c>
      <x:c r="E31" t="str">
        <x:v>13:30</x:v>
      </x:c>
      <x:c r="F31" t="str">
        <x:v>Lunch</x:v>
      </x:c>
      <x:c r="G31" t="str">
        <x:v>Food Explorer shortlist near current area</x:v>
      </x:c>
      <x:c r="H31" t="str"/>
      <x:c r="I31" t="str">
        <x:v>Reserve if needed</x:v>
      </x:c>
      <x:c r="J31" t="str">
        <x:v>Open map before departure</x:v>
      </x:c>
      <x:c r="K31" t="str">
        <x:v>30 min</x:v>
      </x:c>
      <x:c r="L31" t="str"/>
    </x:row>
    <x:row r="32">
      <x:c r="A32" s="382" t="n">
        <x:v>46325</x:v>
      </x:c>
      <x:c r="B32" t="n">
        <x:v>3</x:v>
      </x:c>
      <x:c r="C32" t="str">
        <x:v>Tokyo</x:v>
      </x:c>
      <x:c r="D32" t="str">
        <x:v>14:00</x:v>
      </x:c>
      <x:c r="E32" t="str">
        <x:v>17:00</x:v>
      </x:c>
      <x:c r="F32" t="str">
        <x:v>Afternoon</x:v>
      </x:c>
      <x:c r="G32" t="str">
        <x:v>Harajuku / Omotesando</x:v>
      </x:c>
      <x:c r="H32" t="str"/>
      <x:c r="I32" t="str">
        <x:v>Open route before leaving</x:v>
      </x:c>
      <x:c r="J32" t="str">
        <x:v>Open map before departure</x:v>
      </x:c>
      <x:c r="K32" t="str">
        <x:v>30 min</x:v>
      </x:c>
      <x:c r="L32" t="str"/>
    </x:row>
    <x:row r="33">
      <x:c r="A33" s="382" t="n">
        <x:v>46325</x:v>
      </x:c>
      <x:c r="B33" t="n">
        <x:v>3</x:v>
      </x:c>
      <x:c r="C33" t="str">
        <x:v>Tokyo</x:v>
      </x:c>
      <x:c r="D33" t="str">
        <x:v>18:00</x:v>
      </x:c>
      <x:c r="E33" t="str">
        <x:v>20:00</x:v>
      </x:c>
      <x:c r="F33" t="str">
        <x:v>Dinner</x:v>
      </x:c>
      <x:c r="G33" t="str">
        <x:v>Shibuya Sky if booked</x:v>
      </x:c>
      <x:c r="H33" t="str"/>
      <x:c r="I33" t="str">
        <x:v>Reserve if needed</x:v>
      </x:c>
      <x:c r="J33" t="str">
        <x:v>Open map before departure</x:v>
      </x:c>
      <x:c r="K33" t="str">
        <x:v>45 min</x:v>
      </x:c>
      <x:c r="L33" t="str"/>
    </x:row>
    <x:row r="34">
      <x:c r="A34" s="382" t="n">
        <x:v>46325</x:v>
      </x:c>
      <x:c r="B34" t="n">
        <x:v>3</x:v>
      </x:c>
      <x:c r="C34" t="str">
        <x:v>Tokyo</x:v>
      </x:c>
      <x:c r="D34" t="str">
        <x:v>20:30</x:v>
      </x:c>
      <x:c r="E34" t="str">
        <x:v>21:00</x:v>
      </x:c>
      <x:c r="F34" t="str">
        <x:v>Nightly Reset</x:v>
      </x:c>
      <x:c r="G34" t="str">
        <x:v>Review tomorrow, weather, transit and packing</x:v>
      </x:c>
      <x:c r="H34" t="str">
        <x:v>Hotel</x:v>
      </x:c>
      <x:c r="I34" t="str"/>
      <x:c r="J34" t="str">
        <x:v>Open map before departure</x:v>
      </x:c>
      <x:c r="K34" t="str"/>
      <x:c r="L34" t="str">
        <x:v>Charge devices</x:v>
      </x:c>
    </x:row>
    <x:row r="35">
      <x:c r="A35" s="382" t="n">
        <x:v>46326</x:v>
      </x:c>
      <x:c r="B35" t="n">
        <x:v>4</x:v>
      </x:c>
      <x:c r="C35" t="str">
        <x:v>Tokyo</x:v>
      </x:c>
      <x:c r="D35" t="str">
        <x:v>08:00</x:v>
      </x:c>
      <x:c r="E35" t="str">
        <x:v>09:00</x:v>
      </x:c>
      <x:c r="F35" t="str">
        <x:v>Breakfast / Prep</x:v>
      </x:c>
      <x:c r="G35" t="str">
        <x:v>Breakfast near hotel or hotel meal</x:v>
      </x:c>
      <x:c r="H35" t="str">
        <x:v>Hotel area</x:v>
      </x:c>
      <x:c r="I35" t="str"/>
      <x:c r="J35" t="str">
        <x:v>Open map before departure</x:v>
      </x:c>
      <x:c r="K35" t="str">
        <x:v>15 min</x:v>
      </x:c>
      <x:c r="L35" t="str">
        <x:v>Carry dietary card</x:v>
      </x:c>
    </x:row>
    <x:row r="36">
      <x:c r="A36" s="382" t="n">
        <x:v>46326</x:v>
      </x:c>
      <x:c r="B36" t="n">
        <x:v>4</x:v>
      </x:c>
      <x:c r="C36" t="str">
        <x:v>Tokyo</x:v>
      </x:c>
      <x:c r="D36" t="str">
        <x:v>09:30</x:v>
      </x:c>
      <x:c r="E36" t="str">
        <x:v>12:00</x:v>
      </x:c>
      <x:c r="F36" t="str">
        <x:v>Morning</x:v>
      </x:c>
      <x:c r="G36" t="str">
        <x:v>Ginza / Tokyo Station</x:v>
      </x:c>
      <x:c r="H36" t="str"/>
      <x:c r="I36" t="str">
        <x:v>Check ticket / opening time</x:v>
      </x:c>
      <x:c r="J36" t="str">
        <x:v>Open map before departure</x:v>
      </x:c>
      <x:c r="K36" t="str">
        <x:v>30 min</x:v>
      </x:c>
      <x:c r="L36" t="str"/>
    </x:row>
    <x:row r="37">
      <x:c r="A37" s="382" t="n">
        <x:v>46326</x:v>
      </x:c>
      <x:c r="B37" t="n">
        <x:v>4</x:v>
      </x:c>
      <x:c r="C37" t="str">
        <x:v>Tokyo</x:v>
      </x:c>
      <x:c r="D37" t="str">
        <x:v>12:00</x:v>
      </x:c>
      <x:c r="E37" t="str">
        <x:v>13:30</x:v>
      </x:c>
      <x:c r="F37" t="str">
        <x:v>Lunch</x:v>
      </x:c>
      <x:c r="G37" t="str">
        <x:v>Food Explorer shortlist near current area</x:v>
      </x:c>
      <x:c r="H37" t="str"/>
      <x:c r="I37" t="str">
        <x:v>Reserve if needed</x:v>
      </x:c>
      <x:c r="J37" t="str">
        <x:v>Open map before departure</x:v>
      </x:c>
      <x:c r="K37" t="str">
        <x:v>30 min</x:v>
      </x:c>
      <x:c r="L37" t="str"/>
    </x:row>
    <x:row r="38">
      <x:c r="A38" s="382" t="n">
        <x:v>46326</x:v>
      </x:c>
      <x:c r="B38" t="n">
        <x:v>4</x:v>
      </x:c>
      <x:c r="C38" t="str">
        <x:v>Tokyo</x:v>
      </x:c>
      <x:c r="D38" t="str">
        <x:v>14:00</x:v>
      </x:c>
      <x:c r="E38" t="str">
        <x:v>17:00</x:v>
      </x:c>
      <x:c r="F38" t="str">
        <x:v>Afternoon</x:v>
      </x:c>
      <x:c r="G38" t="str">
        <x:v>teamLab or Odaiba</x:v>
      </x:c>
      <x:c r="H38" t="str"/>
      <x:c r="I38" t="str">
        <x:v>Open route before leaving</x:v>
      </x:c>
      <x:c r="J38" t="str">
        <x:v>Open map before departure</x:v>
      </x:c>
      <x:c r="K38" t="str">
        <x:v>30 min</x:v>
      </x:c>
      <x:c r="L38" t="str"/>
    </x:row>
    <x:row r="39">
      <x:c r="A39" s="382" t="n">
        <x:v>46326</x:v>
      </x:c>
      <x:c r="B39" t="n">
        <x:v>4</x:v>
      </x:c>
      <x:c r="C39" t="str">
        <x:v>Tokyo</x:v>
      </x:c>
      <x:c r="D39" t="str">
        <x:v>18:00</x:v>
      </x:c>
      <x:c r="E39" t="str">
        <x:v>20:00</x:v>
      </x:c>
      <x:c r="F39" t="str">
        <x:v>Dinner</x:v>
      </x:c>
      <x:c r="G39" t="str">
        <x:v>Halloween evening kept flexible</x:v>
      </x:c>
      <x:c r="H39" t="str"/>
      <x:c r="I39" t="str">
        <x:v>Reserve if needed</x:v>
      </x:c>
      <x:c r="J39" t="str">
        <x:v>Open map before departure</x:v>
      </x:c>
      <x:c r="K39" t="str">
        <x:v>45 min</x:v>
      </x:c>
      <x:c r="L39" t="str"/>
    </x:row>
    <x:row r="40">
      <x:c r="A40" s="382" t="n">
        <x:v>46326</x:v>
      </x:c>
      <x:c r="B40" t="n">
        <x:v>4</x:v>
      </x:c>
      <x:c r="C40" t="str">
        <x:v>Tokyo</x:v>
      </x:c>
      <x:c r="D40" t="str">
        <x:v>20:30</x:v>
      </x:c>
      <x:c r="E40" t="str">
        <x:v>21:00</x:v>
      </x:c>
      <x:c r="F40" t="str">
        <x:v>Nightly Reset</x:v>
      </x:c>
      <x:c r="G40" t="str">
        <x:v>Review tomorrow, weather, transit and packing</x:v>
      </x:c>
      <x:c r="H40" t="str">
        <x:v>Hotel</x:v>
      </x:c>
      <x:c r="I40" t="str"/>
      <x:c r="J40" t="str">
        <x:v>Open map before departure</x:v>
      </x:c>
      <x:c r="K40" t="str"/>
      <x:c r="L40" t="str">
        <x:v>Charge devices</x:v>
      </x:c>
    </x:row>
    <x:row r="41">
      <x:c r="A41" s="382" t="n">
        <x:v>46327</x:v>
      </x:c>
      <x:c r="B41" t="n">
        <x:v>5</x:v>
      </x:c>
      <x:c r="C41" t="str">
        <x:v>Tokyo</x:v>
      </x:c>
      <x:c r="D41" t="str">
        <x:v>08:00</x:v>
      </x:c>
      <x:c r="E41" t="str">
        <x:v>09:00</x:v>
      </x:c>
      <x:c r="F41" t="str">
        <x:v>Breakfast / Prep</x:v>
      </x:c>
      <x:c r="G41" t="str">
        <x:v>Breakfast near hotel or hotel meal</x:v>
      </x:c>
      <x:c r="H41" t="str">
        <x:v>Hotel area</x:v>
      </x:c>
      <x:c r="I41" t="str"/>
      <x:c r="J41" t="str">
        <x:v>Open map before departure</x:v>
      </x:c>
      <x:c r="K41" t="str">
        <x:v>15 min</x:v>
      </x:c>
      <x:c r="L41" t="str">
        <x:v>Carry dietary card</x:v>
      </x:c>
    </x:row>
    <x:row r="42">
      <x:c r="A42" s="382" t="n">
        <x:v>46327</x:v>
      </x:c>
      <x:c r="B42" t="n">
        <x:v>5</x:v>
      </x:c>
      <x:c r="C42" t="str">
        <x:v>Tokyo</x:v>
      </x:c>
      <x:c r="D42" t="str">
        <x:v>09:30</x:v>
      </x:c>
      <x:c r="E42" t="str">
        <x:v>12:00</x:v>
      </x:c>
      <x:c r="F42" t="str">
        <x:v>Morning</x:v>
      </x:c>
      <x:c r="G42" t="str">
        <x:v>Ghibli Museum</x:v>
      </x:c>
      <x:c r="H42" t="str"/>
      <x:c r="I42" t="str">
        <x:v>Check ticket / opening time</x:v>
      </x:c>
      <x:c r="J42" t="str">
        <x:v>Open map before departure</x:v>
      </x:c>
      <x:c r="K42" t="str">
        <x:v>30 min</x:v>
      </x:c>
      <x:c r="L42" t="str"/>
    </x:row>
    <x:row r="43">
      <x:c r="A43" s="382" t="n">
        <x:v>46327</x:v>
      </x:c>
      <x:c r="B43" t="n">
        <x:v>5</x:v>
      </x:c>
      <x:c r="C43" t="str">
        <x:v>Tokyo</x:v>
      </x:c>
      <x:c r="D43" t="str">
        <x:v>12:00</x:v>
      </x:c>
      <x:c r="E43" t="str">
        <x:v>13:30</x:v>
      </x:c>
      <x:c r="F43" t="str">
        <x:v>Lunch</x:v>
      </x:c>
      <x:c r="G43" t="str">
        <x:v>Food Explorer shortlist near current area</x:v>
      </x:c>
      <x:c r="H43" t="str"/>
      <x:c r="I43" t="str">
        <x:v>Reserve if needed</x:v>
      </x:c>
      <x:c r="J43" t="str">
        <x:v>Open map before departure</x:v>
      </x:c>
      <x:c r="K43" t="str">
        <x:v>30 min</x:v>
      </x:c>
      <x:c r="L43" t="str"/>
    </x:row>
    <x:row r="44">
      <x:c r="A44" s="382" t="n">
        <x:v>46327</x:v>
      </x:c>
      <x:c r="B44" t="n">
        <x:v>5</x:v>
      </x:c>
      <x:c r="C44" t="str">
        <x:v>Tokyo</x:v>
      </x:c>
      <x:c r="D44" t="str">
        <x:v>14:00</x:v>
      </x:c>
      <x:c r="E44" t="str">
        <x:v>17:00</x:v>
      </x:c>
      <x:c r="F44" t="str">
        <x:v>Afternoon</x:v>
      </x:c>
      <x:c r="G44" t="str">
        <x:v>Kichijoji / Inokashira Park</x:v>
      </x:c>
      <x:c r="H44" t="str"/>
      <x:c r="I44" t="str">
        <x:v>Open route before leaving</x:v>
      </x:c>
      <x:c r="J44" t="str">
        <x:v>Open map before departure</x:v>
      </x:c>
      <x:c r="K44" t="str">
        <x:v>30 min</x:v>
      </x:c>
      <x:c r="L44" t="str"/>
    </x:row>
    <x:row r="45">
      <x:c r="A45" s="382" t="n">
        <x:v>46327</x:v>
      </x:c>
      <x:c r="B45" t="n">
        <x:v>5</x:v>
      </x:c>
      <x:c r="C45" t="str">
        <x:v>Tokyo</x:v>
      </x:c>
      <x:c r="D45" t="str">
        <x:v>18:00</x:v>
      </x:c>
      <x:c r="E45" t="str">
        <x:v>20:00</x:v>
      </x:c>
      <x:c r="F45" t="str">
        <x:v>Dinner</x:v>
      </x:c>
      <x:c r="G45" t="str">
        <x:v>Relaxed Tokyo dinner</x:v>
      </x:c>
      <x:c r="H45" t="str"/>
      <x:c r="I45" t="str">
        <x:v>Reserve if needed</x:v>
      </x:c>
      <x:c r="J45" t="str">
        <x:v>Open map before departure</x:v>
      </x:c>
      <x:c r="K45" t="str">
        <x:v>45 min</x:v>
      </x:c>
      <x:c r="L45" t="str"/>
    </x:row>
    <x:row r="46">
      <x:c r="A46" s="382" t="n">
        <x:v>46327</x:v>
      </x:c>
      <x:c r="B46" t="n">
        <x:v>5</x:v>
      </x:c>
      <x:c r="C46" t="str">
        <x:v>Tokyo</x:v>
      </x:c>
      <x:c r="D46" t="str">
        <x:v>20:30</x:v>
      </x:c>
      <x:c r="E46" t="str">
        <x:v>21:00</x:v>
      </x:c>
      <x:c r="F46" t="str">
        <x:v>Nightly Reset</x:v>
      </x:c>
      <x:c r="G46" t="str">
        <x:v>Review tomorrow, weather, transit and packing</x:v>
      </x:c>
      <x:c r="H46" t="str">
        <x:v>Hotel</x:v>
      </x:c>
      <x:c r="I46" t="str"/>
      <x:c r="J46" t="str">
        <x:v>Open map before departure</x:v>
      </x:c>
      <x:c r="K46" t="str"/>
      <x:c r="L46" t="str">
        <x:v>Charge devices</x:v>
      </x:c>
    </x:row>
    <x:row r="47">
      <x:c r="A47" s="382" t="n">
        <x:v>46328</x:v>
      </x:c>
      <x:c r="B47" t="n">
        <x:v>6</x:v>
      </x:c>
      <x:c r="C47" t="str">
        <x:v>Hakone</x:v>
      </x:c>
      <x:c r="D47" t="str">
        <x:v>08:00</x:v>
      </x:c>
      <x:c r="E47" t="str">
        <x:v>09:00</x:v>
      </x:c>
      <x:c r="F47" t="str">
        <x:v>Breakfast / Prep</x:v>
      </x:c>
      <x:c r="G47" t="str">
        <x:v>Breakfast near hotel or hotel meal</x:v>
      </x:c>
      <x:c r="H47" t="str">
        <x:v>Hotel area</x:v>
      </x:c>
      <x:c r="I47" t="str"/>
      <x:c r="J47" t="str">
        <x:v>Open map before departure</x:v>
      </x:c>
      <x:c r="K47" t="str">
        <x:v>15 min</x:v>
      </x:c>
      <x:c r="L47" t="str">
        <x:v>Carry dietary card</x:v>
      </x:c>
    </x:row>
    <x:row r="48">
      <x:c r="A48" s="382" t="n">
        <x:v>46328</x:v>
      </x:c>
      <x:c r="B48" t="n">
        <x:v>6</x:v>
      </x:c>
      <x:c r="C48" t="str">
        <x:v>Hakone</x:v>
      </x:c>
      <x:c r="D48" t="str">
        <x:v>09:30</x:v>
      </x:c>
      <x:c r="E48" t="str">
        <x:v>12:00</x:v>
      </x:c>
      <x:c r="F48" t="str">
        <x:v>Morning</x:v>
      </x:c>
      <x:c r="G48" t="str">
        <x:v>Forward large luggage to Kyoto</x:v>
      </x:c>
      <x:c r="H48" t="str"/>
      <x:c r="I48" t="str">
        <x:v>Check ticket / opening time</x:v>
      </x:c>
      <x:c r="J48" t="str">
        <x:v>Open map before departure</x:v>
      </x:c>
      <x:c r="K48" t="str">
        <x:v>30 min</x:v>
      </x:c>
      <x:c r="L48" t="str"/>
    </x:row>
    <x:row r="49">
      <x:c r="A49" s="382" t="n">
        <x:v>46328</x:v>
      </x:c>
      <x:c r="B49" t="n">
        <x:v>6</x:v>
      </x:c>
      <x:c r="C49" t="str">
        <x:v>Hakone</x:v>
      </x:c>
      <x:c r="D49" t="str">
        <x:v>12:00</x:v>
      </x:c>
      <x:c r="E49" t="str">
        <x:v>13:30</x:v>
      </x:c>
      <x:c r="F49" t="str">
        <x:v>Lunch</x:v>
      </x:c>
      <x:c r="G49" t="str">
        <x:v>Food Explorer shortlist near current area</x:v>
      </x:c>
      <x:c r="H49" t="str"/>
      <x:c r="I49" t="str">
        <x:v>Reserve if needed</x:v>
      </x:c>
      <x:c r="J49" t="str">
        <x:v>Open map before departure</x:v>
      </x:c>
      <x:c r="K49" t="str">
        <x:v>30 min</x:v>
      </x:c>
      <x:c r="L49" t="str"/>
    </x:row>
    <x:row r="50">
      <x:c r="A50" s="382" t="n">
        <x:v>46328</x:v>
      </x:c>
      <x:c r="B50" t="n">
        <x:v>6</x:v>
      </x:c>
      <x:c r="C50" t="str">
        <x:v>Hakone</x:v>
      </x:c>
      <x:c r="D50" t="str">
        <x:v>14:00</x:v>
      </x:c>
      <x:c r="E50" t="str">
        <x:v>17:00</x:v>
      </x:c>
      <x:c r="F50" t="str">
        <x:v>Afternoon</x:v>
      </x:c>
      <x:c r="G50" t="str">
        <x:v>Travel to Hakone + open-air museum/Gora</x:v>
      </x:c>
      <x:c r="H50" t="str"/>
      <x:c r="I50" t="str">
        <x:v>Open route before leaving</x:v>
      </x:c>
      <x:c r="J50" t="str">
        <x:v>Open map before departure</x:v>
      </x:c>
      <x:c r="K50" t="str">
        <x:v>30 min</x:v>
      </x:c>
      <x:c r="L50" t="str"/>
    </x:row>
    <x:row r="51">
      <x:c r="A51" s="382" t="n">
        <x:v>46328</x:v>
      </x:c>
      <x:c r="B51" t="n">
        <x:v>6</x:v>
      </x:c>
      <x:c r="C51" t="str">
        <x:v>Hakone</x:v>
      </x:c>
      <x:c r="D51" t="str">
        <x:v>18:00</x:v>
      </x:c>
      <x:c r="E51" t="str">
        <x:v>20:00</x:v>
      </x:c>
      <x:c r="F51" t="str">
        <x:v>Dinner</x:v>
      </x:c>
      <x:c r="G51" t="str">
        <x:v>Ryokan + onsen + kaiseki</x:v>
      </x:c>
      <x:c r="H51" t="str"/>
      <x:c r="I51" t="str">
        <x:v>Reserve if needed</x:v>
      </x:c>
      <x:c r="J51" t="str">
        <x:v>Open map before departure</x:v>
      </x:c>
      <x:c r="K51" t="str">
        <x:v>45 min</x:v>
      </x:c>
      <x:c r="L51" t="str"/>
    </x:row>
    <x:row r="52">
      <x:c r="A52" s="382" t="n">
        <x:v>46328</x:v>
      </x:c>
      <x:c r="B52" t="n">
        <x:v>6</x:v>
      </x:c>
      <x:c r="C52" t="str">
        <x:v>Hakone</x:v>
      </x:c>
      <x:c r="D52" t="str">
        <x:v>20:30</x:v>
      </x:c>
      <x:c r="E52" t="str">
        <x:v>21:00</x:v>
      </x:c>
      <x:c r="F52" t="str">
        <x:v>Nightly Reset</x:v>
      </x:c>
      <x:c r="G52" t="str">
        <x:v>Review tomorrow, weather, transit and packing</x:v>
      </x:c>
      <x:c r="H52" t="str">
        <x:v>Hotel</x:v>
      </x:c>
      <x:c r="I52" t="str"/>
      <x:c r="J52" t="str">
        <x:v>Open map before departure</x:v>
      </x:c>
      <x:c r="K52" t="str"/>
      <x:c r="L52" t="str">
        <x:v>Charge devices</x:v>
      </x:c>
    </x:row>
    <x:row r="53">
      <x:c r="A53" s="382" t="n">
        <x:v>46329</x:v>
      </x:c>
      <x:c r="B53" t="n">
        <x:v>7</x:v>
      </x:c>
      <x:c r="C53" t="str">
        <x:v>Kyoto</x:v>
      </x:c>
      <x:c r="D53" t="str">
        <x:v>08:00</x:v>
      </x:c>
      <x:c r="E53" t="str">
        <x:v>09:00</x:v>
      </x:c>
      <x:c r="F53" t="str">
        <x:v>Breakfast / Prep</x:v>
      </x:c>
      <x:c r="G53" t="str">
        <x:v>Breakfast near hotel or hotel meal</x:v>
      </x:c>
      <x:c r="H53" t="str">
        <x:v>Hotel area</x:v>
      </x:c>
      <x:c r="I53" t="str"/>
      <x:c r="J53" t="str">
        <x:v>Open map before departure</x:v>
      </x:c>
      <x:c r="K53" t="str">
        <x:v>15 min</x:v>
      </x:c>
      <x:c r="L53" t="str">
        <x:v>Carry dietary card</x:v>
      </x:c>
    </x:row>
    <x:row r="54">
      <x:c r="A54" s="382" t="n">
        <x:v>46329</x:v>
      </x:c>
      <x:c r="B54" t="n">
        <x:v>7</x:v>
      </x:c>
      <x:c r="C54" t="str">
        <x:v>Kyoto</x:v>
      </x:c>
      <x:c r="D54" t="str">
        <x:v>09:30</x:v>
      </x:c>
      <x:c r="E54" t="str">
        <x:v>12:00</x:v>
      </x:c>
      <x:c r="F54" t="str">
        <x:v>Morning</x:v>
      </x:c>
      <x:c r="G54" t="str">
        <x:v>Hakone morning / travel</x:v>
      </x:c>
      <x:c r="H54" t="str"/>
      <x:c r="I54" t="str">
        <x:v>Check ticket / opening time</x:v>
      </x:c>
      <x:c r="J54" t="str">
        <x:v>Open map before departure</x:v>
      </x:c>
      <x:c r="K54" t="str">
        <x:v>30 min</x:v>
      </x:c>
      <x:c r="L54" t="str"/>
    </x:row>
    <x:row r="55">
      <x:c r="A55" s="382" t="n">
        <x:v>46329</x:v>
      </x:c>
      <x:c r="B55" t="n">
        <x:v>7</x:v>
      </x:c>
      <x:c r="C55" t="str">
        <x:v>Kyoto</x:v>
      </x:c>
      <x:c r="D55" t="str">
        <x:v>12:00</x:v>
      </x:c>
      <x:c r="E55" t="str">
        <x:v>13:30</x:v>
      </x:c>
      <x:c r="F55" t="str">
        <x:v>Lunch</x:v>
      </x:c>
      <x:c r="G55" t="str">
        <x:v>Food Explorer shortlist near current area</x:v>
      </x:c>
      <x:c r="H55" t="str"/>
      <x:c r="I55" t="str">
        <x:v>Reserve if needed</x:v>
      </x:c>
      <x:c r="J55" t="str">
        <x:v>Open map before departure</x:v>
      </x:c>
      <x:c r="K55" t="str">
        <x:v>30 min</x:v>
      </x:c>
      <x:c r="L55" t="str"/>
    </x:row>
    <x:row r="56">
      <x:c r="A56" s="382" t="n">
        <x:v>46329</x:v>
      </x:c>
      <x:c r="B56" t="n">
        <x:v>7</x:v>
      </x:c>
      <x:c r="C56" t="str">
        <x:v>Kyoto</x:v>
      </x:c>
      <x:c r="D56" t="str">
        <x:v>14:00</x:v>
      </x:c>
      <x:c r="E56" t="str">
        <x:v>17:00</x:v>
      </x:c>
      <x:c r="F56" t="str">
        <x:v>Afternoon</x:v>
      </x:c>
      <x:c r="G56" t="str">
        <x:v>Shinkansen to Kyoto</x:v>
      </x:c>
      <x:c r="H56" t="str"/>
      <x:c r="I56" t="str">
        <x:v>Open route before leaving</x:v>
      </x:c>
      <x:c r="J56" t="str">
        <x:v>Open map before departure</x:v>
      </x:c>
      <x:c r="K56" t="str">
        <x:v>30 min</x:v>
      </x:c>
      <x:c r="L56" t="str"/>
    </x:row>
    <x:row r="57">
      <x:c r="A57" s="382" t="n">
        <x:v>46329</x:v>
      </x:c>
      <x:c r="B57" t="n">
        <x:v>7</x:v>
      </x:c>
      <x:c r="C57" t="str">
        <x:v>Kyoto</x:v>
      </x:c>
      <x:c r="D57" t="str">
        <x:v>18:00</x:v>
      </x:c>
      <x:c r="E57" t="str">
        <x:v>20:00</x:v>
      </x:c>
      <x:c r="F57" t="str">
        <x:v>Dinner</x:v>
      </x:c>
      <x:c r="G57" t="str">
        <x:v>Gion evening walk</x:v>
      </x:c>
      <x:c r="H57" t="str"/>
      <x:c r="I57" t="str">
        <x:v>Reserve if needed</x:v>
      </x:c>
      <x:c r="J57" t="str">
        <x:v>Open map before departure</x:v>
      </x:c>
      <x:c r="K57" t="str">
        <x:v>45 min</x:v>
      </x:c>
      <x:c r="L57" t="str"/>
    </x:row>
    <x:row r="58">
      <x:c r="A58" s="382" t="n">
        <x:v>46329</x:v>
      </x:c>
      <x:c r="B58" t="n">
        <x:v>7</x:v>
      </x:c>
      <x:c r="C58" t="str">
        <x:v>Kyoto</x:v>
      </x:c>
      <x:c r="D58" t="str">
        <x:v>20:30</x:v>
      </x:c>
      <x:c r="E58" t="str">
        <x:v>21:00</x:v>
      </x:c>
      <x:c r="F58" t="str">
        <x:v>Nightly Reset</x:v>
      </x:c>
      <x:c r="G58" t="str">
        <x:v>Review tomorrow, weather, transit and packing</x:v>
      </x:c>
      <x:c r="H58" t="str">
        <x:v>Hotel</x:v>
      </x:c>
      <x:c r="I58" t="str"/>
      <x:c r="J58" t="str">
        <x:v>Open map before departure</x:v>
      </x:c>
      <x:c r="K58" t="str"/>
      <x:c r="L58" t="str">
        <x:v>Charge devices</x:v>
      </x:c>
    </x:row>
    <x:row r="59">
      <x:c r="A59" s="382" t="n">
        <x:v>46330</x:v>
      </x:c>
      <x:c r="B59" t="n">
        <x:v>8</x:v>
      </x:c>
      <x:c r="C59" t="str">
        <x:v>Kyoto</x:v>
      </x:c>
      <x:c r="D59" t="str">
        <x:v>08:00</x:v>
      </x:c>
      <x:c r="E59" t="str">
        <x:v>09:00</x:v>
      </x:c>
      <x:c r="F59" t="str">
        <x:v>Breakfast / Prep</x:v>
      </x:c>
      <x:c r="G59" t="str">
        <x:v>Breakfast near hotel or hotel meal</x:v>
      </x:c>
      <x:c r="H59" t="str">
        <x:v>Hotel area</x:v>
      </x:c>
      <x:c r="I59" t="str"/>
      <x:c r="J59" t="str">
        <x:v>Open map before departure</x:v>
      </x:c>
      <x:c r="K59" t="str">
        <x:v>15 min</x:v>
      </x:c>
      <x:c r="L59" t="str">
        <x:v>Carry dietary card</x:v>
      </x:c>
    </x:row>
    <x:row r="60">
      <x:c r="A60" s="382" t="n">
        <x:v>46330</x:v>
      </x:c>
      <x:c r="B60" t="n">
        <x:v>8</x:v>
      </x:c>
      <x:c r="C60" t="str">
        <x:v>Kyoto</x:v>
      </x:c>
      <x:c r="D60" t="str">
        <x:v>09:30</x:v>
      </x:c>
      <x:c r="E60" t="str">
        <x:v>12:00</x:v>
      </x:c>
      <x:c r="F60" t="str">
        <x:v>Morning</x:v>
      </x:c>
      <x:c r="G60" t="str">
        <x:v>Fushimi Inari early</x:v>
      </x:c>
      <x:c r="H60" t="str"/>
      <x:c r="I60" t="str">
        <x:v>Check ticket / opening time</x:v>
      </x:c>
      <x:c r="J60" t="str">
        <x:v>Open map before departure</x:v>
      </x:c>
      <x:c r="K60" t="str">
        <x:v>30 min</x:v>
      </x:c>
      <x:c r="L60" t="str"/>
    </x:row>
    <x:row r="61">
      <x:c r="A61" s="382" t="n">
        <x:v>46330</x:v>
      </x:c>
      <x:c r="B61" t="n">
        <x:v>8</x:v>
      </x:c>
      <x:c r="C61" t="str">
        <x:v>Kyoto</x:v>
      </x:c>
      <x:c r="D61" t="str">
        <x:v>12:00</x:v>
      </x:c>
      <x:c r="E61" t="str">
        <x:v>13:30</x:v>
      </x:c>
      <x:c r="F61" t="str">
        <x:v>Lunch</x:v>
      </x:c>
      <x:c r="G61" t="str">
        <x:v>Food Explorer shortlist near current area</x:v>
      </x:c>
      <x:c r="H61" t="str"/>
      <x:c r="I61" t="str">
        <x:v>Reserve if needed</x:v>
      </x:c>
      <x:c r="J61" t="str">
        <x:v>Open map before departure</x:v>
      </x:c>
      <x:c r="K61" t="str">
        <x:v>30 min</x:v>
      </x:c>
      <x:c r="L61" t="str"/>
    </x:row>
    <x:row r="62">
      <x:c r="A62" s="382" t="n">
        <x:v>46330</x:v>
      </x:c>
      <x:c r="B62" t="n">
        <x:v>8</x:v>
      </x:c>
      <x:c r="C62" t="str">
        <x:v>Kyoto</x:v>
      </x:c>
      <x:c r="D62" t="str">
        <x:v>14:00</x:v>
      </x:c>
      <x:c r="E62" t="str">
        <x:v>17:00</x:v>
      </x:c>
      <x:c r="F62" t="str">
        <x:v>Afternoon</x:v>
      </x:c>
      <x:c r="G62" t="str">
        <x:v>Nishiki Market</x:v>
      </x:c>
      <x:c r="H62" t="str"/>
      <x:c r="I62" t="str">
        <x:v>Open route before leaving</x:v>
      </x:c>
      <x:c r="J62" t="str">
        <x:v>Open map before departure</x:v>
      </x:c>
      <x:c r="K62" t="str">
        <x:v>30 min</x:v>
      </x:c>
      <x:c r="L62" t="str"/>
    </x:row>
    <x:row r="63">
      <x:c r="A63" s="382" t="n">
        <x:v>46330</x:v>
      </x:c>
      <x:c r="B63" t="n">
        <x:v>8</x:v>
      </x:c>
      <x:c r="C63" t="str">
        <x:v>Kyoto</x:v>
      </x:c>
      <x:c r="D63" t="str">
        <x:v>18:00</x:v>
      </x:c>
      <x:c r="E63" t="str">
        <x:v>20:00</x:v>
      </x:c>
      <x:c r="F63" t="str">
        <x:v>Dinner</x:v>
      </x:c>
      <x:c r="G63" t="str">
        <x:v>Pontocho / Kamo River</x:v>
      </x:c>
      <x:c r="H63" t="str"/>
      <x:c r="I63" t="str">
        <x:v>Reserve if needed</x:v>
      </x:c>
      <x:c r="J63" t="str">
        <x:v>Open map before departure</x:v>
      </x:c>
      <x:c r="K63" t="str">
        <x:v>45 min</x:v>
      </x:c>
      <x:c r="L63" t="str"/>
    </x:row>
    <x:row r="64">
      <x:c r="A64" s="382" t="n">
        <x:v>46330</x:v>
      </x:c>
      <x:c r="B64" t="n">
        <x:v>8</x:v>
      </x:c>
      <x:c r="C64" t="str">
        <x:v>Kyoto</x:v>
      </x:c>
      <x:c r="D64" t="str">
        <x:v>20:30</x:v>
      </x:c>
      <x:c r="E64" t="str">
        <x:v>21:00</x:v>
      </x:c>
      <x:c r="F64" t="str">
        <x:v>Nightly Reset</x:v>
      </x:c>
      <x:c r="G64" t="str">
        <x:v>Review tomorrow, weather, transit and packing</x:v>
      </x:c>
      <x:c r="H64" t="str">
        <x:v>Hotel</x:v>
      </x:c>
      <x:c r="I64" t="str"/>
      <x:c r="J64" t="str">
        <x:v>Open map before departure</x:v>
      </x:c>
      <x:c r="K64" t="str"/>
      <x:c r="L64" t="str">
        <x:v>Charge devices</x:v>
      </x:c>
    </x:row>
    <x:row r="65">
      <x:c r="A65" s="382" t="n">
        <x:v>46331</x:v>
      </x:c>
      <x:c r="B65" t="n">
        <x:v>9</x:v>
      </x:c>
      <x:c r="C65" t="str">
        <x:v>Kyoto</x:v>
      </x:c>
      <x:c r="D65" t="str">
        <x:v>08:00</x:v>
      </x:c>
      <x:c r="E65" t="str">
        <x:v>09:00</x:v>
      </x:c>
      <x:c r="F65" t="str">
        <x:v>Breakfast / Prep</x:v>
      </x:c>
      <x:c r="G65" t="str">
        <x:v>Breakfast near hotel or hotel meal</x:v>
      </x:c>
      <x:c r="H65" t="str">
        <x:v>Hotel area</x:v>
      </x:c>
      <x:c r="I65" t="str"/>
      <x:c r="J65" t="str">
        <x:v>Open map before departure</x:v>
      </x:c>
      <x:c r="K65" t="str">
        <x:v>15 min</x:v>
      </x:c>
      <x:c r="L65" t="str">
        <x:v>Carry dietary card</x:v>
      </x:c>
    </x:row>
    <x:row r="66">
      <x:c r="A66" s="382" t="n">
        <x:v>46331</x:v>
      </x:c>
      <x:c r="B66" t="n">
        <x:v>9</x:v>
      </x:c>
      <x:c r="C66" t="str">
        <x:v>Kyoto</x:v>
      </x:c>
      <x:c r="D66" t="str">
        <x:v>09:30</x:v>
      </x:c>
      <x:c r="E66" t="str">
        <x:v>12:00</x:v>
      </x:c>
      <x:c r="F66" t="str">
        <x:v>Morning</x:v>
      </x:c>
      <x:c r="G66" t="str">
        <x:v>Arashiyama early</x:v>
      </x:c>
      <x:c r="H66" t="str"/>
      <x:c r="I66" t="str">
        <x:v>Check ticket / opening time</x:v>
      </x:c>
      <x:c r="J66" t="str">
        <x:v>Open map before departure</x:v>
      </x:c>
      <x:c r="K66" t="str">
        <x:v>30 min</x:v>
      </x:c>
      <x:c r="L66" t="str"/>
    </x:row>
    <x:row r="67">
      <x:c r="A67" s="382" t="n">
        <x:v>46331</x:v>
      </x:c>
      <x:c r="B67" t="n">
        <x:v>9</x:v>
      </x:c>
      <x:c r="C67" t="str">
        <x:v>Kyoto</x:v>
      </x:c>
      <x:c r="D67" t="str">
        <x:v>12:00</x:v>
      </x:c>
      <x:c r="E67" t="str">
        <x:v>13:30</x:v>
      </x:c>
      <x:c r="F67" t="str">
        <x:v>Lunch</x:v>
      </x:c>
      <x:c r="G67" t="str">
        <x:v>Food Explorer shortlist near current area</x:v>
      </x:c>
      <x:c r="H67" t="str"/>
      <x:c r="I67" t="str">
        <x:v>Reserve if needed</x:v>
      </x:c>
      <x:c r="J67" t="str">
        <x:v>Open map before departure</x:v>
      </x:c>
      <x:c r="K67" t="str">
        <x:v>30 min</x:v>
      </x:c>
      <x:c r="L67" t="str"/>
    </x:row>
    <x:row r="68">
      <x:c r="A68" s="382" t="n">
        <x:v>46331</x:v>
      </x:c>
      <x:c r="B68" t="n">
        <x:v>9</x:v>
      </x:c>
      <x:c r="C68" t="str">
        <x:v>Kyoto</x:v>
      </x:c>
      <x:c r="D68" t="str">
        <x:v>14:00</x:v>
      </x:c>
      <x:c r="E68" t="str">
        <x:v>17:00</x:v>
      </x:c>
      <x:c r="F68" t="str">
        <x:v>Afternoon</x:v>
      </x:c>
      <x:c r="G68" t="str">
        <x:v>Bamboo Grove / gardens</x:v>
      </x:c>
      <x:c r="H68" t="str"/>
      <x:c r="I68" t="str">
        <x:v>Open route before leaving</x:v>
      </x:c>
      <x:c r="J68" t="str">
        <x:v>Open map before departure</x:v>
      </x:c>
      <x:c r="K68" t="str">
        <x:v>30 min</x:v>
      </x:c>
      <x:c r="L68" t="str"/>
    </x:row>
    <x:row r="69">
      <x:c r="A69" s="382" t="n">
        <x:v>46331</x:v>
      </x:c>
      <x:c r="B69" t="n">
        <x:v>9</x:v>
      </x:c>
      <x:c r="C69" t="str">
        <x:v>Kyoto</x:v>
      </x:c>
      <x:c r="D69" t="str">
        <x:v>18:00</x:v>
      </x:c>
      <x:c r="E69" t="str">
        <x:v>20:00</x:v>
      </x:c>
      <x:c r="F69" t="str">
        <x:v>Dinner</x:v>
      </x:c>
      <x:c r="G69" t="str">
        <x:v>Kaiseki or relaxed dinner</x:v>
      </x:c>
      <x:c r="H69" t="str"/>
      <x:c r="I69" t="str">
        <x:v>Reserve if needed</x:v>
      </x:c>
      <x:c r="J69" t="str">
        <x:v>Open map before departure</x:v>
      </x:c>
      <x:c r="K69" t="str">
        <x:v>45 min</x:v>
      </x:c>
      <x:c r="L69" t="str"/>
    </x:row>
    <x:row r="70">
      <x:c r="A70" s="382" t="n">
        <x:v>46331</x:v>
      </x:c>
      <x:c r="B70" t="n">
        <x:v>9</x:v>
      </x:c>
      <x:c r="C70" t="str">
        <x:v>Kyoto</x:v>
      </x:c>
      <x:c r="D70" t="str">
        <x:v>20:30</x:v>
      </x:c>
      <x:c r="E70" t="str">
        <x:v>21:00</x:v>
      </x:c>
      <x:c r="F70" t="str">
        <x:v>Nightly Reset</x:v>
      </x:c>
      <x:c r="G70" t="str">
        <x:v>Review tomorrow, weather, transit and packing</x:v>
      </x:c>
      <x:c r="H70" t="str">
        <x:v>Hotel</x:v>
      </x:c>
      <x:c r="I70" t="str"/>
      <x:c r="J70" t="str">
        <x:v>Open map before departure</x:v>
      </x:c>
      <x:c r="K70" t="str"/>
      <x:c r="L70" t="str">
        <x:v>Charge devices</x:v>
      </x:c>
    </x:row>
    <x:row r="71">
      <x:c r="A71" s="382" t="n">
        <x:v>46332</x:v>
      </x:c>
      <x:c r="B71" t="n">
        <x:v>10</x:v>
      </x:c>
      <x:c r="C71" t="str">
        <x:v>Osaka</x:v>
      </x:c>
      <x:c r="D71" t="str">
        <x:v>08:00</x:v>
      </x:c>
      <x:c r="E71" t="str">
        <x:v>09:00</x:v>
      </x:c>
      <x:c r="F71" t="str">
        <x:v>Breakfast / Prep</x:v>
      </x:c>
      <x:c r="G71" t="str">
        <x:v>Breakfast near hotel or hotel meal</x:v>
      </x:c>
      <x:c r="H71" t="str">
        <x:v>Hotel area</x:v>
      </x:c>
      <x:c r="I71" t="str"/>
      <x:c r="J71" t="str">
        <x:v>Open map before departure</x:v>
      </x:c>
      <x:c r="K71" t="str">
        <x:v>15 min</x:v>
      </x:c>
      <x:c r="L71" t="str">
        <x:v>Carry dietary card</x:v>
      </x:c>
    </x:row>
    <x:row r="72">
      <x:c r="A72" s="382" t="n">
        <x:v>46332</x:v>
      </x:c>
      <x:c r="B72" t="n">
        <x:v>10</x:v>
      </x:c>
      <x:c r="C72" t="str">
        <x:v>Osaka</x:v>
      </x:c>
      <x:c r="D72" t="str">
        <x:v>09:30</x:v>
      </x:c>
      <x:c r="E72" t="str">
        <x:v>12:00</x:v>
      </x:c>
      <x:c r="F72" t="str">
        <x:v>Morning</x:v>
      </x:c>
      <x:c r="G72" t="str">
        <x:v>Kiyomizu-dera early</x:v>
      </x:c>
      <x:c r="H72" t="str"/>
      <x:c r="I72" t="str">
        <x:v>Check ticket / opening time</x:v>
      </x:c>
      <x:c r="J72" t="str">
        <x:v>Open map before departure</x:v>
      </x:c>
      <x:c r="K72" t="str">
        <x:v>30 min</x:v>
      </x:c>
      <x:c r="L72" t="str"/>
    </x:row>
    <x:row r="73">
      <x:c r="A73" s="382" t="n">
        <x:v>46332</x:v>
      </x:c>
      <x:c r="B73" t="n">
        <x:v>10</x:v>
      </x:c>
      <x:c r="C73" t="str">
        <x:v>Osaka</x:v>
      </x:c>
      <x:c r="D73" t="str">
        <x:v>12:00</x:v>
      </x:c>
      <x:c r="E73" t="str">
        <x:v>13:30</x:v>
      </x:c>
      <x:c r="F73" t="str">
        <x:v>Lunch</x:v>
      </x:c>
      <x:c r="G73" t="str">
        <x:v>Food Explorer shortlist near current area</x:v>
      </x:c>
      <x:c r="H73" t="str"/>
      <x:c r="I73" t="str">
        <x:v>Reserve if needed</x:v>
      </x:c>
      <x:c r="J73" t="str">
        <x:v>Open map before departure</x:v>
      </x:c>
      <x:c r="K73" t="str">
        <x:v>30 min</x:v>
      </x:c>
      <x:c r="L73" t="str"/>
    </x:row>
    <x:row r="74">
      <x:c r="A74" s="382" t="n">
        <x:v>46332</x:v>
      </x:c>
      <x:c r="B74" t="n">
        <x:v>10</x:v>
      </x:c>
      <x:c r="C74" t="str">
        <x:v>Osaka</x:v>
      </x:c>
      <x:c r="D74" t="str">
        <x:v>14:00</x:v>
      </x:c>
      <x:c r="E74" t="str">
        <x:v>17:00</x:v>
      </x:c>
      <x:c r="F74" t="str">
        <x:v>Afternoon</x:v>
      </x:c>
      <x:c r="G74" t="str">
        <x:v>Travel to Osaka + check-in</x:v>
      </x:c>
      <x:c r="H74" t="str"/>
      <x:c r="I74" t="str">
        <x:v>Open route before leaving</x:v>
      </x:c>
      <x:c r="J74" t="str">
        <x:v>Open map before departure</x:v>
      </x:c>
      <x:c r="K74" t="str">
        <x:v>30 min</x:v>
      </x:c>
      <x:c r="L74" t="str"/>
    </x:row>
    <x:row r="75">
      <x:c r="A75" s="382" t="n">
        <x:v>46332</x:v>
      </x:c>
      <x:c r="B75" t="n">
        <x:v>10</x:v>
      </x:c>
      <x:c r="C75" t="str">
        <x:v>Osaka</x:v>
      </x:c>
      <x:c r="D75" t="str">
        <x:v>18:00</x:v>
      </x:c>
      <x:c r="E75" t="str">
        <x:v>20:00</x:v>
      </x:c>
      <x:c r="F75" t="str">
        <x:v>Dinner</x:v>
      </x:c>
      <x:c r="G75" t="str">
        <x:v>Dotonbori / Hozenji Yokocho</x:v>
      </x:c>
      <x:c r="H75" t="str"/>
      <x:c r="I75" t="str">
        <x:v>Reserve if needed</x:v>
      </x:c>
      <x:c r="J75" t="str">
        <x:v>Open map before departure</x:v>
      </x:c>
      <x:c r="K75" t="str">
        <x:v>45 min</x:v>
      </x:c>
      <x:c r="L75" t="str"/>
    </x:row>
    <x:row r="76">
      <x:c r="A76" s="382" t="n">
        <x:v>46332</x:v>
      </x:c>
      <x:c r="B76" t="n">
        <x:v>10</x:v>
      </x:c>
      <x:c r="C76" t="str">
        <x:v>Osaka</x:v>
      </x:c>
      <x:c r="D76" t="str">
        <x:v>20:30</x:v>
      </x:c>
      <x:c r="E76" t="str">
        <x:v>21:00</x:v>
      </x:c>
      <x:c r="F76" t="str">
        <x:v>Nightly Reset</x:v>
      </x:c>
      <x:c r="G76" t="str">
        <x:v>Review tomorrow, weather, transit and packing</x:v>
      </x:c>
      <x:c r="H76" t="str">
        <x:v>Hotel</x:v>
      </x:c>
      <x:c r="I76" t="str"/>
      <x:c r="J76" t="str">
        <x:v>Open map before departure</x:v>
      </x:c>
      <x:c r="K76" t="str"/>
      <x:c r="L76" t="str">
        <x:v>Charge devices</x:v>
      </x:c>
    </x:row>
    <x:row r="77">
      <x:c r="A77" s="382" t="n">
        <x:v>46333</x:v>
      </x:c>
      <x:c r="B77" t="n">
        <x:v>11</x:v>
      </x:c>
      <x:c r="C77" t="str">
        <x:v>Osaka</x:v>
      </x:c>
      <x:c r="D77" t="str">
        <x:v>08:00</x:v>
      </x:c>
      <x:c r="E77" t="str">
        <x:v>09:00</x:v>
      </x:c>
      <x:c r="F77" t="str">
        <x:v>Breakfast / Prep</x:v>
      </x:c>
      <x:c r="G77" t="str">
        <x:v>Breakfast near hotel or hotel meal</x:v>
      </x:c>
      <x:c r="H77" t="str">
        <x:v>Hotel area</x:v>
      </x:c>
      <x:c r="I77" t="str"/>
      <x:c r="J77" t="str">
        <x:v>Open map before departure</x:v>
      </x:c>
      <x:c r="K77" t="str">
        <x:v>15 min</x:v>
      </x:c>
      <x:c r="L77" t="str">
        <x:v>Carry dietary card</x:v>
      </x:c>
    </x:row>
    <x:row r="78">
      <x:c r="A78" s="382" t="n">
        <x:v>46333</x:v>
      </x:c>
      <x:c r="B78" t="n">
        <x:v>11</x:v>
      </x:c>
      <x:c r="C78" t="str">
        <x:v>Osaka</x:v>
      </x:c>
      <x:c r="D78" t="str">
        <x:v>09:30</x:v>
      </x:c>
      <x:c r="E78" t="str">
        <x:v>12:00</x:v>
      </x:c>
      <x:c r="F78" t="str">
        <x:v>Morning</x:v>
      </x:c>
      <x:c r="G78" t="str">
        <x:v>Kuromon Market / Osaka Castle</x:v>
      </x:c>
      <x:c r="H78" t="str"/>
      <x:c r="I78" t="str">
        <x:v>Check ticket / opening time</x:v>
      </x:c>
      <x:c r="J78" t="str">
        <x:v>Open map before departure</x:v>
      </x:c>
      <x:c r="K78" t="str">
        <x:v>30 min</x:v>
      </x:c>
      <x:c r="L78" t="str"/>
    </x:row>
    <x:row r="79">
      <x:c r="A79" s="382" t="n">
        <x:v>46333</x:v>
      </x:c>
      <x:c r="B79" t="n">
        <x:v>11</x:v>
      </x:c>
      <x:c r="C79" t="str">
        <x:v>Osaka</x:v>
      </x:c>
      <x:c r="D79" t="str">
        <x:v>12:00</x:v>
      </x:c>
      <x:c r="E79" t="str">
        <x:v>13:30</x:v>
      </x:c>
      <x:c r="F79" t="str">
        <x:v>Lunch</x:v>
      </x:c>
      <x:c r="G79" t="str">
        <x:v>Food Explorer shortlist near current area</x:v>
      </x:c>
      <x:c r="H79" t="str"/>
      <x:c r="I79" t="str">
        <x:v>Reserve if needed</x:v>
      </x:c>
      <x:c r="J79" t="str">
        <x:v>Open map before departure</x:v>
      </x:c>
      <x:c r="K79" t="str">
        <x:v>30 min</x:v>
      </x:c>
      <x:c r="L79" t="str"/>
    </x:row>
    <x:row r="80">
      <x:c r="A80" s="382" t="n">
        <x:v>46333</x:v>
      </x:c>
      <x:c r="B80" t="n">
        <x:v>11</x:v>
      </x:c>
      <x:c r="C80" t="str">
        <x:v>Osaka</x:v>
      </x:c>
      <x:c r="D80" t="str">
        <x:v>14:00</x:v>
      </x:c>
      <x:c r="E80" t="str">
        <x:v>17:00</x:v>
      </x:c>
      <x:c r="F80" t="str">
        <x:v>Afternoon</x:v>
      </x:c>
      <x:c r="G80" t="str">
        <x:v>Umeda or Shinsaibashi</x:v>
      </x:c>
      <x:c r="H80" t="str"/>
      <x:c r="I80" t="str">
        <x:v>Open route before leaving</x:v>
      </x:c>
      <x:c r="J80" t="str">
        <x:v>Open map before departure</x:v>
      </x:c>
      <x:c r="K80" t="str">
        <x:v>30 min</x:v>
      </x:c>
      <x:c r="L80" t="str"/>
    </x:row>
    <x:row r="81">
      <x:c r="A81" s="382" t="n">
        <x:v>46333</x:v>
      </x:c>
      <x:c r="B81" t="n">
        <x:v>11</x:v>
      </x:c>
      <x:c r="C81" t="str">
        <x:v>Osaka</x:v>
      </x:c>
      <x:c r="D81" t="str">
        <x:v>18:00</x:v>
      </x:c>
      <x:c r="E81" t="str">
        <x:v>20:00</x:v>
      </x:c>
      <x:c r="F81" t="str">
        <x:v>Dinner</x:v>
      </x:c>
      <x:c r="G81" t="str">
        <x:v>Osaka food crawl</x:v>
      </x:c>
      <x:c r="H81" t="str"/>
      <x:c r="I81" t="str">
        <x:v>Reserve if needed</x:v>
      </x:c>
      <x:c r="J81" t="str">
        <x:v>Open map before departure</x:v>
      </x:c>
      <x:c r="K81" t="str">
        <x:v>45 min</x:v>
      </x:c>
      <x:c r="L81" t="str"/>
    </x:row>
    <x:row r="82">
      <x:c r="A82" s="382" t="n">
        <x:v>46333</x:v>
      </x:c>
      <x:c r="B82" t="n">
        <x:v>11</x:v>
      </x:c>
      <x:c r="C82" t="str">
        <x:v>Osaka</x:v>
      </x:c>
      <x:c r="D82" t="str">
        <x:v>20:30</x:v>
      </x:c>
      <x:c r="E82" t="str">
        <x:v>21:00</x:v>
      </x:c>
      <x:c r="F82" t="str">
        <x:v>Nightly Reset</x:v>
      </x:c>
      <x:c r="G82" t="str">
        <x:v>Review tomorrow, weather, transit and packing</x:v>
      </x:c>
      <x:c r="H82" t="str">
        <x:v>Hotel</x:v>
      </x:c>
      <x:c r="I82" t="str"/>
      <x:c r="J82" t="str">
        <x:v>Open map before departure</x:v>
      </x:c>
      <x:c r="K82" t="str"/>
      <x:c r="L82" t="str">
        <x:v>Charge devices</x:v>
      </x:c>
    </x:row>
    <x:row r="83">
      <x:c r="A83" s="382" t="n">
        <x:v>46334</x:v>
      </x:c>
      <x:c r="B83" t="n">
        <x:v>12</x:v>
      </x:c>
      <x:c r="C83" t="str">
        <x:v>Tokyo</x:v>
      </x:c>
      <x:c r="D83" t="str">
        <x:v>08:00</x:v>
      </x:c>
      <x:c r="E83" t="str">
        <x:v>09:00</x:v>
      </x:c>
      <x:c r="F83" t="str">
        <x:v>Breakfast / Prep</x:v>
      </x:c>
      <x:c r="G83" t="str">
        <x:v>Breakfast near hotel or hotel meal</x:v>
      </x:c>
      <x:c r="H83" t="str">
        <x:v>Hotel area</x:v>
      </x:c>
      <x:c r="I83" t="str"/>
      <x:c r="J83" t="str">
        <x:v>Open map before departure</x:v>
      </x:c>
      <x:c r="K83" t="str">
        <x:v>15 min</x:v>
      </x:c>
      <x:c r="L83" t="str">
        <x:v>Carry dietary card</x:v>
      </x:c>
    </x:row>
    <x:row r="84">
      <x:c r="A84" s="382" t="n">
        <x:v>46334</x:v>
      </x:c>
      <x:c r="B84" t="n">
        <x:v>12</x:v>
      </x:c>
      <x:c r="C84" t="str">
        <x:v>Tokyo</x:v>
      </x:c>
      <x:c r="D84" t="str">
        <x:v>09:30</x:v>
      </x:c>
      <x:c r="E84" t="str">
        <x:v>12:00</x:v>
      </x:c>
      <x:c r="F84" t="str">
        <x:v>Morning</x:v>
      </x:c>
      <x:c r="G84" t="str">
        <x:v>Shinkansen to Tokyo</x:v>
      </x:c>
      <x:c r="H84" t="str"/>
      <x:c r="I84" t="str">
        <x:v>Check ticket / opening time</x:v>
      </x:c>
      <x:c r="J84" t="str">
        <x:v>Open map before departure</x:v>
      </x:c>
      <x:c r="K84" t="str">
        <x:v>30 min</x:v>
      </x:c>
      <x:c r="L84" t="str"/>
    </x:row>
    <x:row r="85">
      <x:c r="A85" s="382" t="n">
        <x:v>46334</x:v>
      </x:c>
      <x:c r="B85" t="n">
        <x:v>12</x:v>
      </x:c>
      <x:c r="C85" t="str">
        <x:v>Tokyo</x:v>
      </x:c>
      <x:c r="D85" t="str">
        <x:v>12:00</x:v>
      </x:c>
      <x:c r="E85" t="str">
        <x:v>13:30</x:v>
      </x:c>
      <x:c r="F85" t="str">
        <x:v>Lunch</x:v>
      </x:c>
      <x:c r="G85" t="str">
        <x:v>Food Explorer shortlist near current area</x:v>
      </x:c>
      <x:c r="H85" t="str"/>
      <x:c r="I85" t="str">
        <x:v>Reserve if needed</x:v>
      </x:c>
      <x:c r="J85" t="str">
        <x:v>Open map before departure</x:v>
      </x:c>
      <x:c r="K85" t="str">
        <x:v>30 min</x:v>
      </x:c>
      <x:c r="L85" t="str"/>
    </x:row>
    <x:row r="86">
      <x:c r="A86" s="382" t="n">
        <x:v>46334</x:v>
      </x:c>
      <x:c r="B86" t="n">
        <x:v>12</x:v>
      </x:c>
      <x:c r="C86" t="str">
        <x:v>Tokyo</x:v>
      </x:c>
      <x:c r="D86" t="str">
        <x:v>14:00</x:v>
      </x:c>
      <x:c r="E86" t="str">
        <x:v>17:00</x:v>
      </x:c>
      <x:c r="F86" t="str">
        <x:v>Afternoon</x:v>
      </x:c>
      <x:c r="G86" t="str">
        <x:v>Check in Akasaka + laundry</x:v>
      </x:c>
      <x:c r="H86" t="str"/>
      <x:c r="I86" t="str">
        <x:v>Open route before leaving</x:v>
      </x:c>
      <x:c r="J86" t="str">
        <x:v>Open map before departure</x:v>
      </x:c>
      <x:c r="K86" t="str">
        <x:v>30 min</x:v>
      </x:c>
      <x:c r="L86" t="str"/>
    </x:row>
    <x:row r="87">
      <x:c r="A87" s="382" t="n">
        <x:v>46334</x:v>
      </x:c>
      <x:c r="B87" t="n">
        <x:v>12</x:v>
      </x:c>
      <x:c r="C87" t="str">
        <x:v>Tokyo</x:v>
      </x:c>
      <x:c r="D87" t="str">
        <x:v>18:00</x:v>
      </x:c>
      <x:c r="E87" t="str">
        <x:v>20:00</x:v>
      </x:c>
      <x:c r="F87" t="str">
        <x:v>Dinner</x:v>
      </x:c>
      <x:c r="G87" t="str">
        <x:v>Free evening</x:v>
      </x:c>
      <x:c r="H87" t="str"/>
      <x:c r="I87" t="str">
        <x:v>Reserve if needed</x:v>
      </x:c>
      <x:c r="J87" t="str">
        <x:v>Open map before departure</x:v>
      </x:c>
      <x:c r="K87" t="str">
        <x:v>45 min</x:v>
      </x:c>
      <x:c r="L87" t="str"/>
    </x:row>
    <x:row r="88">
      <x:c r="A88" s="382" t="n">
        <x:v>46334</x:v>
      </x:c>
      <x:c r="B88" t="n">
        <x:v>12</x:v>
      </x:c>
      <x:c r="C88" t="str">
        <x:v>Tokyo</x:v>
      </x:c>
      <x:c r="D88" t="str">
        <x:v>20:30</x:v>
      </x:c>
      <x:c r="E88" t="str">
        <x:v>21:00</x:v>
      </x:c>
      <x:c r="F88" t="str">
        <x:v>Nightly Reset</x:v>
      </x:c>
      <x:c r="G88" t="str">
        <x:v>Review tomorrow, weather, transit and packing</x:v>
      </x:c>
      <x:c r="H88" t="str">
        <x:v>Hotel</x:v>
      </x:c>
      <x:c r="I88" t="str"/>
      <x:c r="J88" t="str">
        <x:v>Open map before departure</x:v>
      </x:c>
      <x:c r="K88" t="str"/>
      <x:c r="L88" t="str">
        <x:v>Charge devices</x:v>
      </x:c>
    </x:row>
    <x:row r="89">
      <x:c r="A89" s="382" t="n">
        <x:v>46335</x:v>
      </x:c>
      <x:c r="B89" t="n">
        <x:v>13</x:v>
      </x:c>
      <x:c r="C89" t="str">
        <x:v>Tokyo</x:v>
      </x:c>
      <x:c r="D89" t="str">
        <x:v>08:00</x:v>
      </x:c>
      <x:c r="E89" t="str">
        <x:v>09:00</x:v>
      </x:c>
      <x:c r="F89" t="str">
        <x:v>Breakfast / Prep</x:v>
      </x:c>
      <x:c r="G89" t="str">
        <x:v>Breakfast near hotel or hotel meal</x:v>
      </x:c>
      <x:c r="H89" t="str">
        <x:v>Hotel area</x:v>
      </x:c>
      <x:c r="I89" t="str"/>
      <x:c r="J89" t="str">
        <x:v>Open map before departure</x:v>
      </x:c>
      <x:c r="K89" t="str">
        <x:v>15 min</x:v>
      </x:c>
      <x:c r="L89" t="str">
        <x:v>Carry dietary card</x:v>
      </x:c>
    </x:row>
    <x:row r="90">
      <x:c r="A90" s="382" t="n">
        <x:v>46335</x:v>
      </x:c>
      <x:c r="B90" t="n">
        <x:v>13</x:v>
      </x:c>
      <x:c r="C90" t="str">
        <x:v>Tokyo</x:v>
      </x:c>
      <x:c r="D90" t="str">
        <x:v>09:30</x:v>
      </x:c>
      <x:c r="E90" t="str">
        <x:v>12:00</x:v>
      </x:c>
      <x:c r="F90" t="str">
        <x:v>Morning</x:v>
      </x:c>
      <x:c r="G90" t="str">
        <x:v>Free-choice neighborhood</x:v>
      </x:c>
      <x:c r="H90" t="str"/>
      <x:c r="I90" t="str">
        <x:v>Check ticket / opening time</x:v>
      </x:c>
      <x:c r="J90" t="str">
        <x:v>Open map before departure</x:v>
      </x:c>
      <x:c r="K90" t="str">
        <x:v>30 min</x:v>
      </x:c>
      <x:c r="L90" t="str"/>
    </x:row>
    <x:row r="91">
      <x:c r="A91" s="382" t="n">
        <x:v>46335</x:v>
      </x:c>
      <x:c r="B91" t="n">
        <x:v>13</x:v>
      </x:c>
      <x:c r="C91" t="str">
        <x:v>Tokyo</x:v>
      </x:c>
      <x:c r="D91" t="str">
        <x:v>12:00</x:v>
      </x:c>
      <x:c r="E91" t="str">
        <x:v>13:30</x:v>
      </x:c>
      <x:c r="F91" t="str">
        <x:v>Lunch</x:v>
      </x:c>
      <x:c r="G91" t="str">
        <x:v>Food Explorer shortlist near current area</x:v>
      </x:c>
      <x:c r="H91" t="str"/>
      <x:c r="I91" t="str">
        <x:v>Reserve if needed</x:v>
      </x:c>
      <x:c r="J91" t="str">
        <x:v>Open map before departure</x:v>
      </x:c>
      <x:c r="K91" t="str">
        <x:v>30 min</x:v>
      </x:c>
      <x:c r="L91" t="str"/>
    </x:row>
    <x:row r="92">
      <x:c r="A92" s="382" t="n">
        <x:v>46335</x:v>
      </x:c>
      <x:c r="B92" t="n">
        <x:v>13</x:v>
      </x:c>
      <x:c r="C92" t="str">
        <x:v>Tokyo</x:v>
      </x:c>
      <x:c r="D92" t="str">
        <x:v>14:00</x:v>
      </x:c>
      <x:c r="E92" t="str">
        <x:v>17:00</x:v>
      </x:c>
      <x:c r="F92" t="str">
        <x:v>Afternoon</x:v>
      </x:c>
      <x:c r="G92" t="str">
        <x:v>Shopping / museums</x:v>
      </x:c>
      <x:c r="H92" t="str"/>
      <x:c r="I92" t="str">
        <x:v>Open route before leaving</x:v>
      </x:c>
      <x:c r="J92" t="str">
        <x:v>Open map before departure</x:v>
      </x:c>
      <x:c r="K92" t="str">
        <x:v>30 min</x:v>
      </x:c>
      <x:c r="L92" t="str"/>
    </x:row>
    <x:row r="93">
      <x:c r="A93" s="382" t="n">
        <x:v>46335</x:v>
      </x:c>
      <x:c r="B93" t="n">
        <x:v>13</x:v>
      </x:c>
      <x:c r="C93" t="str">
        <x:v>Tokyo</x:v>
      </x:c>
      <x:c r="D93" t="str">
        <x:v>18:00</x:v>
      </x:c>
      <x:c r="E93" t="str">
        <x:v>20:00</x:v>
      </x:c>
      <x:c r="F93" t="str">
        <x:v>Dinner</x:v>
      </x:c>
      <x:c r="G93" t="str">
        <x:v>Michelin dinner candidate</x:v>
      </x:c>
      <x:c r="H93" t="str"/>
      <x:c r="I93" t="str">
        <x:v>Reserve if needed</x:v>
      </x:c>
      <x:c r="J93" t="str">
        <x:v>Open map before departure</x:v>
      </x:c>
      <x:c r="K93" t="str">
        <x:v>45 min</x:v>
      </x:c>
      <x:c r="L93" t="str"/>
    </x:row>
    <x:row r="94">
      <x:c r="A94" s="382" t="n">
        <x:v>46335</x:v>
      </x:c>
      <x:c r="B94" t="n">
        <x:v>13</x:v>
      </x:c>
      <x:c r="C94" t="str">
        <x:v>Tokyo</x:v>
      </x:c>
      <x:c r="D94" t="str">
        <x:v>20:30</x:v>
      </x:c>
      <x:c r="E94" t="str">
        <x:v>21:00</x:v>
      </x:c>
      <x:c r="F94" t="str">
        <x:v>Nightly Reset</x:v>
      </x:c>
      <x:c r="G94" t="str">
        <x:v>Review tomorrow, weather, transit and packing</x:v>
      </x:c>
      <x:c r="H94" t="str">
        <x:v>Hotel</x:v>
      </x:c>
      <x:c r="I94" t="str"/>
      <x:c r="J94" t="str">
        <x:v>Open map before departure</x:v>
      </x:c>
      <x:c r="K94" t="str"/>
      <x:c r="L94" t="str">
        <x:v>Charge devices</x:v>
      </x:c>
    </x:row>
    <x:row r="95">
      <x:c r="A95" s="382" t="n">
        <x:v>46336</x:v>
      </x:c>
      <x:c r="B95" t="n">
        <x:v>14</x:v>
      </x:c>
      <x:c r="C95" t="str">
        <x:v>Tokyo</x:v>
      </x:c>
      <x:c r="D95" t="str">
        <x:v>08:00</x:v>
      </x:c>
      <x:c r="E95" t="str">
        <x:v>09:00</x:v>
      </x:c>
      <x:c r="F95" t="str">
        <x:v>Breakfast / Prep</x:v>
      </x:c>
      <x:c r="G95" t="str">
        <x:v>Breakfast near hotel or hotel meal</x:v>
      </x:c>
      <x:c r="H95" t="str">
        <x:v>Hotel area</x:v>
      </x:c>
      <x:c r="I95" t="str"/>
      <x:c r="J95" t="str">
        <x:v>Open map before departure</x:v>
      </x:c>
      <x:c r="K95" t="str">
        <x:v>15 min</x:v>
      </x:c>
      <x:c r="L95" t="str">
        <x:v>Carry dietary card</x:v>
      </x:c>
    </x:row>
    <x:row r="96">
      <x:c r="A96" s="382" t="n">
        <x:v>46336</x:v>
      </x:c>
      <x:c r="B96" t="n">
        <x:v>14</x:v>
      </x:c>
      <x:c r="C96" t="str">
        <x:v>Tokyo</x:v>
      </x:c>
      <x:c r="D96" t="str">
        <x:v>09:30</x:v>
      </x:c>
      <x:c r="E96" t="str">
        <x:v>12:00</x:v>
      </x:c>
      <x:c r="F96" t="str">
        <x:v>Morning</x:v>
      </x:c>
      <x:c r="G96" t="str">
        <x:v>Slow final morning</x:v>
      </x:c>
      <x:c r="H96" t="str"/>
      <x:c r="I96" t="str">
        <x:v>Check ticket / opening time</x:v>
      </x:c>
      <x:c r="J96" t="str">
        <x:v>Open map before departure</x:v>
      </x:c>
      <x:c r="K96" t="str">
        <x:v>30 min</x:v>
      </x:c>
      <x:c r="L96" t="str"/>
    </x:row>
    <x:row r="97">
      <x:c r="A97" s="382" t="n">
        <x:v>46336</x:v>
      </x:c>
      <x:c r="B97" t="n">
        <x:v>14</x:v>
      </x:c>
      <x:c r="C97" t="str">
        <x:v>Tokyo</x:v>
      </x:c>
      <x:c r="D97" t="str">
        <x:v>12:00</x:v>
      </x:c>
      <x:c r="E97" t="str">
        <x:v>13:30</x:v>
      </x:c>
      <x:c r="F97" t="str">
        <x:v>Lunch</x:v>
      </x:c>
      <x:c r="G97" t="str">
        <x:v>Food Explorer shortlist near current area</x:v>
      </x:c>
      <x:c r="H97" t="str"/>
      <x:c r="I97" t="str">
        <x:v>Reserve if needed</x:v>
      </x:c>
      <x:c r="J97" t="str">
        <x:v>Open map before departure</x:v>
      </x:c>
      <x:c r="K97" t="str">
        <x:v>30 min</x:v>
      </x:c>
      <x:c r="L97" t="str"/>
    </x:row>
    <x:row r="98">
      <x:c r="A98" s="382" t="n">
        <x:v>46336</x:v>
      </x:c>
      <x:c r="B98" t="n">
        <x:v>14</x:v>
      </x:c>
      <x:c r="C98" t="str">
        <x:v>Tokyo</x:v>
      </x:c>
      <x:c r="D98" t="str">
        <x:v>14:00</x:v>
      </x:c>
      <x:c r="E98" t="str">
        <x:v>17:00</x:v>
      </x:c>
      <x:c r="F98" t="str">
        <x:v>Afternoon</x:v>
      </x:c>
      <x:c r="G98" t="str">
        <x:v>Packing + final shopping</x:v>
      </x:c>
      <x:c r="H98" t="str"/>
      <x:c r="I98" t="str">
        <x:v>Open route before leaving</x:v>
      </x:c>
      <x:c r="J98" t="str">
        <x:v>Open map before departure</x:v>
      </x:c>
      <x:c r="K98" t="str">
        <x:v>30 min</x:v>
      </x:c>
      <x:c r="L98" t="str"/>
    </x:row>
    <x:row r="99">
      <x:c r="A99" s="382" t="n">
        <x:v>46336</x:v>
      </x:c>
      <x:c r="B99" t="n">
        <x:v>14</x:v>
      </x:c>
      <x:c r="C99" t="str">
        <x:v>Tokyo</x:v>
      </x:c>
      <x:c r="D99" t="str">
        <x:v>18:00</x:v>
      </x:c>
      <x:c r="E99" t="str">
        <x:v>20:00</x:v>
      </x:c>
      <x:c r="F99" t="str">
        <x:v>Dinner</x:v>
      </x:c>
      <x:c r="G99" t="str">
        <x:v>Farewell dinner</x:v>
      </x:c>
      <x:c r="H99" t="str"/>
      <x:c r="I99" t="str">
        <x:v>Reserve if needed</x:v>
      </x:c>
      <x:c r="J99" t="str">
        <x:v>Open map before departure</x:v>
      </x:c>
      <x:c r="K99" t="str">
        <x:v>45 min</x:v>
      </x:c>
      <x:c r="L99" t="str"/>
    </x:row>
    <x:row r="100">
      <x:c r="A100" s="382" t="n">
        <x:v>46336</x:v>
      </x:c>
      <x:c r="B100" t="n">
        <x:v>14</x:v>
      </x:c>
      <x:c r="C100" t="str">
        <x:v>Tokyo</x:v>
      </x:c>
      <x:c r="D100" t="str">
        <x:v>20:30</x:v>
      </x:c>
      <x:c r="E100" t="str">
        <x:v>21:00</x:v>
      </x:c>
      <x:c r="F100" t="str">
        <x:v>Nightly Reset</x:v>
      </x:c>
      <x:c r="G100" t="str">
        <x:v>Review tomorrow, weather, transit and packing</x:v>
      </x:c>
      <x:c r="H100" t="str">
        <x:v>Hotel</x:v>
      </x:c>
      <x:c r="I100" t="str"/>
      <x:c r="J100" t="str">
        <x:v>Open map before departure</x:v>
      </x:c>
      <x:c r="K100" t="str"/>
      <x:c r="L100" t="str">
        <x:v>Charge devices</x:v>
      </x:c>
    </x:row>
    <x:row r="101">
      <x:c r="A101" s="382" t="n">
        <x:v>46337</x:v>
      </x:c>
      <x:c r="B101" t="str">
        <x:v>Return</x:v>
      </x:c>
      <x:c r="C101" t="str">
        <x:v>Tokyo / USA</x:v>
      </x:c>
      <x:c r="D101" t="str">
        <x:v>08:00</x:v>
      </x:c>
      <x:c r="E101" t="str">
        <x:v>09:00</x:v>
      </x:c>
      <x:c r="F101" t="str">
        <x:v>Breakfast / Prep</x:v>
      </x:c>
      <x:c r="G101" t="str">
        <x:v>Breakfast near hotel or hotel meal</x:v>
      </x:c>
      <x:c r="H101" t="str">
        <x:v>Hotel area</x:v>
      </x:c>
      <x:c r="I101" t="str"/>
      <x:c r="J101" t="str">
        <x:v>Open map before departure</x:v>
      </x:c>
      <x:c r="K101" t="str">
        <x:v>15 min</x:v>
      </x:c>
      <x:c r="L101" t="str">
        <x:v>Carry dietary card</x:v>
      </x:c>
    </x:row>
    <x:row r="102">
      <x:c r="A102" s="382" t="n">
        <x:v>46337</x:v>
      </x:c>
      <x:c r="B102" t="str">
        <x:v>Return</x:v>
      </x:c>
      <x:c r="C102" t="str">
        <x:v>Tokyo / USA</x:v>
      </x:c>
      <x:c r="D102" t="str">
        <x:v>09:30</x:v>
      </x:c>
      <x:c r="E102" t="str">
        <x:v>12:00</x:v>
      </x:c>
      <x:c r="F102" t="str">
        <x:v>Morning</x:v>
      </x:c>
      <x:c r="G102" t="str">
        <x:v>Checkout</x:v>
      </x:c>
      <x:c r="H102" t="str"/>
      <x:c r="I102" t="str">
        <x:v>Check ticket / opening time</x:v>
      </x:c>
      <x:c r="J102" t="str">
        <x:v>Open map before departure</x:v>
      </x:c>
      <x:c r="K102" t="str">
        <x:v>30 min</x:v>
      </x:c>
      <x:c r="L102" t="str"/>
    </x:row>
    <x:row r="103">
      <x:c r="A103" s="382" t="n">
        <x:v>46337</x:v>
      </x:c>
      <x:c r="B103" t="str">
        <x:v>Return</x:v>
      </x:c>
      <x:c r="C103" t="str">
        <x:v>Tokyo / USA</x:v>
      </x:c>
      <x:c r="D103" t="str">
        <x:v>12:00</x:v>
      </x:c>
      <x:c r="E103" t="str">
        <x:v>13:30</x:v>
      </x:c>
      <x:c r="F103" t="str">
        <x:v>Lunch</x:v>
      </x:c>
      <x:c r="G103" t="str">
        <x:v>Food Explorer shortlist near current area</x:v>
      </x:c>
      <x:c r="H103" t="str"/>
      <x:c r="I103" t="str">
        <x:v>Reserve if needed</x:v>
      </x:c>
      <x:c r="J103" t="str">
        <x:v>Open map before departure</x:v>
      </x:c>
      <x:c r="K103" t="str">
        <x:v>30 min</x:v>
      </x:c>
      <x:c r="L103" t="str"/>
    </x:row>
    <x:row r="104">
      <x:c r="A104" s="382" t="n">
        <x:v>46337</x:v>
      </x:c>
      <x:c r="B104" t="str">
        <x:v>Return</x:v>
      </x:c>
      <x:c r="C104" t="str">
        <x:v>Tokyo / USA</x:v>
      </x:c>
      <x:c r="D104" t="str">
        <x:v>14:00</x:v>
      </x:c>
      <x:c r="E104" t="str">
        <x:v>17:00</x:v>
      </x:c>
      <x:c r="F104" t="str">
        <x:v>Afternoon</x:v>
      </x:c>
      <x:c r="G104" t="str">
        <x:v>Narita Express / airport transfer</x:v>
      </x:c>
      <x:c r="H104" t="str"/>
      <x:c r="I104" t="str">
        <x:v>Open route before leaving</x:v>
      </x:c>
      <x:c r="J104" t="str">
        <x:v>Open map before departure</x:v>
      </x:c>
      <x:c r="K104" t="str">
        <x:v>30 min</x:v>
      </x:c>
      <x:c r="L104" t="str"/>
    </x:row>
    <x:row r="105">
      <x:c r="A105" s="382" t="n">
        <x:v>46337</x:v>
      </x:c>
      <x:c r="B105" t="str">
        <x:v>Return</x:v>
      </x:c>
      <x:c r="C105" t="str">
        <x:v>Tokyo / USA</x:v>
      </x:c>
      <x:c r="D105" t="str">
        <x:v>18:00</x:v>
      </x:c>
      <x:c r="E105" t="str">
        <x:v>20:00</x:v>
      </x:c>
      <x:c r="F105" t="str">
        <x:v>Dinner</x:v>
      </x:c>
      <x:c r="G105" t="str">
        <x:v>Fly home</x:v>
      </x:c>
      <x:c r="H105" t="str"/>
      <x:c r="I105" t="str">
        <x:v>Reserve if needed</x:v>
      </x:c>
      <x:c r="J105" t="str">
        <x:v>Open map before departure</x:v>
      </x:c>
      <x:c r="K105" t="str">
        <x:v>45 min</x:v>
      </x:c>
      <x:c r="L105" t="str"/>
    </x:row>
    <x:row r="106">
      <x:c r="A106" s="382" t="n">
        <x:v>46337</x:v>
      </x:c>
      <x:c r="B106" t="str">
        <x:v>Return</x:v>
      </x:c>
      <x:c r="C106" t="str">
        <x:v>Tokyo / USA</x:v>
      </x:c>
      <x:c r="D106" t="str">
        <x:v>20:30</x:v>
      </x:c>
      <x:c r="E106" t="str">
        <x:v>21:00</x:v>
      </x:c>
      <x:c r="F106" t="str">
        <x:v>Nightly Reset</x:v>
      </x:c>
      <x:c r="G106" t="str">
        <x:v>Review tomorrow, weather, transit and packing</x:v>
      </x:c>
      <x:c r="H106" t="str">
        <x:v>Hotel</x:v>
      </x:c>
      <x:c r="I106" t="str"/>
      <x:c r="J106" t="str">
        <x:v>Open map before departure</x:v>
      </x:c>
      <x:c r="K106" t="str"/>
      <x:c r="L106" t="str">
        <x:v>Charge devices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aa9837ba962d44a7"/>
  </x:tableParts>
</x:worksheet>
</file>

<file path=xl/worksheets/sheet10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8" hidden="0" customWidth="1"/>
    <x:col min="4" max="4" width="20" hidden="0" customWidth="1"/>
    <x:col min="5" max="5" width="12" hidden="0" customWidth="1"/>
    <x:col min="6" max="6" width="36" hidden="0" customWidth="1"/>
    <x:col min="7" max="7" width="12" hidden="0" customWidth="1"/>
    <x:col min="8" max="8" width="28" hidden="0" customWidth="1"/>
  </x:cols>
  <x:sheetData>
    <x:row r="1">
      <x:c r="A1" s="647" t="str">
        <x:v>🎒 PACKING INTELLIGENCE · RC6</x:v>
      </x:c>
      <x:c r="B1" s="647"/>
      <x:c r="C1" s="647"/>
      <x:c r="D1" s="647"/>
      <x:c r="E1" s="647"/>
      <x:c r="F1" s="647"/>
      <x:c r="G1" s="647"/>
      <x:c r="H1" s="647"/>
    </x:row>
    <x:row r="2">
      <x:c r="A2" s="647"/>
      <x:c r="B2" s="647"/>
      <x:c r="C2" s="647"/>
      <x:c r="D2" s="647"/>
      <x:c r="E2" s="647"/>
      <x:c r="F2" s="647"/>
      <x:c r="G2" s="647"/>
      <x:c r="H2" s="647"/>
    </x:row>
    <x:row r="4">
      <x:c r="A4" s="634" t="str">
        <x:v>Context</x:v>
      </x:c>
      <x:c r="B4" s="634" t="str">
        <x:v>Item</x:v>
      </x:c>
      <x:c r="C4" s="634" t="str">
        <x:v>Who</x:v>
      </x:c>
      <x:c r="D4" s="634" t="str">
        <x:v>When</x:v>
      </x:c>
      <x:c r="E4" s="634" t="str">
        <x:v>Required</x:v>
      </x:c>
      <x:c r="F4" s="634" t="str">
        <x:v>Reason</x:v>
      </x:c>
      <x:c r="G4" s="634" t="str">
        <x:v>Packed?</x:v>
      </x:c>
      <x:c r="H4" s="634" t="str">
        <x:v>Notes</x:v>
      </x:c>
    </x:row>
    <x:row r="5">
      <x:c r="A5" t="str">
        <x:v>Every day</x:v>
      </x:c>
      <x:c r="B5" t="str">
        <x:v>Passport copy + hotel card</x:v>
      </x:c>
      <x:c r="C5" t="str">
        <x:v>All</x:v>
      </x:c>
      <x:c r="D5" t="str">
        <x:v>Daily</x:v>
      </x:c>
      <x:c r="E5" t="str">
        <x:v>Yes</x:v>
      </x:c>
      <x:c r="F5" t="str">
        <x:v>Backup identification and return point</x:v>
      </x:c>
      <x:c r="G5" t="str">
        <x:v>No</x:v>
      </x:c>
      <x:c r="H5" t="str">
        <x:v>Keep original passport secure</x:v>
      </x:c>
    </x:row>
    <x:row r="6">
      <x:c r="A6" t="str">
        <x:v>Every day</x:v>
      </x:c>
      <x:c r="B6" t="str">
        <x:v>Phone + power bank + cable</x:v>
      </x:c>
      <x:c r="C6" t="str">
        <x:v>All</x:v>
      </x:c>
      <x:c r="D6" t="str">
        <x:v>Daily</x:v>
      </x:c>
      <x:c r="E6" t="str">
        <x:v>Yes</x:v>
      </x:c>
      <x:c r="F6" t="str">
        <x:v>Navigation, tickets and translation</x:v>
      </x:c>
      <x:c r="G6" t="str">
        <x:v>No</x:v>
      </x:c>
      <x:c r="H6" t="str">
        <x:v>Charge nightly</x:v>
      </x:c>
    </x:row>
    <x:row r="7">
      <x:c r="A7" t="str">
        <x:v>Every day</x:v>
      </x:c>
      <x:c r="B7" t="str">
        <x:v>Suica / transit card</x:v>
      </x:c>
      <x:c r="C7" t="str">
        <x:v>All</x:v>
      </x:c>
      <x:c r="D7" t="str">
        <x:v>Daily</x:v>
      </x:c>
      <x:c r="E7" t="str">
        <x:v>Yes</x:v>
      </x:c>
      <x:c r="F7" t="str">
        <x:v>Trains and small purchases</x:v>
      </x:c>
      <x:c r="G7" t="str">
        <x:v>No</x:v>
      </x:c>
      <x:c r="H7" t="str">
        <x:v>Apple Wallet where possible</x:v>
      </x:c>
    </x:row>
    <x:row r="8">
      <x:c r="A8" t="str">
        <x:v>Every day</x:v>
      </x:c>
      <x:c r="B8" t="str">
        <x:v>Dietary card in Japanese</x:v>
      </x:c>
      <x:c r="C8" t="str">
        <x:v>David + Noelle</x:v>
      </x:c>
      <x:c r="D8" t="str">
        <x:v>Daily</x:v>
      </x:c>
      <x:c r="E8" t="str">
        <x:v>Yes</x:v>
      </x:c>
      <x:c r="F8" t="str">
        <x:v>Explain gluten-free and lactose-free needs</x:v>
      </x:c>
      <x:c r="G8" t="str">
        <x:v>No</x:v>
      </x:c>
      <x:c r="H8" t="str">
        <x:v>Paper + phone copy</x:v>
      </x:c>
    </x:row>
    <x:row r="9">
      <x:c r="A9" t="str">
        <x:v>Every day</x:v>
      </x:c>
      <x:c r="B9" t="str">
        <x:v>Small trash bag + tissues</x:v>
      </x:c>
      <x:c r="C9" t="str">
        <x:v>All</x:v>
      </x:c>
      <x:c r="D9" t="str">
        <x:v>Daily</x:v>
      </x:c>
      <x:c r="E9" t="str">
        <x:v>Recommended</x:v>
      </x:c>
      <x:c r="F9" t="str">
        <x:v>Few public trash cans</x:v>
      </x:c>
      <x:c r="G9" t="str">
        <x:v>No</x:v>
      </x:c>
      <x:c r="H9" t="str"/>
    </x:row>
    <x:row r="10">
      <x:c r="A10" t="str">
        <x:v>Tokyo</x:v>
      </x:c>
      <x:c r="B10" t="str">
        <x:v>Light layer + compact umbrella</x:v>
      </x:c>
      <x:c r="C10" t="str">
        <x:v>All</x:v>
      </x:c>
      <x:c r="D10" t="str">
        <x:v>Tokyo days</x:v>
      </x:c>
      <x:c r="E10" t="str">
        <x:v>Recommended</x:v>
      </x:c>
      <x:c r="F10" t="str">
        <x:v>Variable late-October weather</x:v>
      </x:c>
      <x:c r="G10" t="str">
        <x:v>No</x:v>
      </x:c>
      <x:c r="H10" t="str"/>
    </x:row>
    <x:row r="11">
      <x:c r="A11" t="str">
        <x:v>Tokyo</x:v>
      </x:c>
      <x:c r="B11" t="str">
        <x:v>Timed-entry QR codes</x:v>
      </x:c>
      <x:c r="C11" t="str">
        <x:v>All</x:v>
      </x:c>
      <x:c r="D11" t="str">
        <x:v>Ghibli / teamLab / Shibuya Sky</x:v>
      </x:c>
      <x:c r="E11" t="str">
        <x:v>Yes</x:v>
      </x:c>
      <x:c r="F11" t="str">
        <x:v>Ticketed attractions</x:v>
      </x:c>
      <x:c r="G11" t="str">
        <x:v>No</x:v>
      </x:c>
      <x:c r="H11" t="str">
        <x:v>Screenshot offline</x:v>
      </x:c>
    </x:row>
    <x:row r="12">
      <x:c r="A12" t="str">
        <x:v>Hakone</x:v>
      </x:c>
      <x:c r="B12" t="str">
        <x:v>Overnight bag</x:v>
      </x:c>
      <x:c r="C12" t="str">
        <x:v>All</x:v>
      </x:c>
      <x:c r="D12" t="str">
        <x:v>Nov 2</x:v>
      </x:c>
      <x:c r="E12" t="str">
        <x:v>Yes</x:v>
      </x:c>
      <x:c r="F12" t="str">
        <x:v>Large luggage forwarded to Kyoto</x:v>
      </x:c>
      <x:c r="G12" t="str">
        <x:v>No</x:v>
      </x:c>
      <x:c r="H12" t="str"/>
    </x:row>
    <x:row r="13">
      <x:c r="A13" t="str">
        <x:v>Hakone</x:v>
      </x:c>
      <x:c r="B13" t="str">
        <x:v>Easy slip-on socks</x:v>
      </x:c>
      <x:c r="C13" t="str">
        <x:v>All</x:v>
      </x:c>
      <x:c r="D13" t="str">
        <x:v>Ryokan</x:v>
      </x:c>
      <x:c r="E13" t="str">
        <x:v>Recommended</x:v>
      </x:c>
      <x:c r="F13" t="str">
        <x:v>Shoes removed indoors</x:v>
      </x:c>
      <x:c r="G13" t="str">
        <x:v>No</x:v>
      </x:c>
      <x:c r="H13" t="str"/>
    </x:row>
    <x:row r="14">
      <x:c r="A14" t="str">
        <x:v>Hakone</x:v>
      </x:c>
      <x:c r="B14" t="str">
        <x:v>Medication + comfort kit</x:v>
      </x:c>
      <x:c r="C14" t="str">
        <x:v>David / Hilda</x:v>
      </x:c>
      <x:c r="D14" t="str">
        <x:v>Nov 2</x:v>
      </x:c>
      <x:c r="E14" t="str">
        <x:v>Yes</x:v>
      </x:c>
      <x:c r="F14" t="str">
        <x:v>One-night separation from main luggage</x:v>
      </x:c>
      <x:c r="G14" t="str">
        <x:v>No</x:v>
      </x:c>
      <x:c r="H14" t="str"/>
    </x:row>
    <x:row r="15">
      <x:c r="A15" t="str">
        <x:v>Kyoto</x:v>
      </x:c>
      <x:c r="B15" t="str">
        <x:v>Comfortable walking shoes</x:v>
      </x:c>
      <x:c r="C15" t="str">
        <x:v>All</x:v>
      </x:c>
      <x:c r="D15" t="str">
        <x:v>Kyoto days</x:v>
      </x:c>
      <x:c r="E15" t="str">
        <x:v>Yes</x:v>
      </x:c>
      <x:c r="F15" t="str">
        <x:v>Temple hills and long walking days</x:v>
      </x:c>
      <x:c r="G15" t="str">
        <x:v>No</x:v>
      </x:c>
      <x:c r="H15" t="str"/>
    </x:row>
    <x:row r="16">
      <x:c r="A16" t="str">
        <x:v>Kyoto</x:v>
      </x:c>
      <x:c r="B16" t="str">
        <x:v>Temple cash + coin pouch</x:v>
      </x:c>
      <x:c r="C16" t="str">
        <x:v>All</x:v>
      </x:c>
      <x:c r="D16" t="str">
        <x:v>Kyoto days</x:v>
      </x:c>
      <x:c r="E16" t="str">
        <x:v>Recommended</x:v>
      </x:c>
      <x:c r="F16" t="str">
        <x:v>Temple fees and small vendors</x:v>
      </x:c>
      <x:c r="G16" t="str">
        <x:v>No</x:v>
      </x:c>
      <x:c r="H16" t="str"/>
    </x:row>
    <x:row r="17">
      <x:c r="A17" t="str">
        <x:v>Osaka</x:v>
      </x:c>
      <x:c r="B17" t="str">
        <x:v>Cash + saved GF backups</x:v>
      </x:c>
      <x:c r="C17" t="str">
        <x:v>David + Noelle</x:v>
      </x:c>
      <x:c r="D17" t="str">
        <x:v>Osaka days</x:v>
      </x:c>
      <x:c r="E17" t="str">
        <x:v>Recommended</x:v>
      </x:c>
      <x:c r="F17" t="str">
        <x:v>Street-food areas can be hard for GF</x:v>
      </x:c>
      <x:c r="G17" t="str">
        <x:v>No</x:v>
      </x:c>
      <x:c r="H17" t="str"/>
    </x:row>
    <x:row r="18">
      <x:c r="A18" t="str">
        <x:v>Return flight</x:v>
      </x:c>
      <x:c r="B18" t="str">
        <x:v>Luggage scale + packing cubes</x:v>
      </x:c>
      <x:c r="C18" t="str">
        <x:v>David + Noelle</x:v>
      </x:c>
      <x:c r="D18" t="str">
        <x:v>Nov 10</x:v>
      </x:c>
      <x:c r="E18" t="str">
        <x:v>Recommended</x:v>
      </x:c>
      <x:c r="F18" t="str">
        <x:v>Souvenirs and baggage limits</x:v>
      </x:c>
      <x:c r="G18" t="str">
        <x:v>No</x:v>
      </x:c>
      <x:c r="H18" t="str"/>
    </x:row>
    <x:row r="19">
      <x:c r="A19" t="str">
        <x:v>Return flight</x:v>
      </x:c>
      <x:c r="B19" t="str">
        <x:v>Passports + flight confirmations</x:v>
      </x:c>
      <x:c r="C19" t="str">
        <x:v>All</x:v>
      </x:c>
      <x:c r="D19" t="str">
        <x:v>Nov 11</x:v>
      </x:c>
      <x:c r="E19" t="str">
        <x:v>Yes</x:v>
      </x:c>
      <x:c r="F19" t="str">
        <x:v>Airport departure</x:v>
      </x:c>
      <x:c r="G19" t="str">
        <x:v>No</x:v>
      </x:c>
      <x:c r="H19" t="str">
        <x:v>Check out with buffer</x:v>
      </x:c>
    </x:row>
  </x:sheetData>
  <x:mergeCells>
    <x:mergeCell ref="A1:H2"/>
  </x:mergeCells>
  <x:conditionalFormatting sqref="G5:G19">
    <x:cfRule type="expression" dxfId="9" priority="1">
      <x:formula>G5="Yes"</x:formula>
    </x:cfRule>
  </x:conditionalFormatting>
  <x:dataValidations count="1">
    <x:dataValidation type="list" sqref="G5:G19">
      <x:formula1>"No,Yes"</x:formula1>
    </x:dataValidation>
  </x:dataValidations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28" hidden="0" customWidth="1"/>
    <x:col min="8" max="8" width="24" hidden="0" customWidth="1"/>
    <x:col min="9" max="9" width="16" hidden="0" customWidth="1"/>
    <x:col min="10" max="10" width="30" hidden="0" customWidth="1"/>
  </x:cols>
  <x:sheetData>
    <x:row r="1">
      <x:c r="A1" s="647" t="str">
        <x:v>💹 BUDGET DASHBOARD · RC6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</x:row>
    <x:row r="2">
      <x:c r="A2" s="647"/>
      <x:c r="B2" s="647"/>
      <x:c r="C2" s="647"/>
      <x:c r="D2" s="647"/>
      <x:c r="E2" s="647"/>
      <x:c r="F2" s="647"/>
      <x:c r="G2" s="647"/>
      <x:c r="H2" s="647"/>
      <x:c r="I2" s="647"/>
      <x:c r="J2" s="647"/>
      <x:c r="K2" s="647"/>
      <x:c r="L2" s="647"/>
    </x:row>
    <x:row r="4">
      <x:c r="A4" s="634" t="str">
        <x:v>Category</x:v>
      </x:c>
      <x:c r="B4" s="634" t="str">
        <x:v>Planned</x:v>
      </x:c>
      <x:c r="C4" s="634" t="str">
        <x:v>Actual</x:v>
      </x:c>
      <x:c r="D4" s="634" t="str">
        <x:v>Remaining</x:v>
      </x:c>
      <x:c r="E4" s="634" t="str">
        <x:v>% Used</x:v>
      </x:c>
      <x:c r="F4" s="634" t="str">
        <x:v>Notes</x:v>
      </x:c>
      <x:c r="H4" s="634" t="str">
        <x:v>Metric</x:v>
      </x:c>
      <x:c r="I4" s="634" t="str">
        <x:v>Value</x:v>
      </x:c>
      <x:c r="J4" s="634" t="str">
        <x:v>Notes</x:v>
      </x:c>
    </x:row>
    <x:row r="5">
      <x:c r="A5" t="str">
        <x:v>Flights</x:v>
      </x:c>
      <x:c r="B5" s="650" t="n">
        <x:v>0</x:v>
      </x:c>
      <x:c r="C5" s="650" t="n">
        <x:v>0</x:v>
      </x:c>
      <x:c r="D5" s="650" t="n">
        <x:f>B5-C5</x:f>
        <x:v>0</x:v>
      </x:c>
      <x:c r="E5" s="652" t="n">
        <x:f>IF(B5=0,0,C5/B5)</x:f>
        <x:v>0</x:v>
      </x:c>
      <x:c r="F5" t="str"/>
      <x:c r="H5" t="str">
        <x:v>Trip days</x:v>
      </x:c>
      <x:c r="I5" t="n">
        <x:f>COUNTA('📅 Master Itinerary'!B5:B21)-2</x:f>
        <x:v>15</x:v>
      </x:c>
      <x:c r="J5" t="str">
        <x:v>Full sightseeing days</x:v>
      </x:c>
    </x:row>
    <x:row r="6">
      <x:c r="A6" t="str">
        <x:v>Hotels</x:v>
      </x:c>
      <x:c r="B6" s="650" t="n">
        <x:v>0</x:v>
      </x:c>
      <x:c r="C6" s="650" t="n">
        <x:v>0</x:v>
      </x:c>
      <x:c r="D6" s="650" t="n">
        <x:f>B6-C6</x:f>
        <x:v>0</x:v>
      </x:c>
      <x:c r="E6" s="652" t="n">
        <x:f>IF(B6=0,0,C6/B6)</x:f>
        <x:v>0</x:v>
      </x:c>
      <x:c r="F6" t="str"/>
      <x:c r="H6" t="str">
        <x:v>Daily planned average</x:v>
      </x:c>
      <x:c r="I6" s="650" t="n">
        <x:f>IF(I5=0,0,B13/I5)</x:f>
        <x:v>0</x:v>
      </x:c>
      <x:c r="J6" t="str">
        <x:v>Total planned / trip days</x:v>
      </x:c>
    </x:row>
    <x:row r="7">
      <x:c r="A7" t="str">
        <x:v>Food</x:v>
      </x:c>
      <x:c r="B7" s="650" t="n">
        <x:v>0</x:v>
      </x:c>
      <x:c r="C7" s="650" t="n">
        <x:v>0</x:v>
      </x:c>
      <x:c r="D7" s="650" t="n">
        <x:f>B7-C7</x:f>
        <x:v>0</x:v>
      </x:c>
      <x:c r="E7" s="652" t="n">
        <x:f>IF(B7=0,0,C7/B7)</x:f>
        <x:v>0</x:v>
      </x:c>
      <x:c r="F7" t="str"/>
      <x:c r="H7" t="str">
        <x:v>Daily actual average</x:v>
      </x:c>
      <x:c r="I7" s="650" t="n">
        <x:f>IF(I5=0,0,C13/I5)</x:f>
        <x:v>0</x:v>
      </x:c>
      <x:c r="J7" t="str">
        <x:v>Total actual / trip days</x:v>
      </x:c>
    </x:row>
    <x:row r="8">
      <x:c r="A8" t="str">
        <x:v>Transit</x:v>
      </x:c>
      <x:c r="B8" s="650" t="n">
        <x:v>0</x:v>
      </x:c>
      <x:c r="C8" s="650" t="n">
        <x:v>0</x:v>
      </x:c>
      <x:c r="D8" s="650" t="n">
        <x:f>B8-C8</x:f>
        <x:v>0</x:v>
      </x:c>
      <x:c r="E8" s="652" t="n">
        <x:f>IF(B8=0,0,C8/B8)</x:f>
        <x:v>0</x:v>
      </x:c>
      <x:c r="F8" t="str"/>
      <x:c r="H8" t="str">
        <x:v>Projected total</x:v>
      </x:c>
      <x:c r="I8" s="650" t="n">
        <x:f>C13</x:f>
        <x:v>0</x:v>
      </x:c>
      <x:c r="J8" t="str">
        <x:v>Extend with future commitments as needed</x:v>
      </x:c>
    </x:row>
    <x:row r="9">
      <x:c r="A9" t="str">
        <x:v>Attractions</x:v>
      </x:c>
      <x:c r="B9" s="650" t="n">
        <x:v>0</x:v>
      </x:c>
      <x:c r="C9" s="650" t="n">
        <x:v>0</x:v>
      </x:c>
      <x:c r="D9" s="650" t="n">
        <x:f>B9-C9</x:f>
        <x:v>0</x:v>
      </x:c>
      <x:c r="E9" s="652" t="n">
        <x:f>IF(B9=0,0,C9/B9)</x:f>
        <x:v>0</x:v>
      </x:c>
      <x:c r="F9" t="str"/>
      <x:c r="H9" t="str">
        <x:v>Emergency buffer remaining</x:v>
      </x:c>
      <x:c r="I9" s="650" t="n">
        <x:f>D11</x:f>
        <x:v>0</x:v>
      </x:c>
      <x:c r="J9" t="str"/>
    </x:row>
    <x:row r="10">
      <x:c r="A10" t="str">
        <x:v>Shopping</x:v>
      </x:c>
      <x:c r="B10" s="650" t="n">
        <x:v>0</x:v>
      </x:c>
      <x:c r="C10" s="650" t="n">
        <x:v>0</x:v>
      </x:c>
      <x:c r="D10" s="650" t="n">
        <x:f>B10-C10</x:f>
        <x:v>0</x:v>
      </x:c>
      <x:c r="E10" s="652" t="n">
        <x:f>IF(B10=0,0,C10/B10)</x:f>
        <x:v>0</x:v>
      </x:c>
      <x:c r="F10" t="str"/>
    </x:row>
    <x:row r="11">
      <x:c r="A11" t="str">
        <x:v>Emergency / Buffer</x:v>
      </x:c>
      <x:c r="B11" s="650" t="n">
        <x:v>0</x:v>
      </x:c>
      <x:c r="C11" s="650" t="n">
        <x:v>0</x:v>
      </x:c>
      <x:c r="D11" s="650" t="n">
        <x:f>B11-C11</x:f>
        <x:v>0</x:v>
      </x:c>
      <x:c r="E11" s="652" t="n">
        <x:f>IF(B11=0,0,C11/B11)</x:f>
        <x:v>0</x:v>
      </x:c>
      <x:c r="F11" t="str"/>
    </x:row>
    <x:row r="12">
      <x:c r="B12" s="650"/>
      <x:c r="C12" s="650"/>
      <x:c r="D12" s="650"/>
      <x:c r="E12" s="652"/>
    </x:row>
    <x:row r="13">
      <x:c r="A13" s="649" t="str">
        <x:v>Total</x:v>
      </x:c>
      <x:c r="B13" s="651" t="n">
        <x:f>SUM(B5:B11)</x:f>
        <x:v>0</x:v>
      </x:c>
      <x:c r="C13" s="651" t="n">
        <x:f>SUM(C5:C11)</x:f>
        <x:v>0</x:v>
      </x:c>
      <x:c r="D13" s="651" t="n">
        <x:f>SUM(D5:D11)</x:f>
        <x:v>0</x:v>
      </x:c>
      <x:c r="E13" s="653" t="n">
        <x:f>IF(B13=0,0,C13/B13)</x:f>
        <x:v>0</x:v>
      </x:c>
    </x:row>
  </x:sheetData>
  <x:mergeCells>
    <x:mergeCell ref="A1:L2"/>
  </x:mergeCells>
  <x:conditionalFormatting sqref="E5:E11">
    <x:cfRule type="dataBar" priority="1">
      <x:dataBar>
        <x:cfvo type="min"/>
        <x:cfvo type="max"/>
        <x:color rgb="FF355E4B"/>
      </x:dataBar>
      <x:extLst>
        <x:ext xmlns:x14="http://schemas.microsoft.com/office/spreadsheetml/2009/9/main" uri="{B025F937-C7B1-47D3-B67F-A62EFF666E3E}">
          <x14:id>{E949EB18-BDDF-76AF-63AE-1E85A350301C}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2597276284e4bf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49EB18-BDDF-76AF-63AE-1E85A350301C}">
            <x14:dataBar gradient="1">
              <x14:cfvo type="min"/>
              <x14:cfvo type="max"/>
              <x14:fillColor rgb="FF355E4B"/>
            </x14:dataBar>
          </x14:cfRule>
          <xm:sqref>E5:E11</xm:sqref>
        </x14:conditionalFormatting>
      </x14:conditionalFormattings>
    </x:ext>
  </x:extLst>
</x:worksheet>
</file>